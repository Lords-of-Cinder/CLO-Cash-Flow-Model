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ng jin\Desktop\"/>
    </mc:Choice>
  </mc:AlternateContent>
  <xr:revisionPtr revIDLastSave="0" documentId="13_ncr:1_{755B3328-8988-4F01-B2A4-C6D7B82E118C}" xr6:coauthVersionLast="44" xr6:coauthVersionMax="44" xr10:uidLastSave="{00000000-0000-0000-0000-000000000000}"/>
  <bookViews>
    <workbookView xWindow="-108" yWindow="-108" windowWidth="16608" windowHeight="8832" xr2:uid="{00000000-000D-0000-FFFF-FFFF00000000}"/>
  </bookViews>
  <sheets>
    <sheet name="Cash Flows" sheetId="16" r:id="rId1"/>
    <sheet name="Survey" sheetId="26" r:id="rId2"/>
    <sheet name="Input Assumptions" sheetId="8" r:id="rId3"/>
    <sheet name="Output" sheetId="18" r:id="rId4"/>
    <sheet name="Pool Cut" sheetId="24" state="hidden" r:id="rId5"/>
    <sheet name="Beta_Dis" sheetId="25" state="hidden" r:id="rId6"/>
    <sheet name="Asset" sheetId="9" r:id="rId7"/>
    <sheet name="LR0-8" sheetId="19" state="hidden" r:id="rId8"/>
    <sheet name="LR9-13" sheetId="20" state="hidden" r:id="rId9"/>
    <sheet name="LR14-19" sheetId="21" state="hidden" r:id="rId10"/>
    <sheet name="LR20+" sheetId="22" state="hidden" r:id="rId11"/>
    <sheet name="Inflation" sheetId="7" state="hidden" r:id="rId12"/>
    <sheet name="ScrapInf" sheetId="14" state="hidden" r:id="rId13"/>
    <sheet name="Scrap$" sheetId="15" state="hidden" r:id="rId14"/>
  </sheets>
  <functionGroups builtInGroupCount="19"/>
  <definedNames>
    <definedName name="_xlnm._FilterDatabase" localSheetId="7" hidden="1">'LR0-8'!$A$1:$J$688</definedName>
    <definedName name="_xlnm._FilterDatabase" localSheetId="9" hidden="1">'LR14-19'!$A$1:$J$931</definedName>
    <definedName name="_xlnm._FilterDatabase" localSheetId="10" hidden="1">'LR20+'!$A$1:$J$467</definedName>
    <definedName name="_xlnm._FilterDatabase" localSheetId="8" hidden="1">'LR9-13'!$A$1:$J$1933</definedName>
    <definedName name="_xlnm._FilterDatabase" localSheetId="12" hidden="1">ScrapInf!$A$13:$D$367</definedName>
    <definedName name="Bospoke_TAC">'Input Assumptions'!$S$15</definedName>
    <definedName name="Class_A_Average_Life">'Cash Flows'!$B$52</definedName>
    <definedName name="Class_A_Bal">'Cash Flows'!$B$18</definedName>
    <definedName name="Class_A_Bla">'Cash Flows'!$B$18</definedName>
    <definedName name="Class_A_M">'Cash Flows'!$B$21</definedName>
    <definedName name="Class_A_Rate">'Cash Flows'!$B$12</definedName>
    <definedName name="Class_A_Relaxation">'Cash Flows'!$B$58</definedName>
    <definedName name="Class_A_Size">'Cash Flows'!$B$15</definedName>
    <definedName name="Class_A_SP_Default_Rate">'Cash Flows'!$B$36</definedName>
    <definedName name="Class_B_Average_Life">'Cash Flows'!$B$53</definedName>
    <definedName name="Class_B_Bal">'Cash Flows'!$B$19</definedName>
    <definedName name="Class_B_Bla">'Cash Flows'!$B$19</definedName>
    <definedName name="Class_B_M">'Cash Flows'!$B$22</definedName>
    <definedName name="Class_B_Rate">'Cash Flows'!$B$13</definedName>
    <definedName name="Class_B_Relaxation">'Cash Flows'!$B$59</definedName>
    <definedName name="Class_B_Size">'Cash Flows'!$B$16</definedName>
    <definedName name="Class_B_SP_Default_Rate">'Cash Flows'!$B$37</definedName>
    <definedName name="Class_C_Bal">'Cash Flows'!$B$20</definedName>
    <definedName name="Class_C_Bla">'Cash Flows'!$B$20</definedName>
    <definedName name="Class_C_M">'Cash Flows'!$B$23</definedName>
    <definedName name="Class_C_Rate">'Cash Flows'!$B$14</definedName>
    <definedName name="Class_C_Size">'Cash Flows'!$B$17</definedName>
    <definedName name="closing_fee">'Input Assumptions'!$S$11</definedName>
    <definedName name="Convergence_Limit">'Cash Flows'!$B$60</definedName>
    <definedName name="Convergence_Status">'Cash Flows'!$B$66</definedName>
    <definedName name="Delta_IRR_Class_A">'Cash Flows'!$B$34</definedName>
    <definedName name="Delta_IRR_Class_B">'Cash Flows'!$B$35</definedName>
    <definedName name="Epsilon">'Cash Flows'!$B$65</definedName>
    <definedName name="Idle_alpha">'Input Assumptions'!$X$12</definedName>
    <definedName name="Idle_beta">'Input Assumptions'!$X$13</definedName>
    <definedName name="Idle_L">'Input Assumptions'!$X$5</definedName>
    <definedName name="Idle_M">'Input Assumptions'!$X$7</definedName>
    <definedName name="Idle_U">'Input Assumptions'!$X$6</definedName>
    <definedName name="Incentive_fee">'Input Assumptions'!$S$9</definedName>
    <definedName name="Inf_alpha">'Input Assumptions'!$V$12</definedName>
    <definedName name="Inf_beta">'Input Assumptions'!$V$13</definedName>
    <definedName name="Inf_Lower">'Input Assumptions'!$V$5</definedName>
    <definedName name="Inf_Upper">'Input Assumptions'!$V$6</definedName>
    <definedName name="InitialCostofShips">'Cash Flows'!$B$24</definedName>
    <definedName name="Investment_Rate">'Cash Flows'!$B$7</definedName>
    <definedName name="IPB">'Cash Flows'!$B$25</definedName>
    <definedName name="Lease_Term_Adj">'Input Assumptions'!$S$10</definedName>
    <definedName name="maintaince_adj">'Input Assumptions'!$S$14</definedName>
    <definedName name="MFee_Ratio">'Input Assumptions'!$S$8</definedName>
    <definedName name="Monitor">'Cash Flows'!$E$8</definedName>
    <definedName name="Monte_Carlo_Runs">'Cash Flows'!$B$38</definedName>
    <definedName name="n">'Cash Flows'!$B$5</definedName>
    <definedName name="One_Scenario">'Cash Flows'!$E$11</definedName>
    <definedName name="Opex_alpha">'Input Assumptions'!$W$12</definedName>
    <definedName name="Opex_beta">'Input Assumptions'!$W$13</definedName>
    <definedName name="Opex_L">'Input Assumptions'!$W$5</definedName>
    <definedName name="Opex_U">'Input Assumptions'!$W$6</definedName>
    <definedName name="periods">'Input Assumptions'!$S$13</definedName>
    <definedName name="Rating_Scale_Array_M">Output!#REF!</definedName>
    <definedName name="Rating_Scale_Array_S">Output!#REF!</definedName>
    <definedName name="Reserve_Account">'Cash Flows'!$B$4</definedName>
    <definedName name="Run_Linear">'Cash Flows'!$E$14</definedName>
    <definedName name="Sales">'Input Assumptions'!$S$7</definedName>
    <definedName name="Sales1_alpha">'Input Assumptions'!$Z$12</definedName>
    <definedName name="Sales1_beta">'Input Assumptions'!$Z$13</definedName>
    <definedName name="Sales1_L">'Input Assumptions'!$Z$5</definedName>
    <definedName name="Sales1_U">'Input Assumptions'!$Z$6</definedName>
    <definedName name="Sales2_alpha">'Input Assumptions'!$AA$12</definedName>
    <definedName name="Sales2_beta">'Input Assumptions'!$AA$13</definedName>
    <definedName name="Sales2_L">'Input Assumptions'!$AA$5</definedName>
    <definedName name="Sales2_U">'Input Assumptions'!$AA$6</definedName>
    <definedName name="Sales3_alpha">'Input Assumptions'!$AB$12</definedName>
    <definedName name="Sales3_beta">'Input Assumptions'!$AB$13</definedName>
    <definedName name="Sales3_L">'Input Assumptions'!$AB$5</definedName>
    <definedName name="Sales3_U">'Input Assumptions'!$AB$6</definedName>
    <definedName name="Sales4_alpha">'Input Assumptions'!$AC$12</definedName>
    <definedName name="Sales4_beta">'Input Assumptions'!$AC$13</definedName>
    <definedName name="Sales4_L">'Input Assumptions'!$AC$5</definedName>
    <definedName name="Sales4_U">'Input Assumptions'!$AC$6</definedName>
    <definedName name="scrap_adj">'Input Assumptions'!$S$16</definedName>
    <definedName name="ScrapInf_alpha">'Input Assumptions'!$Y$12</definedName>
    <definedName name="ScrapInf_beta">'Input Assumptions'!$Y$13</definedName>
    <definedName name="ScrapInf_L">'Input Assumptions'!$Y$5</definedName>
    <definedName name="ScrapInf_U">'Input Assumptions'!$Y$6</definedName>
    <definedName name="Seed">'Input Assumptions'!$S$12</definedName>
    <definedName name="Ships">'Input Assumptions'!$S$5</definedName>
    <definedName name="SI_alpha">'Input Assumptions'!#REF!</definedName>
    <definedName name="SI_beta">'Input Assumptions'!#REF!</definedName>
    <definedName name="SI_L">'Input Assumptions'!#REF!</definedName>
    <definedName name="SI_U">'Input Assumptions'!#REF!</definedName>
    <definedName name="Term">'Input Assumptions'!$S$6</definedName>
    <definedName name="Uniform_a">'Input Assumptions'!$X$5</definedName>
    <definedName name="Uniform_b">'Input Assumptions'!$X$6</definedName>
    <definedName name="UsefulLife">'Input Assumptions'!$S$4</definedName>
    <definedName name="WAI">'Cash Flows'!$B$9</definedName>
    <definedName name="Yield_Curve_alfa_parm">'Cash Flows'!$B$62</definedName>
    <definedName name="Yield_Curve_beta_parm">'Cash Flows'!$B$63</definedName>
    <definedName name="Yield_Curve_delta_parm">'Cash Flows'!$B$64</definedName>
    <definedName name="Yield_Curve_r_infinity">'Cash Flows'!$B$61</definedName>
  </definedNames>
  <calcPr calcId="191029" refMode="R1C1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4" i="8" l="1"/>
  <c r="AG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N25" i="24"/>
  <c r="T1" i="24"/>
  <c r="Q25" i="24"/>
  <c r="N26" i="24"/>
  <c r="Q26" i="24"/>
  <c r="Z4" i="25"/>
  <c r="AB5" i="25"/>
  <c r="Z5" i="25"/>
  <c r="Z11" i="25"/>
  <c r="AB6" i="25"/>
  <c r="Z6" i="25"/>
  <c r="Z12" i="25"/>
  <c r="Z13" i="25"/>
  <c r="Z7" i="25"/>
  <c r="Z14" i="25"/>
  <c r="Z8" i="25"/>
  <c r="Z9" i="25"/>
  <c r="AC6" i="25"/>
  <c r="AB7" i="25"/>
  <c r="AC7" i="25"/>
  <c r="AB8" i="25"/>
  <c r="AC8" i="25"/>
  <c r="AB9" i="25"/>
  <c r="AC9" i="25"/>
  <c r="AB10" i="25"/>
  <c r="AC10" i="25"/>
  <c r="AB11" i="25"/>
  <c r="AC11" i="25"/>
  <c r="AB12" i="25"/>
  <c r="AC12" i="25"/>
  <c r="AB13" i="25"/>
  <c r="AC13" i="25"/>
  <c r="AB14" i="25"/>
  <c r="AC14" i="25"/>
  <c r="AB15" i="25"/>
  <c r="AC15" i="25"/>
  <c r="AB16" i="25"/>
  <c r="AC16" i="25"/>
  <c r="AB17" i="25"/>
  <c r="AC17" i="25"/>
  <c r="AB18" i="25"/>
  <c r="AC18" i="25"/>
  <c r="AB19" i="25"/>
  <c r="AC19" i="25"/>
  <c r="AB20" i="25"/>
  <c r="AC20" i="25"/>
  <c r="AB21" i="25"/>
  <c r="AC21" i="25"/>
  <c r="AB22" i="25"/>
  <c r="AC22" i="25"/>
  <c r="AB23" i="25"/>
  <c r="AC23" i="25"/>
  <c r="AB24" i="25"/>
  <c r="AC24" i="25"/>
  <c r="AB25" i="25"/>
  <c r="AC25" i="25"/>
  <c r="AB26" i="25"/>
  <c r="AC26" i="25"/>
  <c r="AB27" i="25"/>
  <c r="AC27" i="25"/>
  <c r="AB28" i="25"/>
  <c r="AC28" i="25"/>
  <c r="AB29" i="25"/>
  <c r="AC29" i="25"/>
  <c r="AB30" i="25"/>
  <c r="AC30" i="25"/>
  <c r="AB31" i="25"/>
  <c r="AC31" i="25"/>
  <c r="AB32" i="25"/>
  <c r="AC32" i="25"/>
  <c r="AB33" i="25"/>
  <c r="AC33" i="25"/>
  <c r="AB34" i="25"/>
  <c r="AC34" i="25"/>
  <c r="AB35" i="25"/>
  <c r="AC35" i="25"/>
  <c r="AB36" i="25"/>
  <c r="AC36" i="25"/>
  <c r="AB37" i="25"/>
  <c r="AC37" i="25"/>
  <c r="AB38" i="25"/>
  <c r="AC38" i="25"/>
  <c r="AB39" i="25"/>
  <c r="AC39" i="25"/>
  <c r="AB40" i="25"/>
  <c r="AC40" i="25"/>
  <c r="AB41" i="25"/>
  <c r="AC41" i="25"/>
  <c r="AB42" i="25"/>
  <c r="AC42" i="25"/>
  <c r="AB43" i="25"/>
  <c r="AC43" i="25"/>
  <c r="AB44" i="25"/>
  <c r="AC44" i="25"/>
  <c r="AB45" i="25"/>
  <c r="AC45" i="25"/>
  <c r="AB46" i="25"/>
  <c r="AC46" i="25"/>
  <c r="AB47" i="25"/>
  <c r="AC47" i="25"/>
  <c r="AB48" i="25"/>
  <c r="AC48" i="25"/>
  <c r="AB49" i="25"/>
  <c r="AC49" i="25"/>
  <c r="AB50" i="25"/>
  <c r="AC50" i="25"/>
  <c r="AB51" i="25"/>
  <c r="AC51" i="25"/>
  <c r="AB52" i="25"/>
  <c r="AC52" i="25"/>
  <c r="AB53" i="25"/>
  <c r="AC53" i="25"/>
  <c r="AB54" i="25"/>
  <c r="AC54" i="25"/>
  <c r="AB55" i="25"/>
  <c r="AC55" i="25"/>
  <c r="AC5" i="25"/>
  <c r="Z15" i="25"/>
  <c r="Z16" i="25"/>
  <c r="T4" i="25"/>
  <c r="T5" i="25"/>
  <c r="T11" i="25"/>
  <c r="T6" i="25"/>
  <c r="T12" i="25"/>
  <c r="T13" i="25"/>
  <c r="T7" i="25"/>
  <c r="T14" i="25"/>
  <c r="T8" i="25"/>
  <c r="T9" i="2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18" i="15"/>
  <c r="V5" i="25"/>
  <c r="V6" i="25"/>
  <c r="V7" i="25"/>
  <c r="V8" i="25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V29" i="25"/>
  <c r="V30" i="25"/>
  <c r="V31" i="25"/>
  <c r="V32" i="25"/>
  <c r="V33" i="25"/>
  <c r="V34" i="25"/>
  <c r="V35" i="25"/>
  <c r="V36" i="25"/>
  <c r="V37" i="25"/>
  <c r="V38" i="25"/>
  <c r="V39" i="25"/>
  <c r="V40" i="25"/>
  <c r="V41" i="25"/>
  <c r="V42" i="25"/>
  <c r="V43" i="25"/>
  <c r="V44" i="25"/>
  <c r="V45" i="25"/>
  <c r="V46" i="25"/>
  <c r="V47" i="25"/>
  <c r="V48" i="25"/>
  <c r="V49" i="25"/>
  <c r="V50" i="25"/>
  <c r="V51" i="25"/>
  <c r="V52" i="25"/>
  <c r="V53" i="25"/>
  <c r="V54" i="25"/>
  <c r="V55" i="25"/>
  <c r="W55" i="25"/>
  <c r="W6" i="25"/>
  <c r="W7" i="25"/>
  <c r="W8" i="25"/>
  <c r="W9" i="25"/>
  <c r="W10" i="25"/>
  <c r="W11" i="25"/>
  <c r="W12" i="25"/>
  <c r="W13" i="25"/>
  <c r="W14" i="25"/>
  <c r="W15" i="25"/>
  <c r="W16" i="25"/>
  <c r="W17" i="25"/>
  <c r="W18" i="25"/>
  <c r="W19" i="25"/>
  <c r="W20" i="25"/>
  <c r="W21" i="25"/>
  <c r="W22" i="25"/>
  <c r="W23" i="25"/>
  <c r="W24" i="25"/>
  <c r="W25" i="25"/>
  <c r="W26" i="25"/>
  <c r="W27" i="25"/>
  <c r="W28" i="25"/>
  <c r="W29" i="25"/>
  <c r="W30" i="25"/>
  <c r="W31" i="25"/>
  <c r="W32" i="25"/>
  <c r="W33" i="25"/>
  <c r="W34" i="25"/>
  <c r="W35" i="25"/>
  <c r="W36" i="25"/>
  <c r="W37" i="25"/>
  <c r="W38" i="25"/>
  <c r="W39" i="25"/>
  <c r="W40" i="25"/>
  <c r="W41" i="25"/>
  <c r="W42" i="25"/>
  <c r="W43" i="25"/>
  <c r="W44" i="25"/>
  <c r="W45" i="25"/>
  <c r="W46" i="25"/>
  <c r="W47" i="25"/>
  <c r="W48" i="25"/>
  <c r="W49" i="25"/>
  <c r="W50" i="25"/>
  <c r="W51" i="25"/>
  <c r="W52" i="25"/>
  <c r="W53" i="25"/>
  <c r="W54" i="25"/>
  <c r="W5" i="25"/>
  <c r="T15" i="25"/>
  <c r="N4" i="25"/>
  <c r="P5" i="25"/>
  <c r="N5" i="25"/>
  <c r="N11" i="25"/>
  <c r="P6" i="25"/>
  <c r="P7" i="25"/>
  <c r="P8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N6" i="25"/>
  <c r="N12" i="25"/>
  <c r="N13" i="25"/>
  <c r="N7" i="25"/>
  <c r="N14" i="25"/>
  <c r="N8" i="25"/>
  <c r="N9" i="25"/>
  <c r="Q55" i="25"/>
  <c r="N15" i="25"/>
  <c r="H4" i="25"/>
  <c r="H5" i="25"/>
  <c r="H6" i="25"/>
  <c r="H12" i="25"/>
  <c r="H13" i="25"/>
  <c r="H7" i="25"/>
  <c r="H14" i="25"/>
  <c r="H8" i="25"/>
  <c r="H9" i="25"/>
  <c r="H15" i="25"/>
  <c r="T16" i="25"/>
  <c r="B6" i="25"/>
  <c r="B4" i="25"/>
  <c r="B5" i="25"/>
  <c r="B12" i="25"/>
  <c r="B13" i="25"/>
  <c r="B7" i="25"/>
  <c r="B14" i="25"/>
  <c r="B8" i="25"/>
  <c r="B9" i="25"/>
  <c r="H4" i="18"/>
  <c r="F4" i="18"/>
  <c r="X9" i="8"/>
  <c r="X10" i="8"/>
  <c r="X11" i="8"/>
  <c r="X12" i="8"/>
  <c r="X13" i="8"/>
  <c r="B39" i="16"/>
  <c r="BW4" i="16"/>
  <c r="B49" i="16"/>
  <c r="CD4" i="16"/>
  <c r="CC4" i="16"/>
  <c r="B34" i="16"/>
  <c r="B35" i="16"/>
  <c r="B36" i="16"/>
  <c r="B37" i="16"/>
  <c r="Q6" i="25"/>
  <c r="Q7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" i="25"/>
  <c r="N16" i="25"/>
  <c r="J5" i="25"/>
  <c r="H11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32" i="25"/>
  <c r="J33" i="25"/>
  <c r="J34" i="25"/>
  <c r="J35" i="25"/>
  <c r="J36" i="25"/>
  <c r="J37" i="25"/>
  <c r="J38" i="25"/>
  <c r="J39" i="25"/>
  <c r="J40" i="25"/>
  <c r="J41" i="25"/>
  <c r="J42" i="25"/>
  <c r="J43" i="25"/>
  <c r="J44" i="25"/>
  <c r="J45" i="25"/>
  <c r="J46" i="25"/>
  <c r="J47" i="25"/>
  <c r="J48" i="25"/>
  <c r="J49" i="25"/>
  <c r="J50" i="25"/>
  <c r="J51" i="25"/>
  <c r="J52" i="25"/>
  <c r="J53" i="25"/>
  <c r="J54" i="25"/>
  <c r="J55" i="25"/>
  <c r="K5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" i="25"/>
  <c r="H16" i="25"/>
  <c r="B15" i="25"/>
  <c r="D5" i="25"/>
  <c r="B11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E5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" i="25"/>
  <c r="B16" i="25"/>
  <c r="V9" i="8"/>
  <c r="V10" i="8"/>
  <c r="P4" i="8"/>
  <c r="O4" i="8"/>
  <c r="N4" i="8"/>
  <c r="K4" i="8"/>
  <c r="Q8" i="24"/>
  <c r="N9" i="24"/>
  <c r="N10" i="24"/>
  <c r="N11" i="24"/>
  <c r="N12" i="24"/>
  <c r="N13" i="24"/>
  <c r="N27" i="24"/>
  <c r="N14" i="24"/>
  <c r="N28" i="24"/>
  <c r="N29" i="24"/>
  <c r="N15" i="24"/>
  <c r="N16" i="24"/>
  <c r="N30" i="24"/>
  <c r="N17" i="24"/>
  <c r="N18" i="24"/>
  <c r="N19" i="24"/>
  <c r="N20" i="24"/>
  <c r="N21" i="24"/>
  <c r="N22" i="24"/>
  <c r="N31" i="24"/>
  <c r="N32" i="24"/>
  <c r="N23" i="24"/>
  <c r="N24" i="24"/>
  <c r="N8" i="24"/>
  <c r="J4" i="8"/>
  <c r="I4" i="8"/>
  <c r="H4" i="8"/>
  <c r="G4" i="8"/>
  <c r="F4" i="8"/>
  <c r="E4" i="8"/>
  <c r="D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4" i="8"/>
  <c r="A4" i="8"/>
  <c r="Q24" i="24"/>
  <c r="Q23" i="24"/>
  <c r="Q32" i="24"/>
  <c r="Q31" i="24"/>
  <c r="Q22" i="24"/>
  <c r="Q21" i="24"/>
  <c r="Q20" i="24"/>
  <c r="Q19" i="24"/>
  <c r="Q18" i="24"/>
  <c r="Q17" i="24"/>
  <c r="Q30" i="24"/>
  <c r="Q16" i="24"/>
  <c r="Q15" i="24"/>
  <c r="Q29" i="24"/>
  <c r="Q28" i="24"/>
  <c r="Q14" i="24"/>
  <c r="Q27" i="24"/>
  <c r="Q13" i="24"/>
  <c r="Q12" i="24"/>
  <c r="Q11" i="24"/>
  <c r="Q10" i="24"/>
  <c r="Q9" i="24"/>
  <c r="T2" i="24"/>
  <c r="Y11" i="8"/>
  <c r="Y9" i="8"/>
  <c r="Y10" i="8"/>
  <c r="Y12" i="8"/>
  <c r="Y13" i="8"/>
  <c r="J157" i="22"/>
  <c r="J443" i="22"/>
  <c r="J3" i="22"/>
  <c r="J145" i="22"/>
  <c r="J104" i="22"/>
  <c r="J431" i="22"/>
  <c r="J447" i="22"/>
  <c r="J213" i="22"/>
  <c r="J433" i="22"/>
  <c r="J351" i="22"/>
  <c r="J340" i="22"/>
  <c r="J355" i="22"/>
  <c r="J381" i="22"/>
  <c r="J335" i="22"/>
  <c r="J18" i="22"/>
  <c r="J380" i="22"/>
  <c r="J379" i="22"/>
  <c r="J366" i="22"/>
  <c r="J267" i="22"/>
  <c r="J266" i="22"/>
  <c r="J187" i="22"/>
  <c r="J43" i="22"/>
  <c r="J114" i="22"/>
  <c r="J279" i="22"/>
  <c r="J244" i="22"/>
  <c r="J310" i="22"/>
  <c r="J309" i="22"/>
  <c r="J356" i="22"/>
  <c r="J183" i="22"/>
  <c r="J62" i="22"/>
  <c r="J308" i="22"/>
  <c r="J243" i="22"/>
  <c r="J47" i="22"/>
  <c r="J79" i="22"/>
  <c r="J334" i="22"/>
  <c r="J201" i="22"/>
  <c r="J442" i="22"/>
  <c r="J446" i="22"/>
  <c r="J81" i="22"/>
  <c r="J242" i="22"/>
  <c r="J416" i="22"/>
  <c r="J415" i="22"/>
  <c r="J365" i="22"/>
  <c r="J166" i="22"/>
  <c r="J265" i="22"/>
  <c r="J85" i="22"/>
  <c r="J421" i="22"/>
  <c r="J445" i="22"/>
  <c r="J448" i="22"/>
  <c r="J307" i="22"/>
  <c r="J367" i="22"/>
  <c r="J150" i="22"/>
  <c r="J61" i="22"/>
  <c r="J69" i="22"/>
  <c r="J28" i="22"/>
  <c r="J68" i="22"/>
  <c r="J241" i="22"/>
  <c r="J240" i="22"/>
  <c r="J80" i="22"/>
  <c r="J467" i="22"/>
  <c r="J454" i="22"/>
  <c r="J430" i="22"/>
  <c r="J278" i="22"/>
  <c r="J38" i="22"/>
  <c r="J178" i="22"/>
  <c r="J277" i="22"/>
  <c r="J382" i="22"/>
  <c r="J144" i="22"/>
  <c r="J239" i="22"/>
  <c r="J78" i="22"/>
  <c r="J224" i="22"/>
  <c r="J238" i="22"/>
  <c r="J306" i="22"/>
  <c r="J165" i="22"/>
  <c r="J143" i="22"/>
  <c r="J333" i="22"/>
  <c r="J164" i="22"/>
  <c r="J378" i="22"/>
  <c r="J37" i="22"/>
  <c r="J364" i="22"/>
  <c r="J112" i="22"/>
  <c r="J214" i="22"/>
  <c r="J305" i="22"/>
  <c r="J353" i="22"/>
  <c r="J352" i="22"/>
  <c r="J354" i="22"/>
  <c r="J103" i="22"/>
  <c r="J350" i="22"/>
  <c r="J182" i="22"/>
  <c r="J466" i="22"/>
  <c r="J304" i="22"/>
  <c r="J303" i="22"/>
  <c r="J276" i="22"/>
  <c r="J264" i="22"/>
  <c r="J302" i="22"/>
  <c r="J344" i="22"/>
  <c r="J84" i="22"/>
  <c r="J142" i="22"/>
  <c r="J121" i="22"/>
  <c r="J332" i="22"/>
  <c r="J83" i="22"/>
  <c r="J46" i="22"/>
  <c r="J263" i="22"/>
  <c r="J167" i="22"/>
  <c r="J55" i="22"/>
  <c r="J200" i="22"/>
  <c r="J186" i="22"/>
  <c r="J464" i="22"/>
  <c r="J459" i="22"/>
  <c r="J262" i="22"/>
  <c r="J275" i="22"/>
  <c r="J414" i="22"/>
  <c r="J331" i="22"/>
  <c r="J141" i="22"/>
  <c r="J301" i="22"/>
  <c r="J82" i="22"/>
  <c r="J223" i="22"/>
  <c r="J300" i="22"/>
  <c r="J212" i="22"/>
  <c r="J208" i="22"/>
  <c r="J363" i="22"/>
  <c r="J17" i="22"/>
  <c r="J261" i="22"/>
  <c r="J413" i="22"/>
  <c r="J237" i="22"/>
  <c r="J330" i="22"/>
  <c r="J465" i="22"/>
  <c r="J102" i="22"/>
  <c r="J444" i="22"/>
  <c r="J236" i="22"/>
  <c r="J329" i="22"/>
  <c r="J235" i="22"/>
  <c r="J377" i="22"/>
  <c r="J260" i="22"/>
  <c r="J259" i="22"/>
  <c r="J63" i="22"/>
  <c r="J234" i="22"/>
  <c r="J328" i="22"/>
  <c r="J441" i="22"/>
  <c r="J36" i="22"/>
  <c r="J376" i="22"/>
  <c r="J140" i="22"/>
  <c r="J222" i="22"/>
  <c r="J177" i="22"/>
  <c r="J88" i="22"/>
  <c r="J299" i="22"/>
  <c r="J420" i="22"/>
  <c r="J7" i="22"/>
  <c r="J298" i="22"/>
  <c r="J297" i="22"/>
  <c r="J197" i="22"/>
  <c r="J362" i="22"/>
  <c r="J16" i="22"/>
  <c r="J248" i="22"/>
  <c r="J327" i="22"/>
  <c r="J296" i="22"/>
  <c r="J77" i="22"/>
  <c r="J233" i="22"/>
  <c r="J429" i="22"/>
  <c r="J15" i="22"/>
  <c r="J101" i="22"/>
  <c r="J14" i="22"/>
  <c r="J295" i="22"/>
  <c r="J199" i="22"/>
  <c r="J184" i="22"/>
  <c r="J258" i="22"/>
  <c r="J274" i="22"/>
  <c r="J60" i="22"/>
  <c r="J207" i="22"/>
  <c r="J206" i="22"/>
  <c r="J326" i="22"/>
  <c r="J211" i="22"/>
  <c r="J325" i="22"/>
  <c r="J257" i="22"/>
  <c r="J6" i="22"/>
  <c r="J8" i="22"/>
  <c r="J294" i="22"/>
  <c r="J163" i="22"/>
  <c r="J111" i="22"/>
  <c r="J110" i="22"/>
  <c r="J293" i="22"/>
  <c r="J100" i="22"/>
  <c r="J99" i="22"/>
  <c r="J349" i="22"/>
  <c r="J139" i="22"/>
  <c r="J5" i="22"/>
  <c r="J453" i="22"/>
  <c r="J54" i="22"/>
  <c r="J2" i="22"/>
  <c r="J440" i="22"/>
  <c r="J221" i="22"/>
  <c r="J375" i="22"/>
  <c r="J13" i="22"/>
  <c r="J50" i="22"/>
  <c r="J324" i="22"/>
  <c r="J323" i="22"/>
  <c r="J138" i="22"/>
  <c r="J322" i="22"/>
  <c r="J137" i="22"/>
  <c r="J194" i="22"/>
  <c r="J256" i="22"/>
  <c r="J452" i="22"/>
  <c r="J361" i="22"/>
  <c r="J118" i="22"/>
  <c r="J117" i="22"/>
  <c r="J22" i="22"/>
  <c r="J412" i="22"/>
  <c r="J273" i="22"/>
  <c r="J45" i="22"/>
  <c r="J374" i="22"/>
  <c r="J463" i="22"/>
  <c r="J27" i="22"/>
  <c r="J136" i="22"/>
  <c r="J458" i="22"/>
  <c r="J232" i="22"/>
  <c r="J231" i="22"/>
  <c r="J255" i="22"/>
  <c r="J12" i="22"/>
  <c r="J339" i="22"/>
  <c r="J411" i="22"/>
  <c r="J11" i="22"/>
  <c r="J292" i="22"/>
  <c r="J439" i="22"/>
  <c r="J428" i="22"/>
  <c r="J67" i="22"/>
  <c r="J53" i="22"/>
  <c r="J419" i="22"/>
  <c r="J247" i="22"/>
  <c r="J254" i="22"/>
  <c r="J181" i="22"/>
  <c r="J230" i="22"/>
  <c r="J98" i="22"/>
  <c r="J35" i="22"/>
  <c r="J120" i="22"/>
  <c r="J321" i="22"/>
  <c r="J205" i="22"/>
  <c r="J123" i="22"/>
  <c r="J176" i="22"/>
  <c r="J162" i="22"/>
  <c r="J76" i="22"/>
  <c r="J97" i="22"/>
  <c r="J135" i="22"/>
  <c r="J75" i="22"/>
  <c r="J59" i="22"/>
  <c r="J58" i="22"/>
  <c r="J210" i="22"/>
  <c r="J96" i="22"/>
  <c r="J427" i="22"/>
  <c r="J10" i="22"/>
  <c r="J109" i="22"/>
  <c r="J149" i="22"/>
  <c r="J291" i="22"/>
  <c r="J134" i="22"/>
  <c r="J161" i="22"/>
  <c r="J133" i="22"/>
  <c r="J320" i="22"/>
  <c r="J290" i="22"/>
  <c r="J4" i="22"/>
  <c r="J289" i="22"/>
  <c r="J26" i="22"/>
  <c r="J408" i="22"/>
  <c r="J348" i="22"/>
  <c r="J288" i="22"/>
  <c r="J319" i="22"/>
  <c r="J318" i="22"/>
  <c r="J373" i="22"/>
  <c r="J220" i="22"/>
  <c r="J272" i="22"/>
  <c r="J347" i="22"/>
  <c r="J185" i="22"/>
  <c r="J253" i="22"/>
  <c r="J229" i="22"/>
  <c r="J438" i="22"/>
  <c r="J52" i="22"/>
  <c r="J360" i="22"/>
  <c r="J252" i="22"/>
  <c r="J156" i="22"/>
  <c r="J132" i="22"/>
  <c r="J219" i="22"/>
  <c r="J407" i="22"/>
  <c r="J418" i="22"/>
  <c r="J338" i="22"/>
  <c r="J25" i="22"/>
  <c r="J148" i="22"/>
  <c r="J175" i="22"/>
  <c r="J406" i="22"/>
  <c r="J426" i="22"/>
  <c r="J131" i="22"/>
  <c r="J425" i="22"/>
  <c r="J405" i="22"/>
  <c r="J437" i="22"/>
  <c r="J218" i="22"/>
  <c r="J119" i="22"/>
  <c r="J209" i="22"/>
  <c r="J174" i="22"/>
  <c r="J173" i="22"/>
  <c r="J193" i="22"/>
  <c r="J160" i="22"/>
  <c r="J462" i="22"/>
  <c r="J317" i="22"/>
  <c r="J198" i="22"/>
  <c r="J457" i="22"/>
  <c r="J34" i="22"/>
  <c r="J155" i="22"/>
  <c r="J180" i="22"/>
  <c r="J228" i="22"/>
  <c r="J316" i="22"/>
  <c r="J95" i="22"/>
  <c r="J94" i="22"/>
  <c r="J87" i="22"/>
  <c r="J404" i="22"/>
  <c r="J108" i="22"/>
  <c r="J217" i="22"/>
  <c r="J287" i="22"/>
  <c r="J66" i="22"/>
  <c r="J86" i="22"/>
  <c r="J286" i="22"/>
  <c r="J93" i="22"/>
  <c r="J359" i="22"/>
  <c r="J204" i="22"/>
  <c r="J130" i="22"/>
  <c r="J51" i="22"/>
  <c r="J122" i="22"/>
  <c r="J71" i="22"/>
  <c r="J343" i="22"/>
  <c r="J44" i="22"/>
  <c r="J113" i="22"/>
  <c r="J147" i="22"/>
  <c r="J129" i="22"/>
  <c r="J403" i="22"/>
  <c r="J33" i="22"/>
  <c r="J285" i="22"/>
  <c r="J372" i="22"/>
  <c r="J70" i="22"/>
  <c r="J436" i="22"/>
  <c r="J172" i="22"/>
  <c r="J271" i="22"/>
  <c r="J371" i="22"/>
  <c r="J32" i="22"/>
  <c r="J284" i="22"/>
  <c r="J402" i="22"/>
  <c r="J451" i="22"/>
  <c r="J401" i="22"/>
  <c r="J151" i="22"/>
  <c r="J42" i="22"/>
  <c r="J400" i="22"/>
  <c r="J192" i="22"/>
  <c r="J65" i="22"/>
  <c r="J128" i="22"/>
  <c r="J24" i="22"/>
  <c r="J89" i="22"/>
  <c r="J203" i="22"/>
  <c r="J9" i="22"/>
  <c r="J399" i="22"/>
  <c r="J216" i="22"/>
  <c r="J21" i="22"/>
  <c r="J179" i="22"/>
  <c r="J146" i="22"/>
  <c r="J246" i="22"/>
  <c r="J358" i="22"/>
  <c r="J196" i="22"/>
  <c r="J398" i="22"/>
  <c r="J397" i="22"/>
  <c r="J424" i="22"/>
  <c r="J251" i="22"/>
  <c r="J450" i="22"/>
  <c r="J342" i="22"/>
  <c r="J171" i="22"/>
  <c r="J31" i="22"/>
  <c r="J49" i="22"/>
  <c r="J154" i="22"/>
  <c r="J315" i="22"/>
  <c r="J92" i="22"/>
  <c r="J314" i="22"/>
  <c r="J159" i="22"/>
  <c r="J20" i="22"/>
  <c r="J337" i="22"/>
  <c r="J456" i="22"/>
  <c r="J107" i="22"/>
  <c r="J202" i="22"/>
  <c r="J191" i="22"/>
  <c r="J461" i="22"/>
  <c r="J270" i="22"/>
  <c r="J74" i="22"/>
  <c r="J396" i="22"/>
  <c r="J64" i="22"/>
  <c r="J370" i="22"/>
  <c r="J423" i="22"/>
  <c r="J41" i="22"/>
  <c r="J170" i="22"/>
  <c r="J369" i="22"/>
  <c r="J341" i="22"/>
  <c r="J127" i="22"/>
  <c r="J91" i="22"/>
  <c r="J395" i="22"/>
  <c r="J195" i="22"/>
  <c r="J283" i="22"/>
  <c r="J345" i="22"/>
  <c r="J357" i="22"/>
  <c r="J417" i="22"/>
  <c r="J394" i="22"/>
  <c r="J30" i="22"/>
  <c r="J227" i="22"/>
  <c r="J126" i="22"/>
  <c r="J269" i="22"/>
  <c r="J190" i="22"/>
  <c r="J250" i="22"/>
  <c r="J215" i="22"/>
  <c r="J23" i="22"/>
  <c r="J245" i="22"/>
  <c r="J393" i="22"/>
  <c r="J392" i="22"/>
  <c r="J189" i="22"/>
  <c r="J29" i="22"/>
  <c r="J169" i="22"/>
  <c r="J57" i="22"/>
  <c r="J125" i="22"/>
  <c r="J282" i="22"/>
  <c r="J153" i="22"/>
  <c r="J106" i="22"/>
  <c r="J105" i="22"/>
  <c r="J391" i="22"/>
  <c r="J435" i="22"/>
  <c r="J460" i="22"/>
  <c r="J410" i="22"/>
  <c r="J40" i="22"/>
  <c r="J73" i="22"/>
  <c r="J390" i="22"/>
  <c r="J281" i="22"/>
  <c r="J313" i="22"/>
  <c r="J268" i="22"/>
  <c r="J389" i="22"/>
  <c r="J432" i="22"/>
  <c r="J124" i="22"/>
  <c r="J249" i="22"/>
  <c r="J56" i="22"/>
  <c r="J226" i="22"/>
  <c r="J225" i="22"/>
  <c r="J388" i="22"/>
  <c r="J387" i="22"/>
  <c r="J346" i="22"/>
  <c r="J158" i="22"/>
  <c r="J336" i="22"/>
  <c r="J280" i="22"/>
  <c r="J116" i="22"/>
  <c r="J386" i="22"/>
  <c r="J312" i="22"/>
  <c r="J385" i="22"/>
  <c r="J19" i="22"/>
  <c r="J449" i="22"/>
  <c r="J39" i="22"/>
  <c r="J455" i="22"/>
  <c r="J368" i="22"/>
  <c r="J434" i="22"/>
  <c r="J409" i="22"/>
  <c r="J188" i="22"/>
  <c r="J311" i="22"/>
  <c r="J384" i="22"/>
  <c r="J90" i="22"/>
  <c r="J48" i="22"/>
  <c r="J422" i="22"/>
  <c r="J152" i="22"/>
  <c r="J115" i="22"/>
  <c r="J168" i="22"/>
  <c r="J72" i="22"/>
  <c r="J383" i="22"/>
  <c r="J658" i="21"/>
  <c r="J726" i="21"/>
  <c r="J657" i="21"/>
  <c r="J408" i="21"/>
  <c r="J851" i="21"/>
  <c r="J544" i="21"/>
  <c r="J262" i="21"/>
  <c r="J354" i="21"/>
  <c r="J817" i="21"/>
  <c r="J639" i="21"/>
  <c r="J609" i="21"/>
  <c r="J41" i="21"/>
  <c r="J407" i="21"/>
  <c r="J315" i="21"/>
  <c r="J418" i="21"/>
  <c r="J736" i="21"/>
  <c r="J417" i="21"/>
  <c r="J656" i="21"/>
  <c r="J602" i="21"/>
  <c r="J601" i="21"/>
  <c r="J353" i="21"/>
  <c r="J776" i="21"/>
  <c r="J748" i="21"/>
  <c r="J920" i="21"/>
  <c r="J919" i="21"/>
  <c r="J543" i="21"/>
  <c r="J775" i="21"/>
  <c r="J219" i="21"/>
  <c r="J261" i="21"/>
  <c r="J112" i="21"/>
  <c r="J352" i="21"/>
  <c r="J686" i="21"/>
  <c r="J694" i="21"/>
  <c r="J465" i="21"/>
  <c r="J918" i="21"/>
  <c r="J46" i="21"/>
  <c r="J685" i="21"/>
  <c r="J684" i="21"/>
  <c r="J139" i="21"/>
  <c r="J838" i="21"/>
  <c r="J774" i="21"/>
  <c r="J157" i="21"/>
  <c r="J170" i="21"/>
  <c r="J288" i="21"/>
  <c r="J501" i="21"/>
  <c r="J111" i="21"/>
  <c r="J542" i="21"/>
  <c r="J541" i="21"/>
  <c r="J506" i="21"/>
  <c r="J156" i="21"/>
  <c r="J638" i="21"/>
  <c r="J40" i="21"/>
  <c r="J110" i="21"/>
  <c r="J917" i="21"/>
  <c r="J931" i="21"/>
  <c r="J683" i="21"/>
  <c r="J451" i="21"/>
  <c r="J277" i="21"/>
  <c r="J406" i="21"/>
  <c r="J351" i="21"/>
  <c r="J350" i="21"/>
  <c r="J405" i="21"/>
  <c r="J404" i="21"/>
  <c r="J600" i="21"/>
  <c r="J540" i="21"/>
  <c r="J539" i="21"/>
  <c r="J482" i="21"/>
  <c r="J209" i="21"/>
  <c r="J244" i="21"/>
  <c r="J241" i="21"/>
  <c r="J704" i="21"/>
  <c r="J481" i="21"/>
  <c r="J109" i="21"/>
  <c r="J276" i="21"/>
  <c r="J62" i="21"/>
  <c r="J773" i="21"/>
  <c r="J752" i="21"/>
  <c r="J930" i="21"/>
  <c r="J637" i="21"/>
  <c r="J682" i="21"/>
  <c r="J16" i="21"/>
  <c r="J783" i="21"/>
  <c r="J450" i="21"/>
  <c r="J608" i="21"/>
  <c r="J538" i="21"/>
  <c r="J599" i="21"/>
  <c r="J617" i="21"/>
  <c r="J598" i="21"/>
  <c r="J597" i="21"/>
  <c r="J916" i="21"/>
  <c r="J275" i="21"/>
  <c r="J208" i="21"/>
  <c r="J114" i="21"/>
  <c r="J141" i="21"/>
  <c r="J607" i="21"/>
  <c r="J596" i="21"/>
  <c r="J740" i="21"/>
  <c r="J125" i="21"/>
  <c r="J169" i="21"/>
  <c r="J138" i="21"/>
  <c r="J915" i="21"/>
  <c r="J837" i="21"/>
  <c r="J108" i="21"/>
  <c r="J914" i="21"/>
  <c r="J207" i="21"/>
  <c r="J433" i="21"/>
  <c r="J107" i="21"/>
  <c r="J913" i="21"/>
  <c r="J681" i="21"/>
  <c r="J9" i="21"/>
  <c r="J39" i="21"/>
  <c r="J124" i="21"/>
  <c r="J492" i="21"/>
  <c r="J829" i="21"/>
  <c r="J349" i="21"/>
  <c r="J449" i="21"/>
  <c r="J595" i="21"/>
  <c r="J680" i="21"/>
  <c r="J594" i="21"/>
  <c r="J593" i="21"/>
  <c r="J636" i="21"/>
  <c r="J243" i="21"/>
  <c r="J403" i="21"/>
  <c r="J642" i="21"/>
  <c r="J816" i="21"/>
  <c r="J757" i="21"/>
  <c r="J912" i="21"/>
  <c r="J106" i="21"/>
  <c r="J314" i="21"/>
  <c r="J183" i="21"/>
  <c r="J161" i="21"/>
  <c r="J45" i="21"/>
  <c r="J348" i="21"/>
  <c r="J911" i="21"/>
  <c r="J117" i="21"/>
  <c r="J313" i="21"/>
  <c r="J679" i="21"/>
  <c r="J910" i="21"/>
  <c r="J909" i="21"/>
  <c r="J756" i="21"/>
  <c r="J635" i="21"/>
  <c r="J592" i="21"/>
  <c r="J402" i="21"/>
  <c r="J401" i="21"/>
  <c r="J260" i="21"/>
  <c r="J655" i="21"/>
  <c r="J634" i="21"/>
  <c r="J38" i="21"/>
  <c r="J152" i="21"/>
  <c r="J61" i="21"/>
  <c r="J400" i="21"/>
  <c r="J772" i="21"/>
  <c r="J591" i="21"/>
  <c r="J590" i="21"/>
  <c r="J3" i="21"/>
  <c r="J697" i="21"/>
  <c r="J399" i="21"/>
  <c r="J251" i="21"/>
  <c r="J464" i="21"/>
  <c r="J229" i="21"/>
  <c r="J206" i="21"/>
  <c r="J274" i="21"/>
  <c r="J50" i="21"/>
  <c r="J678" i="21"/>
  <c r="J273" i="21"/>
  <c r="J250" i="21"/>
  <c r="J589" i="21"/>
  <c r="J105" i="21"/>
  <c r="J537" i="21"/>
  <c r="J677" i="21"/>
  <c r="J137" i="21"/>
  <c r="J426" i="21"/>
  <c r="J588" i="21"/>
  <c r="J435" i="21"/>
  <c r="J815" i="21"/>
  <c r="J480" i="21"/>
  <c r="J908" i="21"/>
  <c r="J676" i="21"/>
  <c r="J398" i="21"/>
  <c r="J616" i="21"/>
  <c r="J425" i="21"/>
  <c r="J782" i="21"/>
  <c r="J739" i="21"/>
  <c r="J587" i="21"/>
  <c r="J696" i="21"/>
  <c r="J205" i="21"/>
  <c r="J397" i="21"/>
  <c r="J586" i="21"/>
  <c r="J295" i="21"/>
  <c r="J182" i="21"/>
  <c r="J181" i="21"/>
  <c r="J500" i="21"/>
  <c r="J37" i="21"/>
  <c r="J850" i="21"/>
  <c r="J852" i="21"/>
  <c r="J814" i="21"/>
  <c r="J813" i="21"/>
  <c r="J218" i="21"/>
  <c r="J12" i="21"/>
  <c r="J104" i="21"/>
  <c r="J689" i="21"/>
  <c r="J432" i="21"/>
  <c r="J585" i="21"/>
  <c r="J347" i="21"/>
  <c r="J123" i="21"/>
  <c r="J812" i="21"/>
  <c r="J8" i="21"/>
  <c r="J907" i="21"/>
  <c r="J584" i="21"/>
  <c r="J240" i="21"/>
  <c r="J396" i="21"/>
  <c r="J771" i="21"/>
  <c r="J747" i="21"/>
  <c r="J239" i="21"/>
  <c r="J36" i="21"/>
  <c r="J395" i="21"/>
  <c r="J259" i="21"/>
  <c r="J394" i="21"/>
  <c r="J811" i="21"/>
  <c r="J751" i="21"/>
  <c r="J283" i="21"/>
  <c r="J393" i="21"/>
  <c r="J392" i="21"/>
  <c r="J738" i="21"/>
  <c r="J810" i="21"/>
  <c r="J536" i="21"/>
  <c r="J675" i="21"/>
  <c r="J491" i="21"/>
  <c r="J103" i="21"/>
  <c r="J770" i="21"/>
  <c r="J906" i="21"/>
  <c r="J905" i="21"/>
  <c r="J7" i="21"/>
  <c r="J725" i="21"/>
  <c r="J755" i="21"/>
  <c r="J272" i="21"/>
  <c r="J320" i="21"/>
  <c r="J60" i="21"/>
  <c r="J583" i="21"/>
  <c r="J346" i="21"/>
  <c r="J204" i="21"/>
  <c r="J312" i="21"/>
  <c r="J828" i="21"/>
  <c r="J463" i="21"/>
  <c r="J249" i="21"/>
  <c r="J391" i="21"/>
  <c r="J582" i="21"/>
  <c r="J116" i="21"/>
  <c r="J448" i="21"/>
  <c r="J581" i="21"/>
  <c r="J287" i="21"/>
  <c r="J122" i="21"/>
  <c r="J203" i="21"/>
  <c r="J217" i="21"/>
  <c r="J580" i="21"/>
  <c r="J345" i="21"/>
  <c r="J654" i="21"/>
  <c r="J758" i="21"/>
  <c r="J674" i="21"/>
  <c r="J579" i="21"/>
  <c r="J344" i="21"/>
  <c r="J390" i="21"/>
  <c r="J809" i="21"/>
  <c r="J160" i="21"/>
  <c r="J735" i="21"/>
  <c r="J578" i="21"/>
  <c r="J577" i="21"/>
  <c r="J576" i="21"/>
  <c r="J535" i="21"/>
  <c r="J202" i="21"/>
  <c r="J102" i="21"/>
  <c r="J311" i="21"/>
  <c r="J534" i="21"/>
  <c r="J781" i="21"/>
  <c r="J633" i="21"/>
  <c r="J499" i="21"/>
  <c r="J101" i="21"/>
  <c r="J389" i="21"/>
  <c r="J904" i="21"/>
  <c r="J505" i="21"/>
  <c r="J750" i="21"/>
  <c r="J228" i="21"/>
  <c r="J929" i="21"/>
  <c r="J734" i="21"/>
  <c r="J479" i="21"/>
  <c r="J201" i="21"/>
  <c r="J836" i="21"/>
  <c r="J533" i="21"/>
  <c r="J532" i="21"/>
  <c r="J490" i="21"/>
  <c r="J180" i="21"/>
  <c r="J100" i="21"/>
  <c r="J703" i="21"/>
  <c r="J242" i="21"/>
  <c r="J754" i="21"/>
  <c r="J575" i="21"/>
  <c r="J903" i="21"/>
  <c r="J574" i="21"/>
  <c r="J902" i="21"/>
  <c r="J653" i="21"/>
  <c r="J271" i="21"/>
  <c r="J99" i="21"/>
  <c r="J2" i="21"/>
  <c r="J641" i="21"/>
  <c r="J652" i="21"/>
  <c r="J573" i="21"/>
  <c r="J434" i="21"/>
  <c r="J416" i="21"/>
  <c r="J388" i="21"/>
  <c r="J121" i="21"/>
  <c r="J151" i="21"/>
  <c r="J387" i="21"/>
  <c r="J478" i="21"/>
  <c r="J447" i="21"/>
  <c r="J695" i="21"/>
  <c r="J98" i="21"/>
  <c r="J97" i="21"/>
  <c r="J294" i="21"/>
  <c r="J65" i="21"/>
  <c r="J238" i="21"/>
  <c r="J572" i="21"/>
  <c r="J746" i="21"/>
  <c r="J179" i="21"/>
  <c r="J35" i="21"/>
  <c r="J237" i="21"/>
  <c r="J688" i="21"/>
  <c r="J343" i="21"/>
  <c r="J136" i="21"/>
  <c r="J724" i="21"/>
  <c r="J651" i="21"/>
  <c r="J415" i="21"/>
  <c r="J96" i="21"/>
  <c r="J606" i="21"/>
  <c r="J808" i="21"/>
  <c r="J807" i="21"/>
  <c r="J531" i="21"/>
  <c r="J571" i="21"/>
  <c r="J570" i="21"/>
  <c r="J827" i="21"/>
  <c r="J504" i="21"/>
  <c r="J431" i="21"/>
  <c r="J530" i="21"/>
  <c r="J498" i="21"/>
  <c r="J835" i="21"/>
  <c r="J95" i="21"/>
  <c r="J780" i="21"/>
  <c r="J386" i="21"/>
  <c r="J928" i="21"/>
  <c r="J745" i="21"/>
  <c r="J901" i="21"/>
  <c r="J456" i="21"/>
  <c r="J849" i="21"/>
  <c r="J342" i="21"/>
  <c r="J310" i="21"/>
  <c r="J270" i="21"/>
  <c r="J49" i="21"/>
  <c r="J723" i="21"/>
  <c r="J569" i="21"/>
  <c r="J455" i="21"/>
  <c r="J477" i="21"/>
  <c r="J309" i="21"/>
  <c r="J568" i="21"/>
  <c r="J15" i="21"/>
  <c r="J722" i="21"/>
  <c r="J650" i="21"/>
  <c r="J94" i="21"/>
  <c r="J806" i="21"/>
  <c r="J662" i="21"/>
  <c r="J721" i="21"/>
  <c r="J632" i="21"/>
  <c r="J150" i="21"/>
  <c r="J93" i="21"/>
  <c r="J59" i="21"/>
  <c r="J900" i="21"/>
  <c r="J693" i="21"/>
  <c r="J899" i="21"/>
  <c r="J178" i="21"/>
  <c r="J282" i="21"/>
  <c r="J135" i="21"/>
  <c r="J200" i="21"/>
  <c r="J149" i="21"/>
  <c r="J134" i="21"/>
  <c r="J848" i="21"/>
  <c r="J898" i="21"/>
  <c r="J769" i="21"/>
  <c r="J319" i="21"/>
  <c r="J897" i="21"/>
  <c r="J34" i="21"/>
  <c r="J430" i="21"/>
  <c r="J847" i="21"/>
  <c r="J529" i="21"/>
  <c r="J615" i="21"/>
  <c r="J385" i="21"/>
  <c r="J896" i="21"/>
  <c r="J895" i="21"/>
  <c r="J894" i="21"/>
  <c r="J384" i="21"/>
  <c r="J168" i="21"/>
  <c r="J33" i="21"/>
  <c r="J822" i="21"/>
  <c r="J462" i="21"/>
  <c r="J133" i="21"/>
  <c r="J341" i="21"/>
  <c r="J383" i="21"/>
  <c r="J269" i="21"/>
  <c r="J227" i="21"/>
  <c r="J893" i="21"/>
  <c r="J92" i="21"/>
  <c r="J32" i="21"/>
  <c r="J768" i="21"/>
  <c r="J489" i="21"/>
  <c r="J258" i="21"/>
  <c r="J120" i="21"/>
  <c r="J177" i="21"/>
  <c r="J892" i="21"/>
  <c r="J58" i="21"/>
  <c r="J293" i="21"/>
  <c r="J340" i="21"/>
  <c r="J382" i="21"/>
  <c r="J304" i="21"/>
  <c r="J148" i="21"/>
  <c r="J119" i="21"/>
  <c r="J91" i="21"/>
  <c r="J528" i="21"/>
  <c r="J567" i="21"/>
  <c r="J720" i="21"/>
  <c r="J339" i="21"/>
  <c r="J891" i="21"/>
  <c r="J805" i="21"/>
  <c r="J476" i="21"/>
  <c r="J804" i="21"/>
  <c r="J424" i="21"/>
  <c r="J31" i="21"/>
  <c r="J236" i="21"/>
  <c r="J381" i="21"/>
  <c r="J673" i="21"/>
  <c r="J475" i="21"/>
  <c r="J90" i="21"/>
  <c r="J338" i="21"/>
  <c r="J159" i="21"/>
  <c r="J337" i="21"/>
  <c r="J57" i="21"/>
  <c r="J44" i="21"/>
  <c r="J235" i="21"/>
  <c r="J719" i="21"/>
  <c r="J268" i="21"/>
  <c r="J132" i="21"/>
  <c r="J281" i="21"/>
  <c r="J89" i="21"/>
  <c r="J672" i="21"/>
  <c r="J423" i="21"/>
  <c r="J88" i="21"/>
  <c r="J226" i="21"/>
  <c r="J380" i="21"/>
  <c r="J225" i="21"/>
  <c r="J527" i="21"/>
  <c r="J718" i="21"/>
  <c r="J803" i="21"/>
  <c r="J379" i="21"/>
  <c r="J661" i="21"/>
  <c r="J744" i="21"/>
  <c r="J890" i="21"/>
  <c r="J30" i="21"/>
  <c r="J660" i="21"/>
  <c r="J749" i="21"/>
  <c r="J29" i="21"/>
  <c r="J216" i="21"/>
  <c r="J566" i="21"/>
  <c r="J378" i="21"/>
  <c r="J687" i="21"/>
  <c r="J526" i="21"/>
  <c r="J821" i="21"/>
  <c r="J257" i="21"/>
  <c r="J336" i="21"/>
  <c r="J10" i="21"/>
  <c r="J43" i="21"/>
  <c r="J67" i="21"/>
  <c r="J167" i="21"/>
  <c r="J215" i="21"/>
  <c r="J377" i="21"/>
  <c r="J335" i="21"/>
  <c r="J565" i="21"/>
  <c r="J649" i="21"/>
  <c r="J802" i="21"/>
  <c r="J199" i="21"/>
  <c r="J564" i="21"/>
  <c r="J563" i="21"/>
  <c r="J779" i="21"/>
  <c r="J525" i="21"/>
  <c r="J246" i="21"/>
  <c r="J733" i="21"/>
  <c r="J87" i="21"/>
  <c r="J86" i="21"/>
  <c r="J166" i="21"/>
  <c r="J414" i="21"/>
  <c r="J717" i="21"/>
  <c r="J631" i="21"/>
  <c r="J198" i="21"/>
  <c r="J826" i="21"/>
  <c r="J131" i="21"/>
  <c r="J562" i="21"/>
  <c r="J801" i="21"/>
  <c r="J308" i="21"/>
  <c r="J11" i="21"/>
  <c r="J614" i="21"/>
  <c r="J28" i="21"/>
  <c r="J234" i="21"/>
  <c r="J443" i="21"/>
  <c r="J561" i="21"/>
  <c r="J800" i="21"/>
  <c r="J671" i="21"/>
  <c r="J85" i="21"/>
  <c r="J474" i="21"/>
  <c r="J334" i="21"/>
  <c r="J267" i="21"/>
  <c r="J889" i="21"/>
  <c r="J461" i="21"/>
  <c r="J442" i="21"/>
  <c r="J441" i="21"/>
  <c r="J318" i="21"/>
  <c r="J825" i="21"/>
  <c r="J446" i="21"/>
  <c r="J888" i="21"/>
  <c r="J376" i="21"/>
  <c r="J560" i="21"/>
  <c r="J176" i="21"/>
  <c r="J27" i="21"/>
  <c r="J648" i="21"/>
  <c r="J927" i="21"/>
  <c r="J84" i="21"/>
  <c r="J488" i="21"/>
  <c r="J460" i="21"/>
  <c r="J197" i="21"/>
  <c r="J473" i="21"/>
  <c r="J559" i="21"/>
  <c r="J524" i="21"/>
  <c r="J83" i="21"/>
  <c r="J613" i="21"/>
  <c r="J737" i="21"/>
  <c r="J147" i="21"/>
  <c r="J233" i="21"/>
  <c r="J196" i="21"/>
  <c r="J26" i="21"/>
  <c r="J413" i="21"/>
  <c r="J286" i="21"/>
  <c r="J887" i="21"/>
  <c r="J523" i="21"/>
  <c r="J266" i="21"/>
  <c r="J767" i="21"/>
  <c r="J25" i="21"/>
  <c r="J292" i="21"/>
  <c r="J732" i="21"/>
  <c r="J886" i="21"/>
  <c r="J630" i="21"/>
  <c r="J224" i="21"/>
  <c r="J702" i="21"/>
  <c r="J333" i="21"/>
  <c r="J256" i="21"/>
  <c r="J422" i="21"/>
  <c r="J56" i="21"/>
  <c r="J558" i="21"/>
  <c r="J885" i="21"/>
  <c r="J332" i="21"/>
  <c r="J375" i="21"/>
  <c r="J846" i="21"/>
  <c r="J522" i="21"/>
  <c r="J670" i="21"/>
  <c r="J521" i="21"/>
  <c r="J472" i="21"/>
  <c r="J374" i="21"/>
  <c r="J232" i="21"/>
  <c r="J82" i="21"/>
  <c r="J629" i="21"/>
  <c r="J421" i="21"/>
  <c r="J81" i="21"/>
  <c r="J6" i="21"/>
  <c r="J5" i="21"/>
  <c r="J24" i="21"/>
  <c r="J884" i="21"/>
  <c r="J820" i="21"/>
  <c r="J883" i="21"/>
  <c r="J882" i="21"/>
  <c r="J605" i="21"/>
  <c r="J231" i="21"/>
  <c r="J80" i="21"/>
  <c r="J845" i="21"/>
  <c r="J628" i="21"/>
  <c r="J716" i="21"/>
  <c r="J195" i="21"/>
  <c r="J799" i="21"/>
  <c r="J79" i="21"/>
  <c r="J520" i="21"/>
  <c r="J497" i="21"/>
  <c r="J701" i="21"/>
  <c r="J881" i="21"/>
  <c r="J880" i="21"/>
  <c r="J23" i="21"/>
  <c r="J373" i="21"/>
  <c r="J700" i="21"/>
  <c r="J22" i="21"/>
  <c r="J844" i="21"/>
  <c r="J879" i="21"/>
  <c r="J878" i="21"/>
  <c r="J557" i="21"/>
  <c r="J715" i="21"/>
  <c r="J926" i="21"/>
  <c r="J429" i="21"/>
  <c r="J214" i="21"/>
  <c r="J877" i="21"/>
  <c r="J372" i="21"/>
  <c r="J230" i="21"/>
  <c r="J78" i="21"/>
  <c r="J519" i="21"/>
  <c r="J412" i="21"/>
  <c r="J371" i="21"/>
  <c r="J194" i="21"/>
  <c r="J280" i="21"/>
  <c r="J876" i="21"/>
  <c r="J647" i="21"/>
  <c r="J370" i="21"/>
  <c r="J193" i="21"/>
  <c r="J798" i="21"/>
  <c r="J797" i="21"/>
  <c r="J21" i="21"/>
  <c r="J48" i="21"/>
  <c r="J714" i="21"/>
  <c r="J503" i="21"/>
  <c r="J518" i="21"/>
  <c r="J875" i="21"/>
  <c r="J146" i="21"/>
  <c r="J420" i="21"/>
  <c r="J627" i="21"/>
  <c r="J496" i="21"/>
  <c r="J331" i="21"/>
  <c r="J55" i="21"/>
  <c r="J731" i="21"/>
  <c r="J699" i="21"/>
  <c r="J874" i="21"/>
  <c r="J369" i="21"/>
  <c r="J140" i="21"/>
  <c r="J192" i="21"/>
  <c r="J330" i="21"/>
  <c r="J517" i="21"/>
  <c r="J516" i="21"/>
  <c r="J515" i="21"/>
  <c r="J454" i="21"/>
  <c r="J213" i="21"/>
  <c r="J329" i="21"/>
  <c r="J834" i="21"/>
  <c r="J317" i="21"/>
  <c r="J471" i="21"/>
  <c r="J191" i="21"/>
  <c r="J873" i="21"/>
  <c r="J626" i="21"/>
  <c r="J77" i="21"/>
  <c r="J872" i="21"/>
  <c r="J669" i="21"/>
  <c r="J130" i="21"/>
  <c r="J115" i="21"/>
  <c r="J766" i="21"/>
  <c r="J843" i="21"/>
  <c r="J765" i="21"/>
  <c r="J646" i="21"/>
  <c r="J692" i="21"/>
  <c r="J20" i="21"/>
  <c r="J833" i="21"/>
  <c r="J255" i="21"/>
  <c r="J328" i="21"/>
  <c r="J145" i="21"/>
  <c r="J514" i="21"/>
  <c r="J223" i="21"/>
  <c r="J155" i="21"/>
  <c r="J487" i="21"/>
  <c r="J796" i="21"/>
  <c r="J668" i="21"/>
  <c r="J470" i="21"/>
  <c r="J64" i="21"/>
  <c r="J254" i="21"/>
  <c r="J190" i="21"/>
  <c r="J189" i="21"/>
  <c r="J175" i="21"/>
  <c r="J795" i="21"/>
  <c r="J625" i="21"/>
  <c r="J154" i="21"/>
  <c r="J713" i="21"/>
  <c r="J76" i="21"/>
  <c r="J778" i="21"/>
  <c r="J794" i="21"/>
  <c r="J459" i="21"/>
  <c r="J129" i="21"/>
  <c r="J764" i="21"/>
  <c r="J75" i="21"/>
  <c r="J368" i="21"/>
  <c r="J367" i="21"/>
  <c r="J366" i="21"/>
  <c r="J556" i="21"/>
  <c r="J824" i="21"/>
  <c r="J712" i="21"/>
  <c r="J555" i="21"/>
  <c r="J327" i="21"/>
  <c r="J265" i="21"/>
  <c r="J691" i="21"/>
  <c r="J554" i="21"/>
  <c r="J612" i="21"/>
  <c r="J553" i="21"/>
  <c r="J74" i="21"/>
  <c r="J365" i="21"/>
  <c r="J291" i="21"/>
  <c r="J307" i="21"/>
  <c r="J174" i="21"/>
  <c r="J326" i="21"/>
  <c r="J212" i="21"/>
  <c r="J552" i="21"/>
  <c r="J793" i="21"/>
  <c r="J711" i="21"/>
  <c r="J743" i="21"/>
  <c r="J871" i="21"/>
  <c r="J513" i="21"/>
  <c r="J303" i="21"/>
  <c r="J128" i="21"/>
  <c r="J870" i="21"/>
  <c r="J710" i="21"/>
  <c r="J925" i="21"/>
  <c r="J458" i="21"/>
  <c r="J869" i="21"/>
  <c r="J306" i="21"/>
  <c r="J411" i="21"/>
  <c r="J285" i="21"/>
  <c r="J868" i="21"/>
  <c r="J867" i="21"/>
  <c r="J486" i="21"/>
  <c r="J866" i="21"/>
  <c r="J624" i="21"/>
  <c r="J325" i="21"/>
  <c r="J445" i="21"/>
  <c r="J551" i="21"/>
  <c r="J512" i="21"/>
  <c r="J511" i="21"/>
  <c r="J54" i="21"/>
  <c r="J211" i="21"/>
  <c r="J364" i="21"/>
  <c r="J363" i="21"/>
  <c r="J428" i="21"/>
  <c r="J611" i="21"/>
  <c r="J222" i="21"/>
  <c r="J842" i="21"/>
  <c r="J623" i="21"/>
  <c r="J53" i="21"/>
  <c r="J47" i="21"/>
  <c r="J221" i="21"/>
  <c r="J440" i="21"/>
  <c r="J495" i="21"/>
  <c r="J763" i="21"/>
  <c r="J73" i="21"/>
  <c r="J253" i="21"/>
  <c r="J324" i="21"/>
  <c r="J469" i="21"/>
  <c r="J118" i="21"/>
  <c r="J144" i="21"/>
  <c r="J165" i="21"/>
  <c r="J143" i="21"/>
  <c r="J164" i="21"/>
  <c r="J290" i="21"/>
  <c r="J323" i="21"/>
  <c r="J4" i="21"/>
  <c r="J667" i="21"/>
  <c r="J14" i="21"/>
  <c r="J510" i="21"/>
  <c r="J468" i="21"/>
  <c r="J72" i="21"/>
  <c r="J865" i="21"/>
  <c r="J622" i="21"/>
  <c r="J188" i="21"/>
  <c r="J550" i="21"/>
  <c r="J792" i="21"/>
  <c r="J302" i="21"/>
  <c r="J173" i="21"/>
  <c r="J172" i="21"/>
  <c r="J301" i="21"/>
  <c r="J410" i="21"/>
  <c r="J322" i="21"/>
  <c r="J924" i="21"/>
  <c r="J549" i="21"/>
  <c r="J158" i="21"/>
  <c r="J264" i="21"/>
  <c r="J864" i="21"/>
  <c r="J762" i="21"/>
  <c r="J427" i="21"/>
  <c r="J321" i="21"/>
  <c r="J863" i="21"/>
  <c r="J753" i="21"/>
  <c r="J645" i="21"/>
  <c r="J509" i="21"/>
  <c r="J248" i="21"/>
  <c r="J791" i="21"/>
  <c r="J153" i="21"/>
  <c r="J485" i="21"/>
  <c r="J439" i="21"/>
  <c r="J862" i="21"/>
  <c r="J362" i="21"/>
  <c r="J742" i="21"/>
  <c r="J438" i="21"/>
  <c r="J437" i="21"/>
  <c r="J361" i="21"/>
  <c r="J666" i="21"/>
  <c r="J621" i="21"/>
  <c r="J163" i="21"/>
  <c r="J419" i="21"/>
  <c r="J300" i="21"/>
  <c r="J360" i="21"/>
  <c r="J620" i="21"/>
  <c r="J709" i="21"/>
  <c r="J19" i="21"/>
  <c r="J113" i="21"/>
  <c r="J71" i="21"/>
  <c r="J730" i="21"/>
  <c r="J127" i="21"/>
  <c r="J263" i="21"/>
  <c r="J819" i="21"/>
  <c r="J861" i="21"/>
  <c r="J70" i="21"/>
  <c r="J860" i="21"/>
  <c r="J220" i="21"/>
  <c r="J359" i="21"/>
  <c r="J494" i="21"/>
  <c r="J741" i="21"/>
  <c r="J245" i="21"/>
  <c r="J832" i="21"/>
  <c r="J859" i="21"/>
  <c r="J698" i="21"/>
  <c r="J187" i="21"/>
  <c r="J761" i="21"/>
  <c r="J790" i="21"/>
  <c r="J484" i="21"/>
  <c r="J841" i="21"/>
  <c r="J831" i="21"/>
  <c r="J316" i="21"/>
  <c r="J665" i="21"/>
  <c r="J858" i="21"/>
  <c r="J659" i="21"/>
  <c r="J857" i="21"/>
  <c r="J789" i="21"/>
  <c r="J708" i="21"/>
  <c r="J784" i="21"/>
  <c r="J210" i="21"/>
  <c r="J252" i="21"/>
  <c r="J305" i="21"/>
  <c r="J610" i="21"/>
  <c r="J823" i="21"/>
  <c r="J840" i="21"/>
  <c r="J619" i="21"/>
  <c r="J284" i="21"/>
  <c r="J289" i="21"/>
  <c r="J186" i="21"/>
  <c r="J358" i="21"/>
  <c r="J664" i="21"/>
  <c r="J839" i="21"/>
  <c r="J467" i="21"/>
  <c r="J548" i="21"/>
  <c r="J690" i="21"/>
  <c r="J409" i="21"/>
  <c r="J502" i="21"/>
  <c r="J299" i="21"/>
  <c r="J508" i="21"/>
  <c r="J707" i="21"/>
  <c r="J923" i="21"/>
  <c r="J818" i="21"/>
  <c r="J126" i="21"/>
  <c r="J922" i="21"/>
  <c r="J457" i="21"/>
  <c r="J788" i="21"/>
  <c r="J706" i="21"/>
  <c r="J247" i="21"/>
  <c r="J507" i="21"/>
  <c r="J436" i="21"/>
  <c r="J644" i="21"/>
  <c r="J830" i="21"/>
  <c r="J640" i="21"/>
  <c r="J279" i="21"/>
  <c r="J618" i="21"/>
  <c r="J705" i="21"/>
  <c r="J729" i="21"/>
  <c r="J856" i="21"/>
  <c r="J855" i="21"/>
  <c r="J357" i="21"/>
  <c r="J18" i="21"/>
  <c r="J854" i="21"/>
  <c r="J453" i="21"/>
  <c r="J13" i="21"/>
  <c r="J298" i="21"/>
  <c r="J452" i="21"/>
  <c r="J356" i="21"/>
  <c r="J921" i="21"/>
  <c r="J444" i="21"/>
  <c r="J760" i="21"/>
  <c r="J69" i="21"/>
  <c r="J777" i="21"/>
  <c r="J728" i="21"/>
  <c r="J727" i="21"/>
  <c r="J483" i="21"/>
  <c r="J466" i="21"/>
  <c r="J162" i="21"/>
  <c r="J142" i="21"/>
  <c r="J185" i="21"/>
  <c r="J787" i="21"/>
  <c r="J171" i="21"/>
  <c r="J42" i="21"/>
  <c r="J52" i="21"/>
  <c r="J759" i="21"/>
  <c r="J853" i="21"/>
  <c r="J786" i="21"/>
  <c r="J63" i="21"/>
  <c r="J68" i="21"/>
  <c r="J493" i="21"/>
  <c r="J663" i="21"/>
  <c r="J785" i="21"/>
  <c r="J355" i="21"/>
  <c r="J297" i="21"/>
  <c r="J547" i="21"/>
  <c r="J546" i="21"/>
  <c r="J278" i="21"/>
  <c r="J643" i="21"/>
  <c r="J545" i="21"/>
  <c r="J17" i="21"/>
  <c r="J604" i="21"/>
  <c r="J184" i="21"/>
  <c r="J603" i="21"/>
  <c r="J296" i="21"/>
  <c r="J51" i="21"/>
  <c r="J66" i="21"/>
  <c r="J1858" i="20"/>
  <c r="J452" i="20"/>
  <c r="J1909" i="20"/>
  <c r="J602" i="20"/>
  <c r="J750" i="20"/>
  <c r="J1857" i="20"/>
  <c r="J644" i="20"/>
  <c r="J1856" i="20"/>
  <c r="J1208" i="20"/>
  <c r="J262" i="20"/>
  <c r="J1338" i="20"/>
  <c r="J1432" i="20"/>
  <c r="J1565" i="20"/>
  <c r="J52" i="20"/>
  <c r="J1154" i="20"/>
  <c r="J1207" i="20"/>
  <c r="J1855" i="20"/>
  <c r="J451" i="20"/>
  <c r="J1854" i="20"/>
  <c r="J1308" i="20"/>
  <c r="J1269" i="20"/>
  <c r="J222" i="20"/>
  <c r="J450" i="20"/>
  <c r="J1288" i="20"/>
  <c r="J549" i="20"/>
  <c r="J1268" i="20"/>
  <c r="J449" i="20"/>
  <c r="J448" i="20"/>
  <c r="J447" i="20"/>
  <c r="J1307" i="20"/>
  <c r="J1153" i="20"/>
  <c r="J1287" i="20"/>
  <c r="J787" i="20"/>
  <c r="J261" i="20"/>
  <c r="J535" i="20"/>
  <c r="J51" i="20"/>
  <c r="J1853" i="20"/>
  <c r="J1439" i="20"/>
  <c r="J1707" i="20"/>
  <c r="J1631" i="20"/>
  <c r="J1630" i="20"/>
  <c r="J1852" i="20"/>
  <c r="J1897" i="20"/>
  <c r="J1511" i="20"/>
  <c r="J1851" i="20"/>
  <c r="J446" i="20"/>
  <c r="J869" i="20"/>
  <c r="J445" i="20"/>
  <c r="J444" i="20"/>
  <c r="J534" i="20"/>
  <c r="J260" i="20"/>
  <c r="J259" i="20"/>
  <c r="J1564" i="20"/>
  <c r="J1908" i="20"/>
  <c r="J1009" i="20"/>
  <c r="J533" i="20"/>
  <c r="J1586" i="20"/>
  <c r="J1850" i="20"/>
  <c r="J1849" i="20"/>
  <c r="J532" i="20"/>
  <c r="J1933" i="20"/>
  <c r="J1152" i="20"/>
  <c r="J50" i="20"/>
  <c r="J1151" i="20"/>
  <c r="J1008" i="20"/>
  <c r="J1563" i="20"/>
  <c r="J1896" i="20"/>
  <c r="J233" i="20"/>
  <c r="J531" i="20"/>
  <c r="J777" i="20"/>
  <c r="J195" i="20"/>
  <c r="J1706" i="20"/>
  <c r="J530" i="20"/>
  <c r="J189" i="20"/>
  <c r="J443" i="20"/>
  <c r="J442" i="20"/>
  <c r="J1206" i="20"/>
  <c r="J1895" i="20"/>
  <c r="J441" i="20"/>
  <c r="J1205" i="20"/>
  <c r="J440" i="20"/>
  <c r="J439" i="20"/>
  <c r="J1629" i="20"/>
  <c r="J84" i="20"/>
  <c r="J83" i="20"/>
  <c r="J188" i="20"/>
  <c r="J1472" i="20"/>
  <c r="J1471" i="20"/>
  <c r="J1510" i="20"/>
  <c r="J1400" i="20"/>
  <c r="J1399" i="20"/>
  <c r="J1326" i="20"/>
  <c r="J1356" i="20"/>
  <c r="J1306" i="20"/>
  <c r="J1894" i="20"/>
  <c r="J917" i="20"/>
  <c r="J258" i="20"/>
  <c r="J1150" i="20"/>
  <c r="J438" i="20"/>
  <c r="J1238" i="20"/>
  <c r="J937" i="20"/>
  <c r="J49" i="20"/>
  <c r="J118" i="20"/>
  <c r="J1848" i="20"/>
  <c r="J1847" i="20"/>
  <c r="J1571" i="20"/>
  <c r="J1398" i="20"/>
  <c r="J437" i="20"/>
  <c r="J214" i="20"/>
  <c r="J936" i="20"/>
  <c r="J136" i="20"/>
  <c r="J833" i="20"/>
  <c r="J721" i="20"/>
  <c r="J1149" i="20"/>
  <c r="J1007" i="20"/>
  <c r="J1006" i="20"/>
  <c r="J572" i="20"/>
  <c r="J1846" i="20"/>
  <c r="J529" i="20"/>
  <c r="J1005" i="20"/>
  <c r="J1148" i="20"/>
  <c r="J1147" i="20"/>
  <c r="J528" i="20"/>
  <c r="J868" i="20"/>
  <c r="J1146" i="20"/>
  <c r="J436" i="20"/>
  <c r="J1242" i="20"/>
  <c r="J916" i="20"/>
  <c r="J1845" i="20"/>
  <c r="J1844" i="20"/>
  <c r="J1693" i="20"/>
  <c r="J435" i="20"/>
  <c r="J434" i="20"/>
  <c r="J1204" i="20"/>
  <c r="J1203" i="20"/>
  <c r="J48" i="20"/>
  <c r="J791" i="20"/>
  <c r="J1521" i="20"/>
  <c r="J1932" i="20"/>
  <c r="J1931" i="20"/>
  <c r="J1286" i="20"/>
  <c r="J433" i="20"/>
  <c r="J432" i="20"/>
  <c r="J832" i="20"/>
  <c r="J11" i="20"/>
  <c r="J1470" i="20"/>
  <c r="J431" i="20"/>
  <c r="J1202" i="20"/>
  <c r="J1628" i="20"/>
  <c r="J1325" i="20"/>
  <c r="J941" i="20"/>
  <c r="J940" i="20"/>
  <c r="J1145" i="20"/>
  <c r="J1843" i="20"/>
  <c r="J1305" i="20"/>
  <c r="J1907" i="20"/>
  <c r="J1469" i="20"/>
  <c r="J1237" i="20"/>
  <c r="J1253" i="20"/>
  <c r="J430" i="20"/>
  <c r="J187" i="20"/>
  <c r="J47" i="20"/>
  <c r="J1893" i="20"/>
  <c r="J1494" i="20"/>
  <c r="J1722" i="20"/>
  <c r="J1144" i="20"/>
  <c r="J1252" i="20"/>
  <c r="J1718" i="20"/>
  <c r="J1562" i="20"/>
  <c r="J867" i="20"/>
  <c r="J1143" i="20"/>
  <c r="J429" i="20"/>
  <c r="J1251" i="20"/>
  <c r="J428" i="20"/>
  <c r="J601" i="20"/>
  <c r="J571" i="20"/>
  <c r="J619" i="20"/>
  <c r="J1585" i="20"/>
  <c r="J915" i="20"/>
  <c r="J1304" i="20"/>
  <c r="J186" i="20"/>
  <c r="J185" i="20"/>
  <c r="J184" i="20"/>
  <c r="J776" i="20"/>
  <c r="J756" i="20"/>
  <c r="J749" i="20"/>
  <c r="J1201" i="20"/>
  <c r="J257" i="20"/>
  <c r="J3" i="20"/>
  <c r="J1142" i="20"/>
  <c r="J1431" i="20"/>
  <c r="J914" i="20"/>
  <c r="J1227" i="20"/>
  <c r="J527" i="20"/>
  <c r="J600" i="20"/>
  <c r="J748" i="20"/>
  <c r="J89" i="20"/>
  <c r="J427" i="20"/>
  <c r="J1397" i="20"/>
  <c r="J1842" i="20"/>
  <c r="J570" i="20"/>
  <c r="J720" i="20"/>
  <c r="J719" i="20"/>
  <c r="J426" i="20"/>
  <c r="J1570" i="20"/>
  <c r="J1303" i="20"/>
  <c r="J1141" i="20"/>
  <c r="J1468" i="20"/>
  <c r="J425" i="20"/>
  <c r="J198" i="20"/>
  <c r="J10" i="20"/>
  <c r="J1930" i="20"/>
  <c r="J1430" i="20"/>
  <c r="J1627" i="20"/>
  <c r="J1841" i="20"/>
  <c r="J913" i="20"/>
  <c r="J569" i="20"/>
  <c r="J424" i="20"/>
  <c r="J256" i="20"/>
  <c r="J618" i="20"/>
  <c r="J462" i="20"/>
  <c r="J183" i="20"/>
  <c r="J1324" i="20"/>
  <c r="J912" i="20"/>
  <c r="J1140" i="20"/>
  <c r="J82" i="20"/>
  <c r="J182" i="20"/>
  <c r="J1139" i="20"/>
  <c r="J526" i="20"/>
  <c r="J831" i="20"/>
  <c r="J796" i="20"/>
  <c r="J718" i="20"/>
  <c r="J255" i="20"/>
  <c r="J423" i="20"/>
  <c r="J1396" i="20"/>
  <c r="J866" i="20"/>
  <c r="J117" i="20"/>
  <c r="J422" i="20"/>
  <c r="J830" i="20"/>
  <c r="J865" i="20"/>
  <c r="J421" i="20"/>
  <c r="J420" i="20"/>
  <c r="J659" i="20"/>
  <c r="J658" i="20"/>
  <c r="J864" i="20"/>
  <c r="J46" i="20"/>
  <c r="J81" i="20"/>
  <c r="J1692" i="20"/>
  <c r="J863" i="20"/>
  <c r="J1138" i="20"/>
  <c r="J1137" i="20"/>
  <c r="J1395" i="20"/>
  <c r="J1236" i="20"/>
  <c r="J254" i="20"/>
  <c r="J1136" i="20"/>
  <c r="J181" i="20"/>
  <c r="J1626" i="20"/>
  <c r="J1691" i="20"/>
  <c r="J1200" i="20"/>
  <c r="J180" i="20"/>
  <c r="J747" i="20"/>
  <c r="J599" i="20"/>
  <c r="J525" i="20"/>
  <c r="J1840" i="20"/>
  <c r="J419" i="20"/>
  <c r="J617" i="20"/>
  <c r="J418" i="20"/>
  <c r="J464" i="20"/>
  <c r="J417" i="20"/>
  <c r="J1135" i="20"/>
  <c r="J135" i="20"/>
  <c r="J524" i="20"/>
  <c r="J416" i="20"/>
  <c r="J415" i="20"/>
  <c r="J414" i="20"/>
  <c r="J862" i="20"/>
  <c r="J1134" i="20"/>
  <c r="J413" i="20"/>
  <c r="J412" i="20"/>
  <c r="J1285" i="20"/>
  <c r="J1467" i="20"/>
  <c r="J1199" i="20"/>
  <c r="J1198" i="20"/>
  <c r="J179" i="20"/>
  <c r="J1004" i="20"/>
  <c r="J1892" i="20"/>
  <c r="J1408" i="20"/>
  <c r="J178" i="20"/>
  <c r="J1003" i="20"/>
  <c r="J746" i="20"/>
  <c r="J643" i="20"/>
  <c r="J632" i="20"/>
  <c r="J1133" i="20"/>
  <c r="J411" i="20"/>
  <c r="J232" i="20"/>
  <c r="J410" i="20"/>
  <c r="J409" i="20"/>
  <c r="J1002" i="20"/>
  <c r="J523" i="20"/>
  <c r="J1302" i="20"/>
  <c r="J1625" i="20"/>
  <c r="J522" i="20"/>
  <c r="J1891" i="20"/>
  <c r="J408" i="20"/>
  <c r="J407" i="20"/>
  <c r="J1466" i="20"/>
  <c r="J1394" i="20"/>
  <c r="J1393" i="20"/>
  <c r="J1132" i="20"/>
  <c r="J1429" i="20"/>
  <c r="J1355" i="20"/>
  <c r="J1561" i="20"/>
  <c r="J1624" i="20"/>
  <c r="J1584" i="20"/>
  <c r="J1583" i="20"/>
  <c r="J1839" i="20"/>
  <c r="J1392" i="20"/>
  <c r="J1465" i="20"/>
  <c r="J1560" i="20"/>
  <c r="J1001" i="20"/>
  <c r="J1838" i="20"/>
  <c r="J745" i="20"/>
  <c r="J1131" i="20"/>
  <c r="J1690" i="20"/>
  <c r="J1559" i="20"/>
  <c r="J1929" i="20"/>
  <c r="J521" i="20"/>
  <c r="J1130" i="20"/>
  <c r="J1623" i="20"/>
  <c r="J1129" i="20"/>
  <c r="J1928" i="20"/>
  <c r="J1391" i="20"/>
  <c r="J406" i="20"/>
  <c r="J177" i="20"/>
  <c r="J221" i="20"/>
  <c r="J1558" i="20"/>
  <c r="J717" i="20"/>
  <c r="J1000" i="20"/>
  <c r="J1128" i="20"/>
  <c r="J92" i="20"/>
  <c r="J520" i="20"/>
  <c r="J1346" i="20"/>
  <c r="J1837" i="20"/>
  <c r="J1509" i="20"/>
  <c r="J1127" i="20"/>
  <c r="J626" i="20"/>
  <c r="J1211" i="20"/>
  <c r="J405" i="20"/>
  <c r="J598" i="20"/>
  <c r="J404" i="20"/>
  <c r="J1464" i="20"/>
  <c r="J1390" i="20"/>
  <c r="J999" i="20"/>
  <c r="J657" i="20"/>
  <c r="J403" i="20"/>
  <c r="J402" i="20"/>
  <c r="J1126" i="20"/>
  <c r="J1836" i="20"/>
  <c r="J1890" i="20"/>
  <c r="J1508" i="20"/>
  <c r="J998" i="20"/>
  <c r="J716" i="20"/>
  <c r="J1197" i="20"/>
  <c r="J1389" i="20"/>
  <c r="J1906" i="20"/>
  <c r="J1196" i="20"/>
  <c r="J786" i="20"/>
  <c r="J715" i="20"/>
  <c r="J714" i="20"/>
  <c r="J744" i="20"/>
  <c r="J1689" i="20"/>
  <c r="J45" i="20"/>
  <c r="J1388" i="20"/>
  <c r="J1387" i="20"/>
  <c r="J829" i="20"/>
  <c r="J401" i="20"/>
  <c r="J775" i="20"/>
  <c r="J1622" i="20"/>
  <c r="J1125" i="20"/>
  <c r="J400" i="20"/>
  <c r="J1124" i="20"/>
  <c r="J911" i="20"/>
  <c r="J568" i="20"/>
  <c r="J194" i="20"/>
  <c r="J1688" i="20"/>
  <c r="J548" i="20"/>
  <c r="J1835" i="20"/>
  <c r="J1834" i="20"/>
  <c r="J1833" i="20"/>
  <c r="J597" i="20"/>
  <c r="J519" i="20"/>
  <c r="J253" i="20"/>
  <c r="J807" i="20"/>
  <c r="J518" i="20"/>
  <c r="J1717" i="20"/>
  <c r="J1557" i="20"/>
  <c r="J252" i="20"/>
  <c r="J399" i="20"/>
  <c r="J517" i="20"/>
  <c r="J1195" i="20"/>
  <c r="J755" i="20"/>
  <c r="J1194" i="20"/>
  <c r="J1331" i="20"/>
  <c r="J1323" i="20"/>
  <c r="J1123" i="20"/>
  <c r="J642" i="20"/>
  <c r="J134" i="20"/>
  <c r="J1438" i="20"/>
  <c r="J1193" i="20"/>
  <c r="J213" i="20"/>
  <c r="J774" i="20"/>
  <c r="J935" i="20"/>
  <c r="J596" i="20"/>
  <c r="J773" i="20"/>
  <c r="J44" i="20"/>
  <c r="J398" i="20"/>
  <c r="J1832" i="20"/>
  <c r="J1386" i="20"/>
  <c r="J463" i="20"/>
  <c r="J516" i="20"/>
  <c r="J743" i="20"/>
  <c r="J1122" i="20"/>
  <c r="J1582" i="20"/>
  <c r="J861" i="20"/>
  <c r="J910" i="20"/>
  <c r="J1520" i="20"/>
  <c r="J1831" i="20"/>
  <c r="J1428" i="20"/>
  <c r="J1507" i="20"/>
  <c r="J397" i="20"/>
  <c r="J515" i="20"/>
  <c r="J828" i="20"/>
  <c r="J713" i="20"/>
  <c r="J712" i="20"/>
  <c r="J567" i="20"/>
  <c r="J88" i="20"/>
  <c r="J1121" i="20"/>
  <c r="J1120" i="20"/>
  <c r="J1119" i="20"/>
  <c r="J461" i="20"/>
  <c r="J116" i="20"/>
  <c r="J514" i="20"/>
  <c r="J1192" i="20"/>
  <c r="J468" i="20"/>
  <c r="J1687" i="20"/>
  <c r="J860" i="20"/>
  <c r="J1191" i="20"/>
  <c r="J1118" i="20"/>
  <c r="J1330" i="20"/>
  <c r="J1482" i="20"/>
  <c r="J1621" i="20"/>
  <c r="J396" i="20"/>
  <c r="J595" i="20"/>
  <c r="J1309" i="20"/>
  <c r="J909" i="20"/>
  <c r="J395" i="20"/>
  <c r="J1686" i="20"/>
  <c r="J1337" i="20"/>
  <c r="J1117" i="20"/>
  <c r="J1556" i="20"/>
  <c r="J997" i="20"/>
  <c r="J1190" i="20"/>
  <c r="J394" i="20"/>
  <c r="J393" i="20"/>
  <c r="J392" i="20"/>
  <c r="J176" i="20"/>
  <c r="J1284" i="20"/>
  <c r="J1685" i="20"/>
  <c r="J1830" i="20"/>
  <c r="J1301" i="20"/>
  <c r="J1620" i="20"/>
  <c r="J1116" i="20"/>
  <c r="J9" i="20"/>
  <c r="J8" i="20"/>
  <c r="J1619" i="20"/>
  <c r="J1115" i="20"/>
  <c r="J547" i="20"/>
  <c r="J80" i="20"/>
  <c r="J827" i="20"/>
  <c r="J212" i="20"/>
  <c r="J115" i="20"/>
  <c r="J616" i="20"/>
  <c r="J772" i="20"/>
  <c r="J1322" i="20"/>
  <c r="J91" i="20"/>
  <c r="J1889" i="20"/>
  <c r="J391" i="20"/>
  <c r="J114" i="20"/>
  <c r="J761" i="20"/>
  <c r="J390" i="20"/>
  <c r="J1226" i="20"/>
  <c r="J1569" i="20"/>
  <c r="J908" i="20"/>
  <c r="J1888" i="20"/>
  <c r="J1618" i="20"/>
  <c r="J1463" i="20"/>
  <c r="J625" i="20"/>
  <c r="J1114" i="20"/>
  <c r="J79" i="20"/>
  <c r="J43" i="20"/>
  <c r="J42" i="20"/>
  <c r="J389" i="20"/>
  <c r="J934" i="20"/>
  <c r="J1905" i="20"/>
  <c r="J388" i="20"/>
  <c r="J175" i="20"/>
  <c r="J513" i="20"/>
  <c r="J387" i="20"/>
  <c r="J742" i="20"/>
  <c r="J1357" i="20"/>
  <c r="J386" i="20"/>
  <c r="J1514" i="20"/>
  <c r="J385" i="20"/>
  <c r="J1829" i="20"/>
  <c r="J1555" i="20"/>
  <c r="J1462" i="20"/>
  <c r="J996" i="20"/>
  <c r="J995" i="20"/>
  <c r="J78" i="20"/>
  <c r="J1189" i="20"/>
  <c r="J594" i="20"/>
  <c r="J566" i="20"/>
  <c r="J1828" i="20"/>
  <c r="J512" i="20"/>
  <c r="J41" i="20"/>
  <c r="J384" i="20"/>
  <c r="J1554" i="20"/>
  <c r="J231" i="20"/>
  <c r="J1385" i="20"/>
  <c r="J859" i="20"/>
  <c r="J251" i="20"/>
  <c r="J711" i="20"/>
  <c r="J1283" i="20"/>
  <c r="J230" i="20"/>
  <c r="J77" i="20"/>
  <c r="J1427" i="20"/>
  <c r="J907" i="20"/>
  <c r="J1827" i="20"/>
  <c r="J1384" i="20"/>
  <c r="J1826" i="20"/>
  <c r="J710" i="20"/>
  <c r="J61" i="20"/>
  <c r="J1825" i="20"/>
  <c r="J1824" i="20"/>
  <c r="J1426" i="20"/>
  <c r="J1581" i="20"/>
  <c r="J383" i="20"/>
  <c r="J1188" i="20"/>
  <c r="J1321" i="20"/>
  <c r="J1414" i="20"/>
  <c r="J741" i="20"/>
  <c r="J382" i="20"/>
  <c r="J113" i="20"/>
  <c r="J124" i="20"/>
  <c r="J381" i="20"/>
  <c r="J1267" i="20"/>
  <c r="J785" i="20"/>
  <c r="J1320" i="20"/>
  <c r="J933" i="20"/>
  <c r="J994" i="20"/>
  <c r="J858" i="20"/>
  <c r="J1282" i="20"/>
  <c r="J1113" i="20"/>
  <c r="J511" i="20"/>
  <c r="J593" i="20"/>
  <c r="J1407" i="20"/>
  <c r="J1553" i="20"/>
  <c r="J709" i="20"/>
  <c r="J826" i="20"/>
  <c r="J1617" i="20"/>
  <c r="J380" i="20"/>
  <c r="J1481" i="20"/>
  <c r="J565" i="20"/>
  <c r="J1705" i="20"/>
  <c r="J1580" i="20"/>
  <c r="J1187" i="20"/>
  <c r="J112" i="20"/>
  <c r="J111" i="20"/>
  <c r="J510" i="20"/>
  <c r="J40" i="20"/>
  <c r="J379" i="20"/>
  <c r="J656" i="20"/>
  <c r="J708" i="20"/>
  <c r="J707" i="20"/>
  <c r="J706" i="20"/>
  <c r="J740" i="20"/>
  <c r="J460" i="20"/>
  <c r="J1112" i="20"/>
  <c r="J1823" i="20"/>
  <c r="J1329" i="20"/>
  <c r="J229" i="20"/>
  <c r="J1111" i="20"/>
  <c r="J250" i="20"/>
  <c r="J1110" i="20"/>
  <c r="J509" i="20"/>
  <c r="J857" i="20"/>
  <c r="J378" i="20"/>
  <c r="J1704" i="20"/>
  <c r="J110" i="20"/>
  <c r="J993" i="20"/>
  <c r="J592" i="20"/>
  <c r="J705" i="20"/>
  <c r="J1461" i="20"/>
  <c r="J1186" i="20"/>
  <c r="J39" i="20"/>
  <c r="J377" i="20"/>
  <c r="J1109" i="20"/>
  <c r="J992" i="20"/>
  <c r="J1904" i="20"/>
  <c r="J376" i="20"/>
  <c r="J1250" i="20"/>
  <c r="J375" i="20"/>
  <c r="J109" i="20"/>
  <c r="J1249" i="20"/>
  <c r="J1235" i="20"/>
  <c r="J1506" i="20"/>
  <c r="J564" i="20"/>
  <c r="J1413" i="20"/>
  <c r="J856" i="20"/>
  <c r="J374" i="20"/>
  <c r="J373" i="20"/>
  <c r="J641" i="20"/>
  <c r="J640" i="20"/>
  <c r="J372" i="20"/>
  <c r="J1684" i="20"/>
  <c r="J1266" i="20"/>
  <c r="J1108" i="20"/>
  <c r="J1158" i="20"/>
  <c r="J38" i="20"/>
  <c r="J371" i="20"/>
  <c r="J1107" i="20"/>
  <c r="J1822" i="20"/>
  <c r="J1821" i="20"/>
  <c r="J906" i="20"/>
  <c r="J991" i="20"/>
  <c r="J932" i="20"/>
  <c r="J370" i="20"/>
  <c r="J174" i="20"/>
  <c r="J1505" i="20"/>
  <c r="J1319" i="20"/>
  <c r="J508" i="20"/>
  <c r="J228" i="20"/>
  <c r="J784" i="20"/>
  <c r="J1241" i="20"/>
  <c r="J173" i="20"/>
  <c r="J249" i="20"/>
  <c r="J220" i="20"/>
  <c r="J1489" i="20"/>
  <c r="J1552" i="20"/>
  <c r="J1551" i="20"/>
  <c r="J507" i="20"/>
  <c r="J1550" i="20"/>
  <c r="J1683" i="20"/>
  <c r="J1820" i="20"/>
  <c r="J591" i="20"/>
  <c r="J1106" i="20"/>
  <c r="J825" i="20"/>
  <c r="J1703" i="20"/>
  <c r="J590" i="20"/>
  <c r="J1105" i="20"/>
  <c r="J1406" i="20"/>
  <c r="J369" i="20"/>
  <c r="J1104" i="20"/>
  <c r="J1103" i="20"/>
  <c r="J806" i="20"/>
  <c r="J655" i="20"/>
  <c r="J76" i="20"/>
  <c r="J123" i="20"/>
  <c r="J905" i="20"/>
  <c r="J990" i="20"/>
  <c r="J989" i="20"/>
  <c r="J563" i="20"/>
  <c r="J988" i="20"/>
  <c r="J1819" i="20"/>
  <c r="J1818" i="20"/>
  <c r="J1102" i="20"/>
  <c r="J1281" i="20"/>
  <c r="J1579" i="20"/>
  <c r="J1345" i="20"/>
  <c r="J1425" i="20"/>
  <c r="J368" i="20"/>
  <c r="J211" i="20"/>
  <c r="J367" i="20"/>
  <c r="J987" i="20"/>
  <c r="J1300" i="20"/>
  <c r="J366" i="20"/>
  <c r="J986" i="20"/>
  <c r="J546" i="20"/>
  <c r="J1344" i="20"/>
  <c r="J1616" i="20"/>
  <c r="J1568" i="20"/>
  <c r="J704" i="20"/>
  <c r="J506" i="20"/>
  <c r="J172" i="20"/>
  <c r="J505" i="20"/>
  <c r="J193" i="20"/>
  <c r="J365" i="20"/>
  <c r="J703" i="20"/>
  <c r="J1225" i="20"/>
  <c r="J855" i="20"/>
  <c r="J1682" i="20"/>
  <c r="J854" i="20"/>
  <c r="J1185" i="20"/>
  <c r="J1817" i="20"/>
  <c r="J1280" i="20"/>
  <c r="J1615" i="20"/>
  <c r="J1721" i="20"/>
  <c r="J1578" i="20"/>
  <c r="J1343" i="20"/>
  <c r="J1816" i="20"/>
  <c r="J615" i="20"/>
  <c r="J37" i="20"/>
  <c r="J1101" i="20"/>
  <c r="J1100" i="20"/>
  <c r="J2" i="20"/>
  <c r="J171" i="20"/>
  <c r="J654" i="20"/>
  <c r="J108" i="20"/>
  <c r="J170" i="20"/>
  <c r="J639" i="20"/>
  <c r="J653" i="20"/>
  <c r="J771" i="20"/>
  <c r="J702" i="20"/>
  <c r="J790" i="20"/>
  <c r="J789" i="20"/>
  <c r="J364" i="20"/>
  <c r="J985" i="20"/>
  <c r="J984" i="20"/>
  <c r="J652" i="20"/>
  <c r="J1887" i="20"/>
  <c r="J459" i="20"/>
  <c r="J1614" i="20"/>
  <c r="J504" i="20"/>
  <c r="J824" i="20"/>
  <c r="J1299" i="20"/>
  <c r="J1927" i="20"/>
  <c r="J1613" i="20"/>
  <c r="J701" i="20"/>
  <c r="J700" i="20"/>
  <c r="J1383" i="20"/>
  <c r="J1549" i="20"/>
  <c r="J760" i="20"/>
  <c r="J363" i="20"/>
  <c r="J1099" i="20"/>
  <c r="J1886" i="20"/>
  <c r="J1265" i="20"/>
  <c r="J1098" i="20"/>
  <c r="J939" i="20"/>
  <c r="J1097" i="20"/>
  <c r="J795" i="20"/>
  <c r="J1815" i="20"/>
  <c r="J1681" i="20"/>
  <c r="J853" i="20"/>
  <c r="J1493" i="20"/>
  <c r="J503" i="20"/>
  <c r="J502" i="20"/>
  <c r="J1096" i="20"/>
  <c r="J133" i="20"/>
  <c r="J210" i="20"/>
  <c r="J1184" i="20"/>
  <c r="J169" i="20"/>
  <c r="J1926" i="20"/>
  <c r="J1382" i="20"/>
  <c r="J1885" i="20"/>
  <c r="J938" i="20"/>
  <c r="J362" i="20"/>
  <c r="J54" i="20"/>
  <c r="J983" i="20"/>
  <c r="J982" i="20"/>
  <c r="J1095" i="20"/>
  <c r="J651" i="20"/>
  <c r="J1094" i="20"/>
  <c r="J1381" i="20"/>
  <c r="J1210" i="20"/>
  <c r="J699" i="20"/>
  <c r="J168" i="20"/>
  <c r="J467" i="20"/>
  <c r="J1577" i="20"/>
  <c r="J1318" i="20"/>
  <c r="J770" i="20"/>
  <c r="J75" i="20"/>
  <c r="J1612" i="20"/>
  <c r="J1884" i="20"/>
  <c r="J1209" i="20"/>
  <c r="J1183" i="20"/>
  <c r="J662" i="20"/>
  <c r="J1680" i="20"/>
  <c r="J1814" i="20"/>
  <c r="J1716" i="20"/>
  <c r="J562" i="20"/>
  <c r="J1424" i="20"/>
  <c r="J1224" i="20"/>
  <c r="J805" i="20"/>
  <c r="J739" i="20"/>
  <c r="J74" i="20"/>
  <c r="J1813" i="20"/>
  <c r="J1093" i="20"/>
  <c r="J1812" i="20"/>
  <c r="J1548" i="20"/>
  <c r="J1279" i="20"/>
  <c r="J1380" i="20"/>
  <c r="J1223" i="20"/>
  <c r="J167" i="20"/>
  <c r="J852" i="20"/>
  <c r="J361" i="20"/>
  <c r="J1679" i="20"/>
  <c r="J1513" i="20"/>
  <c r="J1611" i="20"/>
  <c r="J1092" i="20"/>
  <c r="J783" i="20"/>
  <c r="J1519" i="20"/>
  <c r="J589" i="20"/>
  <c r="J738" i="20"/>
  <c r="J904" i="20"/>
  <c r="J823" i="20"/>
  <c r="J1379" i="20"/>
  <c r="J822" i="20"/>
  <c r="J1182" i="20"/>
  <c r="J1234" i="20"/>
  <c r="J1504" i="20"/>
  <c r="J769" i="20"/>
  <c r="J360" i="20"/>
  <c r="J903" i="20"/>
  <c r="J768" i="20"/>
  <c r="J1091" i="20"/>
  <c r="J73" i="20"/>
  <c r="J1811" i="20"/>
  <c r="J1547" i="20"/>
  <c r="J1336" i="20"/>
  <c r="J1678" i="20"/>
  <c r="J166" i="20"/>
  <c r="J698" i="20"/>
  <c r="J588" i="20"/>
  <c r="J1677" i="20"/>
  <c r="J1810" i="20"/>
  <c r="J1298" i="20"/>
  <c r="J1546" i="20"/>
  <c r="J219" i="20"/>
  <c r="J132" i="20"/>
  <c r="J60" i="20"/>
  <c r="J501" i="20"/>
  <c r="J500" i="20"/>
  <c r="J697" i="20"/>
  <c r="J696" i="20"/>
  <c r="J737" i="20"/>
  <c r="J902" i="20"/>
  <c r="J1090" i="20"/>
  <c r="J165" i="20"/>
  <c r="J981" i="20"/>
  <c r="J1089" i="20"/>
  <c r="J36" i="20"/>
  <c r="J1328" i="20"/>
  <c r="J1088" i="20"/>
  <c r="J561" i="20"/>
  <c r="J1087" i="20"/>
  <c r="J72" i="20"/>
  <c r="J1086" i="20"/>
  <c r="J901" i="20"/>
  <c r="J1085" i="20"/>
  <c r="J1809" i="20"/>
  <c r="J359" i="20"/>
  <c r="J782" i="20"/>
  <c r="J1460" i="20"/>
  <c r="J1437" i="20"/>
  <c r="J1459" i="20"/>
  <c r="J197" i="20"/>
  <c r="J1354" i="20"/>
  <c r="J358" i="20"/>
  <c r="J781" i="20"/>
  <c r="J35" i="20"/>
  <c r="J1808" i="20"/>
  <c r="J1807" i="20"/>
  <c r="J458" i="20"/>
  <c r="J1610" i="20"/>
  <c r="J1676" i="20"/>
  <c r="J1327" i="20"/>
  <c r="J1084" i="20"/>
  <c r="J1378" i="20"/>
  <c r="J1083" i="20"/>
  <c r="J499" i="20"/>
  <c r="J164" i="20"/>
  <c r="J900" i="20"/>
  <c r="J1925" i="20"/>
  <c r="J1377" i="20"/>
  <c r="J1458" i="20"/>
  <c r="J695" i="20"/>
  <c r="J498" i="20"/>
  <c r="J1609" i="20"/>
  <c r="J980" i="20"/>
  <c r="J1806" i="20"/>
  <c r="J1805" i="20"/>
  <c r="J357" i="20"/>
  <c r="J851" i="20"/>
  <c r="J1883" i="20"/>
  <c r="J804" i="20"/>
  <c r="J1436" i="20"/>
  <c r="J1082" i="20"/>
  <c r="J356" i="20"/>
  <c r="J1457" i="20"/>
  <c r="J1488" i="20"/>
  <c r="J1804" i="20"/>
  <c r="J1081" i="20"/>
  <c r="J545" i="20"/>
  <c r="J1503" i="20"/>
  <c r="J1545" i="20"/>
  <c r="J587" i="20"/>
  <c r="J586" i="20"/>
  <c r="J736" i="20"/>
  <c r="J1502" i="20"/>
  <c r="J1233" i="20"/>
  <c r="J767" i="20"/>
  <c r="J355" i="20"/>
  <c r="J1080" i="20"/>
  <c r="J1079" i="20"/>
  <c r="J979" i="20"/>
  <c r="J614" i="20"/>
  <c r="J34" i="20"/>
  <c r="J978" i="20"/>
  <c r="J1675" i="20"/>
  <c r="J1803" i="20"/>
  <c r="J1278" i="20"/>
  <c r="J1317" i="20"/>
  <c r="J1608" i="20"/>
  <c r="J1924" i="20"/>
  <c r="J1544" i="20"/>
  <c r="J850" i="20"/>
  <c r="J899" i="20"/>
  <c r="J1078" i="20"/>
  <c r="J218" i="20"/>
  <c r="J497" i="20"/>
  <c r="J354" i="20"/>
  <c r="J638" i="20"/>
  <c r="J650" i="20"/>
  <c r="J694" i="20"/>
  <c r="J693" i="20"/>
  <c r="J735" i="20"/>
  <c r="J898" i="20"/>
  <c r="J849" i="20"/>
  <c r="J585" i="20"/>
  <c r="J544" i="20"/>
  <c r="J496" i="20"/>
  <c r="J631" i="20"/>
  <c r="J766" i="20"/>
  <c r="J227" i="20"/>
  <c r="J977" i="20"/>
  <c r="J624" i="20"/>
  <c r="J692" i="20"/>
  <c r="J976" i="20"/>
  <c r="J560" i="20"/>
  <c r="J107" i="20"/>
  <c r="J975" i="20"/>
  <c r="J1607" i="20"/>
  <c r="J248" i="20"/>
  <c r="J163" i="20"/>
  <c r="J353" i="20"/>
  <c r="J1077" i="20"/>
  <c r="J691" i="20"/>
  <c r="J1376" i="20"/>
  <c r="J1802" i="20"/>
  <c r="J352" i="20"/>
  <c r="J1076" i="20"/>
  <c r="J1075" i="20"/>
  <c r="J1423" i="20"/>
  <c r="J7" i="20"/>
  <c r="J247" i="20"/>
  <c r="J351" i="20"/>
  <c r="J1674" i="20"/>
  <c r="J201" i="20"/>
  <c r="J495" i="20"/>
  <c r="J1181" i="20"/>
  <c r="J162" i="20"/>
  <c r="J543" i="20"/>
  <c r="J821" i="20"/>
  <c r="J1297" i="20"/>
  <c r="J1801" i="20"/>
  <c r="J1412" i="20"/>
  <c r="J33" i="20"/>
  <c r="J350" i="20"/>
  <c r="J494" i="20"/>
  <c r="J1673" i="20"/>
  <c r="J1606" i="20"/>
  <c r="J1074" i="20"/>
  <c r="J1543" i="20"/>
  <c r="J192" i="20"/>
  <c r="J820" i="20"/>
  <c r="J1480" i="20"/>
  <c r="J1479" i="20"/>
  <c r="J1672" i="20"/>
  <c r="J1180" i="20"/>
  <c r="J931" i="20"/>
  <c r="J1501" i="20"/>
  <c r="J974" i="20"/>
  <c r="J1277" i="20"/>
  <c r="J1335" i="20"/>
  <c r="J1800" i="20"/>
  <c r="J106" i="20"/>
  <c r="J897" i="20"/>
  <c r="J1671" i="20"/>
  <c r="J493" i="20"/>
  <c r="J1264" i="20"/>
  <c r="J1232" i="20"/>
  <c r="J1702" i="20"/>
  <c r="J1799" i="20"/>
  <c r="J765" i="20"/>
  <c r="J1670" i="20"/>
  <c r="J32" i="20"/>
  <c r="J734" i="20"/>
  <c r="J1798" i="20"/>
  <c r="J1797" i="20"/>
  <c r="J1882" i="20"/>
  <c r="J1296" i="20"/>
  <c r="J349" i="20"/>
  <c r="J161" i="20"/>
  <c r="J690" i="20"/>
  <c r="J1796" i="20"/>
  <c r="J1605" i="20"/>
  <c r="J1276" i="20"/>
  <c r="J1881" i="20"/>
  <c r="J246" i="20"/>
  <c r="J689" i="20"/>
  <c r="J688" i="20"/>
  <c r="J348" i="20"/>
  <c r="J759" i="20"/>
  <c r="J347" i="20"/>
  <c r="J1795" i="20"/>
  <c r="J160" i="20"/>
  <c r="J346" i="20"/>
  <c r="J345" i="20"/>
  <c r="J613" i="20"/>
  <c r="J1073" i="20"/>
  <c r="J492" i="20"/>
  <c r="J848" i="20"/>
  <c r="J1179" i="20"/>
  <c r="J1542" i="20"/>
  <c r="J1456" i="20"/>
  <c r="J344" i="20"/>
  <c r="J209" i="20"/>
  <c r="J343" i="20"/>
  <c r="J1500" i="20"/>
  <c r="J1794" i="20"/>
  <c r="J342" i="20"/>
  <c r="J1713" i="20"/>
  <c r="J1880" i="20"/>
  <c r="J87" i="20"/>
  <c r="J612" i="20"/>
  <c r="J1072" i="20"/>
  <c r="J245" i="20"/>
  <c r="J847" i="20"/>
  <c r="J1405" i="20"/>
  <c r="J1793" i="20"/>
  <c r="J687" i="20"/>
  <c r="J71" i="20"/>
  <c r="J341" i="20"/>
  <c r="J1879" i="20"/>
  <c r="J340" i="20"/>
  <c r="J1792" i="20"/>
  <c r="J1791" i="20"/>
  <c r="J475" i="20"/>
  <c r="J1422" i="20"/>
  <c r="J1071" i="20"/>
  <c r="J973" i="20"/>
  <c r="J1712" i="20"/>
  <c r="J1790" i="20"/>
  <c r="J1375" i="20"/>
  <c r="J819" i="20"/>
  <c r="J491" i="20"/>
  <c r="J803" i="20"/>
  <c r="J1455" i="20"/>
  <c r="J1411" i="20"/>
  <c r="J559" i="20"/>
  <c r="J122" i="20"/>
  <c r="J1374" i="20"/>
  <c r="J159" i="20"/>
  <c r="J1342" i="20"/>
  <c r="J1373" i="20"/>
  <c r="J90" i="20"/>
  <c r="J972" i="20"/>
  <c r="J733" i="20"/>
  <c r="J896" i="20"/>
  <c r="J1316" i="20"/>
  <c r="J1315" i="20"/>
  <c r="J1903" i="20"/>
  <c r="J339" i="20"/>
  <c r="J158" i="20"/>
  <c r="J6" i="20"/>
  <c r="J611" i="20"/>
  <c r="J584" i="20"/>
  <c r="J1070" i="20"/>
  <c r="J1069" i="20"/>
  <c r="J1068" i="20"/>
  <c r="J1067" i="20"/>
  <c r="J1701" i="20"/>
  <c r="J1066" i="20"/>
  <c r="J1878" i="20"/>
  <c r="J1902" i="20"/>
  <c r="J764" i="20"/>
  <c r="J157" i="20"/>
  <c r="J490" i="20"/>
  <c r="J1263" i="20"/>
  <c r="J583" i="20"/>
  <c r="J1275" i="20"/>
  <c r="J1314" i="20"/>
  <c r="J1789" i="20"/>
  <c r="J1454" i="20"/>
  <c r="J971" i="20"/>
  <c r="J338" i="20"/>
  <c r="J930" i="20"/>
  <c r="J818" i="20"/>
  <c r="J105" i="20"/>
  <c r="J1478" i="20"/>
  <c r="J104" i="20"/>
  <c r="J466" i="20"/>
  <c r="J970" i="20"/>
  <c r="J895" i="20"/>
  <c r="J1512" i="20"/>
  <c r="J337" i="20"/>
  <c r="J208" i="20"/>
  <c r="J1453" i="20"/>
  <c r="J1065" i="20"/>
  <c r="J1274" i="20"/>
  <c r="J103" i="20"/>
  <c r="J1178" i="20"/>
  <c r="J1788" i="20"/>
  <c r="J969" i="20"/>
  <c r="J623" i="20"/>
  <c r="J1452" i="20"/>
  <c r="J1435" i="20"/>
  <c r="J686" i="20"/>
  <c r="J542" i="20"/>
  <c r="J336" i="20"/>
  <c r="J846" i="20"/>
  <c r="J335" i="20"/>
  <c r="J334" i="20"/>
  <c r="J1177" i="20"/>
  <c r="J1372" i="20"/>
  <c r="J1669" i="20"/>
  <c r="J1064" i="20"/>
  <c r="J1063" i="20"/>
  <c r="J333" i="20"/>
  <c r="J1062" i="20"/>
  <c r="J1668" i="20"/>
  <c r="J1787" i="20"/>
  <c r="J1176" i="20"/>
  <c r="J1061" i="20"/>
  <c r="J558" i="20"/>
  <c r="J1576" i="20"/>
  <c r="J226" i="20"/>
  <c r="J968" i="20"/>
  <c r="J754" i="20"/>
  <c r="J1877" i="20"/>
  <c r="J1667" i="20"/>
  <c r="J1060" i="20"/>
  <c r="J1604" i="20"/>
  <c r="J332" i="20"/>
  <c r="J1786" i="20"/>
  <c r="J331" i="20"/>
  <c r="J330" i="20"/>
  <c r="J1059" i="20"/>
  <c r="J329" i="20"/>
  <c r="J328" i="20"/>
  <c r="J327" i="20"/>
  <c r="J1785" i="20"/>
  <c r="J31" i="20"/>
  <c r="J326" i="20"/>
  <c r="J207" i="20"/>
  <c r="J325" i="20"/>
  <c r="J685" i="20"/>
  <c r="J1353" i="20"/>
  <c r="J1923" i="20"/>
  <c r="J1541" i="20"/>
  <c r="J557" i="20"/>
  <c r="J1492" i="20"/>
  <c r="J1700" i="20"/>
  <c r="J1273" i="20"/>
  <c r="J1666" i="20"/>
  <c r="J70" i="20"/>
  <c r="J845" i="20"/>
  <c r="J30" i="20"/>
  <c r="J582" i="20"/>
  <c r="J630" i="20"/>
  <c r="J1665" i="20"/>
  <c r="J324" i="20"/>
  <c r="J1295" i="20"/>
  <c r="J121" i="20"/>
  <c r="J323" i="20"/>
  <c r="J1784" i="20"/>
  <c r="J1711" i="20"/>
  <c r="J1783" i="20"/>
  <c r="J102" i="20"/>
  <c r="J758" i="20"/>
  <c r="J622" i="20"/>
  <c r="J322" i="20"/>
  <c r="J321" i="20"/>
  <c r="J780" i="20"/>
  <c r="J929" i="20"/>
  <c r="J928" i="20"/>
  <c r="J217" i="20"/>
  <c r="J1782" i="20"/>
  <c r="J1781" i="20"/>
  <c r="J244" i="20"/>
  <c r="J1222" i="20"/>
  <c r="J1262" i="20"/>
  <c r="J1272" i="20"/>
  <c r="J1876" i="20"/>
  <c r="J320" i="20"/>
  <c r="J1058" i="20"/>
  <c r="J581" i="20"/>
  <c r="J1175" i="20"/>
  <c r="J1780" i="20"/>
  <c r="J580" i="20"/>
  <c r="J1174" i="20"/>
  <c r="J1779" i="20"/>
  <c r="J1664" i="20"/>
  <c r="J817" i="20"/>
  <c r="J1173" i="20"/>
  <c r="J732" i="20"/>
  <c r="J59" i="20"/>
  <c r="J894" i="20"/>
  <c r="J489" i="20"/>
  <c r="J1240" i="20"/>
  <c r="J1603" i="20"/>
  <c r="J1172" i="20"/>
  <c r="J1567" i="20"/>
  <c r="J131" i="20"/>
  <c r="J319" i="20"/>
  <c r="J1875" i="20"/>
  <c r="J731" i="20"/>
  <c r="J1720" i="20"/>
  <c r="J1499" i="20"/>
  <c r="J29" i="20"/>
  <c r="J579" i="20"/>
  <c r="J1874" i="20"/>
  <c r="J1477" i="20"/>
  <c r="J1873" i="20"/>
  <c r="J58" i="20"/>
  <c r="J1410" i="20"/>
  <c r="J1778" i="20"/>
  <c r="J794" i="20"/>
  <c r="J1057" i="20"/>
  <c r="J318" i="20"/>
  <c r="J1056" i="20"/>
  <c r="J1777" i="20"/>
  <c r="J317" i="20"/>
  <c r="J156" i="20"/>
  <c r="J101" i="20"/>
  <c r="J488" i="20"/>
  <c r="J487" i="20"/>
  <c r="J1663" i="20"/>
  <c r="J684" i="20"/>
  <c r="J1055" i="20"/>
  <c r="J130" i="20"/>
  <c r="J100" i="20"/>
  <c r="J1421" i="20"/>
  <c r="J1776" i="20"/>
  <c r="J629" i="20"/>
  <c r="J893" i="20"/>
  <c r="J1248" i="20"/>
  <c r="J1221" i="20"/>
  <c r="J1231" i="20"/>
  <c r="J243" i="20"/>
  <c r="J1247" i="20"/>
  <c r="J556" i="20"/>
  <c r="J1775" i="20"/>
  <c r="J125" i="20"/>
  <c r="J1054" i="20"/>
  <c r="J1575" i="20"/>
  <c r="J1053" i="20"/>
  <c r="J753" i="20"/>
  <c r="J967" i="20"/>
  <c r="J1420" i="20"/>
  <c r="J1451" i="20"/>
  <c r="J555" i="20"/>
  <c r="J1052" i="20"/>
  <c r="J316" i="20"/>
  <c r="J191" i="20"/>
  <c r="J1602" i="20"/>
  <c r="J1662" i="20"/>
  <c r="J1487" i="20"/>
  <c r="J1341" i="20"/>
  <c r="J1157" i="20"/>
  <c r="J486" i="20"/>
  <c r="J649" i="20"/>
  <c r="J155" i="20"/>
  <c r="J1051" i="20"/>
  <c r="J154" i="20"/>
  <c r="J1050" i="20"/>
  <c r="J1049" i="20"/>
  <c r="J966" i="20"/>
  <c r="J485" i="20"/>
  <c r="J730" i="20"/>
  <c r="J242" i="20"/>
  <c r="J1246" i="20"/>
  <c r="J1518" i="20"/>
  <c r="J1715" i="20"/>
  <c r="J1661" i="20"/>
  <c r="J153" i="20"/>
  <c r="J844" i="20"/>
  <c r="J892" i="20"/>
  <c r="J1261" i="20"/>
  <c r="J152" i="20"/>
  <c r="J610" i="20"/>
  <c r="J1352" i="20"/>
  <c r="J1660" i="20"/>
  <c r="J1659" i="20"/>
  <c r="J1171" i="20"/>
  <c r="J1156" i="20"/>
  <c r="J1450" i="20"/>
  <c r="J1449" i="20"/>
  <c r="J1601" i="20"/>
  <c r="J57" i="20"/>
  <c r="J802" i="20"/>
  <c r="J216" i="20"/>
  <c r="J683" i="20"/>
  <c r="J315" i="20"/>
  <c r="J1774" i="20"/>
  <c r="J151" i="20"/>
  <c r="J314" i="20"/>
  <c r="J474" i="20"/>
  <c r="J682" i="20"/>
  <c r="J1773" i="20"/>
  <c r="J1294" i="20"/>
  <c r="J1772" i="20"/>
  <c r="J1048" i="20"/>
  <c r="J1900" i="20"/>
  <c r="J661" i="20"/>
  <c r="J150" i="20"/>
  <c r="J1658" i="20"/>
  <c r="J788" i="20"/>
  <c r="J1699" i="20"/>
  <c r="J149" i="20"/>
  <c r="J28" i="20"/>
  <c r="J816" i="20"/>
  <c r="J1922" i="20"/>
  <c r="J1371" i="20"/>
  <c r="J729" i="20"/>
  <c r="J1771" i="20"/>
  <c r="J313" i="20"/>
  <c r="J1770" i="20"/>
  <c r="J454" i="20"/>
  <c r="J891" i="20"/>
  <c r="J1540" i="20"/>
  <c r="J1769" i="20"/>
  <c r="J1574" i="20"/>
  <c r="J1047" i="20"/>
  <c r="J1517" i="20"/>
  <c r="J1448" i="20"/>
  <c r="J1370" i="20"/>
  <c r="J1046" i="20"/>
  <c r="J815" i="20"/>
  <c r="J1369" i="20"/>
  <c r="J1170" i="20"/>
  <c r="J763" i="20"/>
  <c r="J312" i="20"/>
  <c r="J681" i="20"/>
  <c r="J1516" i="20"/>
  <c r="J1334" i="20"/>
  <c r="J1419" i="20"/>
  <c r="J1447" i="20"/>
  <c r="J1657" i="20"/>
  <c r="J680" i="20"/>
  <c r="J679" i="20"/>
  <c r="J1045" i="20"/>
  <c r="J148" i="20"/>
  <c r="J927" i="20"/>
  <c r="J27" i="20"/>
  <c r="J1044" i="20"/>
  <c r="J1043" i="20"/>
  <c r="J814" i="20"/>
  <c r="J965" i="20"/>
  <c r="J1872" i="20"/>
  <c r="J1368" i="20"/>
  <c r="J1539" i="20"/>
  <c r="J1538" i="20"/>
  <c r="J678" i="20"/>
  <c r="J677" i="20"/>
  <c r="J1768" i="20"/>
  <c r="J541" i="20"/>
  <c r="J1220" i="20"/>
  <c r="J1600" i="20"/>
  <c r="J1313" i="20"/>
  <c r="J1537" i="20"/>
  <c r="J1767" i="20"/>
  <c r="J1536" i="20"/>
  <c r="J311" i="20"/>
  <c r="J578" i="20"/>
  <c r="J648" i="20"/>
  <c r="J69" i="20"/>
  <c r="J926" i="20"/>
  <c r="J310" i="20"/>
  <c r="J890" i="20"/>
  <c r="J889" i="20"/>
  <c r="J1766" i="20"/>
  <c r="J1535" i="20"/>
  <c r="J1042" i="20"/>
  <c r="J888" i="20"/>
  <c r="J676" i="20"/>
  <c r="J577" i="20"/>
  <c r="J1765" i="20"/>
  <c r="J56" i="20"/>
  <c r="J964" i="20"/>
  <c r="J68" i="20"/>
  <c r="J67" i="20"/>
  <c r="J1764" i="20"/>
  <c r="J1534" i="20"/>
  <c r="J1763" i="20"/>
  <c r="J675" i="20"/>
  <c r="J241" i="20"/>
  <c r="J225" i="20"/>
  <c r="J26" i="20"/>
  <c r="J25" i="20"/>
  <c r="J1293" i="20"/>
  <c r="J309" i="20"/>
  <c r="J576" i="20"/>
  <c r="J457" i="20"/>
  <c r="J843" i="20"/>
  <c r="J308" i="20"/>
  <c r="J1533" i="20"/>
  <c r="J1486" i="20"/>
  <c r="J1498" i="20"/>
  <c r="J963" i="20"/>
  <c r="J887" i="20"/>
  <c r="J1921" i="20"/>
  <c r="J206" i="20"/>
  <c r="J1762" i="20"/>
  <c r="J1871" i="20"/>
  <c r="J621" i="20"/>
  <c r="J962" i="20"/>
  <c r="J1710" i="20"/>
  <c r="J1491" i="20"/>
  <c r="J147" i="20"/>
  <c r="J240" i="20"/>
  <c r="J647" i="20"/>
  <c r="J1870" i="20"/>
  <c r="J1698" i="20"/>
  <c r="J1761" i="20"/>
  <c r="J99" i="20"/>
  <c r="J24" i="20"/>
  <c r="J23" i="20"/>
  <c r="J554" i="20"/>
  <c r="J98" i="20"/>
  <c r="J886" i="20"/>
  <c r="J307" i="20"/>
  <c r="J553" i="20"/>
  <c r="J885" i="20"/>
  <c r="J306" i="20"/>
  <c r="J1239" i="20"/>
  <c r="J646" i="20"/>
  <c r="J637" i="20"/>
  <c r="J1041" i="20"/>
  <c r="J1901" i="20"/>
  <c r="J146" i="20"/>
  <c r="J801" i="20"/>
  <c r="J145" i="20"/>
  <c r="J305" i="20"/>
  <c r="J196" i="20"/>
  <c r="J674" i="20"/>
  <c r="J1219" i="20"/>
  <c r="J1869" i="20"/>
  <c r="J1760" i="20"/>
  <c r="J1759" i="20"/>
  <c r="J304" i="20"/>
  <c r="J303" i="20"/>
  <c r="J961" i="20"/>
  <c r="J1868" i="20"/>
  <c r="J813" i="20"/>
  <c r="J1532" i="20"/>
  <c r="J1656" i="20"/>
  <c r="J302" i="20"/>
  <c r="J484" i="20"/>
  <c r="J1230" i="20"/>
  <c r="J1573" i="20"/>
  <c r="J1040" i="20"/>
  <c r="J1039" i="20"/>
  <c r="J1169" i="20"/>
  <c r="J97" i="20"/>
  <c r="J239" i="20"/>
  <c r="J1485" i="20"/>
  <c r="J1038" i="20"/>
  <c r="J1476" i="20"/>
  <c r="J1475" i="20"/>
  <c r="J1155" i="20"/>
  <c r="J762" i="20"/>
  <c r="J1168" i="20"/>
  <c r="J842" i="20"/>
  <c r="J224" i="20"/>
  <c r="J728" i="20"/>
  <c r="J812" i="20"/>
  <c r="J22" i="20"/>
  <c r="J301" i="20"/>
  <c r="J800" i="20"/>
  <c r="J1867" i="20"/>
  <c r="J1899" i="20"/>
  <c r="J1446" i="20"/>
  <c r="J86" i="20"/>
  <c r="J144" i="20"/>
  <c r="J473" i="20"/>
  <c r="J483" i="20"/>
  <c r="J1218" i="20"/>
  <c r="J482" i="20"/>
  <c r="J1257" i="20"/>
  <c r="J636" i="20"/>
  <c r="J628" i="20"/>
  <c r="J635" i="20"/>
  <c r="J300" i="20"/>
  <c r="J799" i="20"/>
  <c r="J299" i="20"/>
  <c r="J1709" i="20"/>
  <c r="J1655" i="20"/>
  <c r="J1418" i="20"/>
  <c r="J1217" i="20"/>
  <c r="J1256" i="20"/>
  <c r="J200" i="20"/>
  <c r="J298" i="20"/>
  <c r="J1333" i="20"/>
  <c r="J1654" i="20"/>
  <c r="J129" i="20"/>
  <c r="J1653" i="20"/>
  <c r="J1652" i="20"/>
  <c r="J190" i="20"/>
  <c r="J609" i="20"/>
  <c r="J793" i="20"/>
  <c r="J238" i="20"/>
  <c r="J727" i="20"/>
  <c r="J21" i="20"/>
  <c r="J1758" i="20"/>
  <c r="J960" i="20"/>
  <c r="J959" i="20"/>
  <c r="J297" i="20"/>
  <c r="J296" i="20"/>
  <c r="J673" i="20"/>
  <c r="J1599" i="20"/>
  <c r="J1757" i="20"/>
  <c r="J1312" i="20"/>
  <c r="J1404" i="20"/>
  <c r="J1531" i="20"/>
  <c r="J925" i="20"/>
  <c r="J884" i="20"/>
  <c r="J295" i="20"/>
  <c r="J55" i="20"/>
  <c r="J205" i="20"/>
  <c r="J294" i="20"/>
  <c r="J608" i="20"/>
  <c r="J66" i="20"/>
  <c r="J1651" i="20"/>
  <c r="J1697" i="20"/>
  <c r="J1920" i="20"/>
  <c r="J540" i="20"/>
  <c r="J456" i="20"/>
  <c r="J1919" i="20"/>
  <c r="J726" i="20"/>
  <c r="J1216" i="20"/>
  <c r="J1367" i="20"/>
  <c r="J1756" i="20"/>
  <c r="J4" i="20"/>
  <c r="J293" i="20"/>
  <c r="J1037" i="20"/>
  <c r="J958" i="20"/>
  <c r="J292" i="20"/>
  <c r="J1755" i="20"/>
  <c r="J841" i="20"/>
  <c r="J539" i="20"/>
  <c r="J634" i="20"/>
  <c r="J291" i="20"/>
  <c r="J85" i="20"/>
  <c r="J883" i="20"/>
  <c r="J957" i="20"/>
  <c r="J1351" i="20"/>
  <c r="J956" i="20"/>
  <c r="J1754" i="20"/>
  <c r="J1918" i="20"/>
  <c r="J1917" i="20"/>
  <c r="J1292" i="20"/>
  <c r="J1916" i="20"/>
  <c r="J924" i="20"/>
  <c r="J955" i="20"/>
  <c r="J290" i="20"/>
  <c r="J65" i="20"/>
  <c r="J237" i="20"/>
  <c r="J481" i="20"/>
  <c r="J882" i="20"/>
  <c r="J1245" i="20"/>
  <c r="J1244" i="20"/>
  <c r="J1167" i="20"/>
  <c r="J1036" i="20"/>
  <c r="J1484" i="20"/>
  <c r="J1530" i="20"/>
  <c r="J840" i="20"/>
  <c r="J538" i="20"/>
  <c r="J839" i="20"/>
  <c r="J480" i="20"/>
  <c r="J1311" i="20"/>
  <c r="J1271" i="20"/>
  <c r="J1598" i="20"/>
  <c r="J20" i="20"/>
  <c r="J607" i="20"/>
  <c r="J1474" i="20"/>
  <c r="J1915" i="20"/>
  <c r="J1753" i="20"/>
  <c r="J236" i="20"/>
  <c r="J1260" i="20"/>
  <c r="J1215" i="20"/>
  <c r="J1529" i="20"/>
  <c r="J672" i="20"/>
  <c r="J1752" i="20"/>
  <c r="J128" i="20"/>
  <c r="J1166" i="20"/>
  <c r="J1751" i="20"/>
  <c r="J881" i="20"/>
  <c r="J289" i="20"/>
  <c r="J1214" i="20"/>
  <c r="J143" i="20"/>
  <c r="J142" i="20"/>
  <c r="J1497" i="20"/>
  <c r="J472" i="20"/>
  <c r="J838" i="20"/>
  <c r="J1445" i="20"/>
  <c r="J1310" i="20"/>
  <c r="J1696" i="20"/>
  <c r="J1866" i="20"/>
  <c r="J1650" i="20"/>
  <c r="J923" i="20"/>
  <c r="J1750" i="20"/>
  <c r="J288" i="20"/>
  <c r="J287" i="20"/>
  <c r="J552" i="20"/>
  <c r="J798" i="20"/>
  <c r="J286" i="20"/>
  <c r="J575" i="20"/>
  <c r="J1259" i="20"/>
  <c r="J606" i="20"/>
  <c r="J1865" i="20"/>
  <c r="J479" i="20"/>
  <c r="J1914" i="20"/>
  <c r="J1649" i="20"/>
  <c r="J1035" i="20"/>
  <c r="J725" i="20"/>
  <c r="J1034" i="20"/>
  <c r="J1033" i="20"/>
  <c r="J1648" i="20"/>
  <c r="J1749" i="20"/>
  <c r="J1597" i="20"/>
  <c r="J1032" i="20"/>
  <c r="J1031" i="20"/>
  <c r="J285" i="20"/>
  <c r="J284" i="20"/>
  <c r="J811" i="20"/>
  <c r="J671" i="20"/>
  <c r="J1490" i="20"/>
  <c r="J752" i="20"/>
  <c r="J283" i="20"/>
  <c r="J1340" i="20"/>
  <c r="J1596" i="20"/>
  <c r="J1748" i="20"/>
  <c r="J954" i="20"/>
  <c r="J1165" i="20"/>
  <c r="J1030" i="20"/>
  <c r="J1366" i="20"/>
  <c r="J605" i="20"/>
  <c r="J1647" i="20"/>
  <c r="J1444" i="20"/>
  <c r="J1646" i="20"/>
  <c r="J282" i="20"/>
  <c r="J880" i="20"/>
  <c r="J1291" i="20"/>
  <c r="J1403" i="20"/>
  <c r="J471" i="20"/>
  <c r="J1029" i="20"/>
  <c r="J1164" i="20"/>
  <c r="J757" i="20"/>
  <c r="J19" i="20"/>
  <c r="J1864" i="20"/>
  <c r="J953" i="20"/>
  <c r="J1695" i="20"/>
  <c r="J1645" i="20"/>
  <c r="J96" i="20"/>
  <c r="J235" i="20"/>
  <c r="J1913" i="20"/>
  <c r="J1528" i="20"/>
  <c r="J1350" i="20"/>
  <c r="J1595" i="20"/>
  <c r="J120" i="20"/>
  <c r="J1270" i="20"/>
  <c r="J1912" i="20"/>
  <c r="J1747" i="20"/>
  <c r="J1746" i="20"/>
  <c r="J64" i="20"/>
  <c r="J952" i="20"/>
  <c r="J627" i="20"/>
  <c r="J1644" i="20"/>
  <c r="J779" i="20"/>
  <c r="J95" i="20"/>
  <c r="J670" i="20"/>
  <c r="J281" i="20"/>
  <c r="J1417" i="20"/>
  <c r="J63" i="20"/>
  <c r="J18" i="20"/>
  <c r="J1527" i="20"/>
  <c r="J879" i="20"/>
  <c r="J1643" i="20"/>
  <c r="J1515" i="20"/>
  <c r="J1642" i="20"/>
  <c r="J280" i="20"/>
  <c r="J878" i="20"/>
  <c r="J279" i="20"/>
  <c r="J792" i="20"/>
  <c r="J1290" i="20"/>
  <c r="J837" i="20"/>
  <c r="J478" i="20"/>
  <c r="J94" i="20"/>
  <c r="J1641" i="20"/>
  <c r="J1745" i="20"/>
  <c r="J836" i="20"/>
  <c r="J877" i="20"/>
  <c r="J1594" i="20"/>
  <c r="J455" i="20"/>
  <c r="J1483" i="20"/>
  <c r="J17" i="20"/>
  <c r="J278" i="20"/>
  <c r="J1332" i="20"/>
  <c r="J1744" i="20"/>
  <c r="J1743" i="20"/>
  <c r="J277" i="20"/>
  <c r="J16" i="20"/>
  <c r="J204" i="20"/>
  <c r="J951" i="20"/>
  <c r="J1255" i="20"/>
  <c r="J470" i="20"/>
  <c r="J1229" i="20"/>
  <c r="J835" i="20"/>
  <c r="J276" i="20"/>
  <c r="J574" i="20"/>
  <c r="J950" i="20"/>
  <c r="J949" i="20"/>
  <c r="J1526" i="20"/>
  <c r="J1525" i="20"/>
  <c r="J1339" i="20"/>
  <c r="J1593" i="20"/>
  <c r="J948" i="20"/>
  <c r="J15" i="20"/>
  <c r="J141" i="20"/>
  <c r="J537" i="20"/>
  <c r="J947" i="20"/>
  <c r="J62" i="20"/>
  <c r="J93" i="20"/>
  <c r="J1898" i="20"/>
  <c r="J223" i="20"/>
  <c r="J1163" i="20"/>
  <c r="J1742" i="20"/>
  <c r="J1416" i="20"/>
  <c r="J275" i="20"/>
  <c r="J215" i="20"/>
  <c r="J876" i="20"/>
  <c r="J1863" i="20"/>
  <c r="J1028" i="20"/>
  <c r="J453" i="20"/>
  <c r="J1640" i="20"/>
  <c r="J1862" i="20"/>
  <c r="J1911" i="20"/>
  <c r="J751" i="20"/>
  <c r="J127" i="20"/>
  <c r="J1524" i="20"/>
  <c r="J922" i="20"/>
  <c r="J551" i="20"/>
  <c r="J604" i="20"/>
  <c r="J477" i="20"/>
  <c r="J875" i="20"/>
  <c r="J1741" i="20"/>
  <c r="J724" i="20"/>
  <c r="J469" i="20"/>
  <c r="J1592" i="20"/>
  <c r="J1639" i="20"/>
  <c r="J1740" i="20"/>
  <c r="J1523" i="20"/>
  <c r="J1027" i="20"/>
  <c r="J1739" i="20"/>
  <c r="J1638" i="20"/>
  <c r="J1473" i="20"/>
  <c r="J1738" i="20"/>
  <c r="J1737" i="20"/>
  <c r="J633" i="20"/>
  <c r="J1026" i="20"/>
  <c r="J536" i="20"/>
  <c r="J1365" i="20"/>
  <c r="J1861" i="20"/>
  <c r="J1443" i="20"/>
  <c r="J1591" i="20"/>
  <c r="J1572" i="20"/>
  <c r="J1736" i="20"/>
  <c r="J1735" i="20"/>
  <c r="J1734" i="20"/>
  <c r="J946" i="20"/>
  <c r="J669" i="20"/>
  <c r="J668" i="20"/>
  <c r="J667" i="20"/>
  <c r="J1590" i="20"/>
  <c r="J1733" i="20"/>
  <c r="J945" i="20"/>
  <c r="J465" i="20"/>
  <c r="J1694" i="20"/>
  <c r="J476" i="20"/>
  <c r="J1714" i="20"/>
  <c r="J1349" i="20"/>
  <c r="J874" i="20"/>
  <c r="J1364" i="20"/>
  <c r="J1637" i="20"/>
  <c r="J666" i="20"/>
  <c r="J1025" i="20"/>
  <c r="J274" i="20"/>
  <c r="J1363" i="20"/>
  <c r="J1442" i="20"/>
  <c r="J1732" i="20"/>
  <c r="J1024" i="20"/>
  <c r="J140" i="20"/>
  <c r="J1409" i="20"/>
  <c r="J1441" i="20"/>
  <c r="J645" i="20"/>
  <c r="J1023" i="20"/>
  <c r="J1022" i="20"/>
  <c r="J1021" i="20"/>
  <c r="J810" i="20"/>
  <c r="J921" i="20"/>
  <c r="J1020" i="20"/>
  <c r="J944" i="20"/>
  <c r="J1362" i="20"/>
  <c r="J1910" i="20"/>
  <c r="J873" i="20"/>
  <c r="J1019" i="20"/>
  <c r="J665" i="20"/>
  <c r="J273" i="20"/>
  <c r="J1402" i="20"/>
  <c r="J664" i="20"/>
  <c r="J573" i="20"/>
  <c r="J778" i="20"/>
  <c r="J809" i="20"/>
  <c r="J1228" i="20"/>
  <c r="J1162" i="20"/>
  <c r="J1018" i="20"/>
  <c r="J723" i="20"/>
  <c r="J1731" i="20"/>
  <c r="J1636" i="20"/>
  <c r="J1708" i="20"/>
  <c r="J272" i="20"/>
  <c r="J808" i="20"/>
  <c r="J1348" i="20"/>
  <c r="J271" i="20"/>
  <c r="J119" i="20"/>
  <c r="J139" i="20"/>
  <c r="J1589" i="20"/>
  <c r="J1401" i="20"/>
  <c r="J1361" i="20"/>
  <c r="J270" i="20"/>
  <c r="J1360" i="20"/>
  <c r="J1730" i="20"/>
  <c r="J1729" i="20"/>
  <c r="J920" i="20"/>
  <c r="J919" i="20"/>
  <c r="J660" i="20"/>
  <c r="J1496" i="20"/>
  <c r="J1566" i="20"/>
  <c r="J1213" i="20"/>
  <c r="J1212" i="20"/>
  <c r="J1161" i="20"/>
  <c r="J1017" i="20"/>
  <c r="J1359" i="20"/>
  <c r="J1728" i="20"/>
  <c r="J1727" i="20"/>
  <c r="J620" i="20"/>
  <c r="J269" i="20"/>
  <c r="J203" i="20"/>
  <c r="J1440" i="20"/>
  <c r="J126" i="20"/>
  <c r="J872" i="20"/>
  <c r="J1243" i="20"/>
  <c r="J5" i="20"/>
  <c r="J1726" i="20"/>
  <c r="J1415" i="20"/>
  <c r="J14" i="20"/>
  <c r="J13" i="20"/>
  <c r="J1719" i="20"/>
  <c r="J53" i="20"/>
  <c r="J663" i="20"/>
  <c r="J1495" i="20"/>
  <c r="J1016" i="20"/>
  <c r="J1015" i="20"/>
  <c r="J1522" i="20"/>
  <c r="J1860" i="20"/>
  <c r="J138" i="20"/>
  <c r="J137" i="20"/>
  <c r="J722" i="20"/>
  <c r="J1358" i="20"/>
  <c r="J871" i="20"/>
  <c r="J268" i="20"/>
  <c r="J267" i="20"/>
  <c r="J1289" i="20"/>
  <c r="J870" i="20"/>
  <c r="J834" i="20"/>
  <c r="J202" i="20"/>
  <c r="J266" i="20"/>
  <c r="J943" i="20"/>
  <c r="J1014" i="20"/>
  <c r="J1635" i="20"/>
  <c r="J1725" i="20"/>
  <c r="J1724" i="20"/>
  <c r="J1859" i="20"/>
  <c r="J1434" i="20"/>
  <c r="J265" i="20"/>
  <c r="J1013" i="20"/>
  <c r="J1160" i="20"/>
  <c r="J1159" i="20"/>
  <c r="J918" i="20"/>
  <c r="J1012" i="20"/>
  <c r="J264" i="20"/>
  <c r="J199" i="20"/>
  <c r="J1011" i="20"/>
  <c r="J1588" i="20"/>
  <c r="J550" i="20"/>
  <c r="J263" i="20"/>
  <c r="J1010" i="20"/>
  <c r="J1723" i="20"/>
  <c r="J1258" i="20"/>
  <c r="J1347" i="20"/>
  <c r="J1634" i="20"/>
  <c r="J1633" i="20"/>
  <c r="J942" i="20"/>
  <c r="J12" i="20"/>
  <c r="J1254" i="20"/>
  <c r="J1433" i="20"/>
  <c r="J603" i="20"/>
  <c r="J1587" i="20"/>
  <c r="J1632" i="20"/>
  <c r="J797" i="20"/>
  <c r="J234" i="20"/>
  <c r="J631" i="19"/>
  <c r="J630" i="19"/>
  <c r="J396" i="19"/>
  <c r="J395" i="19"/>
  <c r="J155" i="19"/>
  <c r="J438" i="19"/>
  <c r="J71" i="19"/>
  <c r="J470" i="19"/>
  <c r="J537" i="19"/>
  <c r="J574" i="19"/>
  <c r="J629" i="19"/>
  <c r="J330" i="19"/>
  <c r="J437" i="19"/>
  <c r="J512" i="19"/>
  <c r="J573" i="19"/>
  <c r="J536" i="19"/>
  <c r="J535" i="19"/>
  <c r="J534" i="19"/>
  <c r="J394" i="19"/>
  <c r="J511" i="19"/>
  <c r="J163" i="19"/>
  <c r="J201" i="19"/>
  <c r="J245" i="19"/>
  <c r="J572" i="19"/>
  <c r="J154" i="19"/>
  <c r="J628" i="19"/>
  <c r="J55" i="19"/>
  <c r="J153" i="19"/>
  <c r="J436" i="19"/>
  <c r="J685" i="19"/>
  <c r="J54" i="19"/>
  <c r="J244" i="19"/>
  <c r="J665" i="19"/>
  <c r="J510" i="19"/>
  <c r="J393" i="19"/>
  <c r="J575" i="19"/>
  <c r="J179" i="19"/>
  <c r="J200" i="19"/>
  <c r="J199" i="19"/>
  <c r="J435" i="19"/>
  <c r="J686" i="19"/>
  <c r="J67" i="19"/>
  <c r="J243" i="19"/>
  <c r="J53" i="19"/>
  <c r="J198" i="19"/>
  <c r="J197" i="19"/>
  <c r="J318" i="19"/>
  <c r="J242" i="19"/>
  <c r="J317" i="19"/>
  <c r="J70" i="19"/>
  <c r="J392" i="19"/>
  <c r="J509" i="19"/>
  <c r="J533" i="19"/>
  <c r="J434" i="19"/>
  <c r="J508" i="19"/>
  <c r="J507" i="19"/>
  <c r="J106" i="19"/>
  <c r="J127" i="19"/>
  <c r="J627" i="19"/>
  <c r="J126" i="19"/>
  <c r="J391" i="19"/>
  <c r="J390" i="19"/>
  <c r="J466" i="19"/>
  <c r="J506" i="19"/>
  <c r="J532" i="19"/>
  <c r="J626" i="19"/>
  <c r="J505" i="19"/>
  <c r="J241" i="19"/>
  <c r="J178" i="19"/>
  <c r="J196" i="19"/>
  <c r="J504" i="19"/>
  <c r="J125" i="19"/>
  <c r="J625" i="19"/>
  <c r="J433" i="19"/>
  <c r="J456" i="19"/>
  <c r="J455" i="19"/>
  <c r="J664" i="19"/>
  <c r="J316" i="19"/>
  <c r="J638" i="19"/>
  <c r="J432" i="19"/>
  <c r="J503" i="19"/>
  <c r="J240" i="19"/>
  <c r="J329" i="19"/>
  <c r="J571" i="19"/>
  <c r="J531" i="19"/>
  <c r="J530" i="19"/>
  <c r="J502" i="19"/>
  <c r="J431" i="19"/>
  <c r="J624" i="19"/>
  <c r="J501" i="19"/>
  <c r="J239" i="19"/>
  <c r="J195" i="19"/>
  <c r="J315" i="19"/>
  <c r="J152" i="19"/>
  <c r="J460" i="19"/>
  <c r="J430" i="19"/>
  <c r="J500" i="19"/>
  <c r="J476" i="19"/>
  <c r="J314" i="19"/>
  <c r="J623" i="19"/>
  <c r="J389" i="19"/>
  <c r="J105" i="19"/>
  <c r="J328" i="19"/>
  <c r="J104" i="19"/>
  <c r="J313" i="19"/>
  <c r="J388" i="19"/>
  <c r="J475" i="19"/>
  <c r="J312" i="19"/>
  <c r="J103" i="19"/>
  <c r="J102" i="19"/>
  <c r="J194" i="19"/>
  <c r="J238" i="19"/>
  <c r="J622" i="19"/>
  <c r="J193" i="19"/>
  <c r="J151" i="19"/>
  <c r="J311" i="19"/>
  <c r="J192" i="19"/>
  <c r="J4" i="19"/>
  <c r="J150" i="19"/>
  <c r="J191" i="19"/>
  <c r="J190" i="19"/>
  <c r="J237" i="19"/>
  <c r="J663" i="19"/>
  <c r="J83" i="19"/>
  <c r="J177" i="19"/>
  <c r="J429" i="19"/>
  <c r="J529" i="19"/>
  <c r="J428" i="19"/>
  <c r="J528" i="19"/>
  <c r="J474" i="19"/>
  <c r="J427" i="19"/>
  <c r="J469" i="19"/>
  <c r="J66" i="19"/>
  <c r="J662" i="19"/>
  <c r="J387" i="19"/>
  <c r="J450" i="19"/>
  <c r="J310" i="19"/>
  <c r="J527" i="19"/>
  <c r="J526" i="19"/>
  <c r="J601" i="19"/>
  <c r="J426" i="19"/>
  <c r="J425" i="19"/>
  <c r="J189" i="19"/>
  <c r="J424" i="19"/>
  <c r="J525" i="19"/>
  <c r="J236" i="19"/>
  <c r="J621" i="19"/>
  <c r="J52" i="19"/>
  <c r="J176" i="19"/>
  <c r="J69" i="19"/>
  <c r="J386" i="19"/>
  <c r="J124" i="19"/>
  <c r="J454" i="19"/>
  <c r="J499" i="19"/>
  <c r="J309" i="19"/>
  <c r="J188" i="19"/>
  <c r="J149" i="19"/>
  <c r="J385" i="19"/>
  <c r="J674" i="19"/>
  <c r="J444" i="19"/>
  <c r="J123" i="19"/>
  <c r="J51" i="19"/>
  <c r="J65" i="19"/>
  <c r="J589" i="19"/>
  <c r="J498" i="19"/>
  <c r="J497" i="19"/>
  <c r="J588" i="19"/>
  <c r="J235" i="19"/>
  <c r="J384" i="19"/>
  <c r="J308" i="19"/>
  <c r="J620" i="19"/>
  <c r="J50" i="19"/>
  <c r="J101" i="19"/>
  <c r="J307" i="19"/>
  <c r="J306" i="19"/>
  <c r="J100" i="19"/>
  <c r="J587" i="19"/>
  <c r="J327" i="19"/>
  <c r="J10" i="19"/>
  <c r="J423" i="19"/>
  <c r="J422" i="19"/>
  <c r="J305" i="19"/>
  <c r="J383" i="19"/>
  <c r="J304" i="19"/>
  <c r="J64" i="19"/>
  <c r="J9" i="19"/>
  <c r="J382" i="19"/>
  <c r="J68" i="19"/>
  <c r="J122" i="19"/>
  <c r="J661" i="19"/>
  <c r="J660" i="19"/>
  <c r="J63" i="19"/>
  <c r="J303" i="19"/>
  <c r="J234" i="19"/>
  <c r="J496" i="19"/>
  <c r="J162" i="19"/>
  <c r="J302" i="19"/>
  <c r="J381" i="19"/>
  <c r="J187" i="19"/>
  <c r="J421" i="19"/>
  <c r="J326" i="19"/>
  <c r="J161" i="19"/>
  <c r="J62" i="19"/>
  <c r="J380" i="19"/>
  <c r="J8" i="19"/>
  <c r="J379" i="19"/>
  <c r="J378" i="19"/>
  <c r="J377" i="19"/>
  <c r="J600" i="19"/>
  <c r="J659" i="19"/>
  <c r="J599" i="19"/>
  <c r="J658" i="19"/>
  <c r="J420" i="19"/>
  <c r="J233" i="19"/>
  <c r="J232" i="19"/>
  <c r="J619" i="19"/>
  <c r="J186" i="19"/>
  <c r="J449" i="19"/>
  <c r="J160" i="19"/>
  <c r="J376" i="19"/>
  <c r="J148" i="19"/>
  <c r="J325" i="19"/>
  <c r="J3" i="19"/>
  <c r="J61" i="19"/>
  <c r="J375" i="19"/>
  <c r="J570" i="19"/>
  <c r="J301" i="19"/>
  <c r="J300" i="19"/>
  <c r="J419" i="19"/>
  <c r="J60" i="19"/>
  <c r="J465" i="19"/>
  <c r="J544" i="19"/>
  <c r="J618" i="19"/>
  <c r="J231" i="19"/>
  <c r="J418" i="19"/>
  <c r="J76" i="19"/>
  <c r="J49" i="19"/>
  <c r="J48" i="19"/>
  <c r="J47" i="19"/>
  <c r="J46" i="19"/>
  <c r="J417" i="19"/>
  <c r="J416" i="19"/>
  <c r="J121" i="19"/>
  <c r="J185" i="19"/>
  <c r="J461" i="19"/>
  <c r="J147" i="19"/>
  <c r="J299" i="19"/>
  <c r="J59" i="19"/>
  <c r="J657" i="19"/>
  <c r="J298" i="19"/>
  <c r="J297" i="19"/>
  <c r="J543" i="19"/>
  <c r="J586" i="19"/>
  <c r="J415" i="19"/>
  <c r="J524" i="19"/>
  <c r="J374" i="19"/>
  <c r="J230" i="19"/>
  <c r="J229" i="19"/>
  <c r="J373" i="19"/>
  <c r="J99" i="19"/>
  <c r="J296" i="19"/>
  <c r="J637" i="19"/>
  <c r="J228" i="19"/>
  <c r="J598" i="19"/>
  <c r="J227" i="19"/>
  <c r="J132" i="19"/>
  <c r="J226" i="19"/>
  <c r="J468" i="19"/>
  <c r="J682" i="19"/>
  <c r="J673" i="19"/>
  <c r="J467" i="19"/>
  <c r="J109" i="19"/>
  <c r="J225" i="19"/>
  <c r="J459" i="19"/>
  <c r="J656" i="19"/>
  <c r="J295" i="19"/>
  <c r="J294" i="19"/>
  <c r="J372" i="19"/>
  <c r="J45" i="19"/>
  <c r="J464" i="19"/>
  <c r="J175" i="19"/>
  <c r="J636" i="19"/>
  <c r="J120" i="19"/>
  <c r="J448" i="19"/>
  <c r="J224" i="19"/>
  <c r="J44" i="19"/>
  <c r="J119" i="19"/>
  <c r="J453" i="19"/>
  <c r="J324" i="19"/>
  <c r="J655" i="19"/>
  <c r="J223" i="19"/>
  <c r="J58" i="19"/>
  <c r="J681" i="19"/>
  <c r="J414" i="19"/>
  <c r="J634" i="19"/>
  <c r="J222" i="19"/>
  <c r="J413" i="19"/>
  <c r="J167" i="19"/>
  <c r="J293" i="19"/>
  <c r="J633" i="19"/>
  <c r="J292" i="19"/>
  <c r="J43" i="19"/>
  <c r="J371" i="19"/>
  <c r="J118" i="19"/>
  <c r="J443" i="19"/>
  <c r="J291" i="19"/>
  <c r="J57" i="19"/>
  <c r="J597" i="19"/>
  <c r="J447" i="19"/>
  <c r="J184" i="19"/>
  <c r="J42" i="19"/>
  <c r="J117" i="19"/>
  <c r="J672" i="19"/>
  <c r="J654" i="19"/>
  <c r="J452" i="19"/>
  <c r="J221" i="19"/>
  <c r="J412" i="19"/>
  <c r="J411" i="19"/>
  <c r="J220" i="19"/>
  <c r="J290" i="19"/>
  <c r="J370" i="19"/>
  <c r="J41" i="19"/>
  <c r="J495" i="19"/>
  <c r="J369" i="19"/>
  <c r="J442" i="19"/>
  <c r="J289" i="19"/>
  <c r="J174" i="19"/>
  <c r="J56" i="19"/>
  <c r="J288" i="19"/>
  <c r="J596" i="19"/>
  <c r="J166" i="19"/>
  <c r="J523" i="19"/>
  <c r="J410" i="19"/>
  <c r="J323" i="19"/>
  <c r="J146" i="19"/>
  <c r="J494" i="19"/>
  <c r="J116" i="19"/>
  <c r="J173" i="19"/>
  <c r="J409" i="19"/>
  <c r="J287" i="19"/>
  <c r="J2" i="19"/>
  <c r="J107" i="19"/>
  <c r="J219" i="19"/>
  <c r="J408" i="19"/>
  <c r="J218" i="19"/>
  <c r="J458" i="19"/>
  <c r="J217" i="19"/>
  <c r="J451" i="19"/>
  <c r="J407" i="19"/>
  <c r="J82" i="19"/>
  <c r="J368" i="19"/>
  <c r="J286" i="19"/>
  <c r="J183" i="19"/>
  <c r="J653" i="19"/>
  <c r="J159" i="19"/>
  <c r="J216" i="19"/>
  <c r="J652" i="19"/>
  <c r="J367" i="19"/>
  <c r="J7" i="19"/>
  <c r="J131" i="19"/>
  <c r="J617" i="19"/>
  <c r="J522" i="19"/>
  <c r="J285" i="19"/>
  <c r="J651" i="19"/>
  <c r="J521" i="19"/>
  <c r="J406" i="19"/>
  <c r="J284" i="19"/>
  <c r="J405" i="19"/>
  <c r="J283" i="19"/>
  <c r="J322" i="19"/>
  <c r="J282" i="19"/>
  <c r="J145" i="19"/>
  <c r="J493" i="19"/>
  <c r="J182" i="19"/>
  <c r="J595" i="19"/>
  <c r="J215" i="19"/>
  <c r="J214" i="19"/>
  <c r="J366" i="19"/>
  <c r="J213" i="19"/>
  <c r="J321" i="19"/>
  <c r="J281" i="19"/>
  <c r="J172" i="19"/>
  <c r="J473" i="19"/>
  <c r="J280" i="19"/>
  <c r="J632" i="19"/>
  <c r="J365" i="19"/>
  <c r="J671" i="19"/>
  <c r="J115" i="19"/>
  <c r="J364" i="19"/>
  <c r="J108" i="19"/>
  <c r="J569" i="19"/>
  <c r="J363" i="19"/>
  <c r="J40" i="19"/>
  <c r="J158" i="19"/>
  <c r="J362" i="19"/>
  <c r="J520" i="19"/>
  <c r="J492" i="19"/>
  <c r="J212" i="19"/>
  <c r="J361" i="19"/>
  <c r="J279" i="19"/>
  <c r="J519" i="19"/>
  <c r="J98" i="19"/>
  <c r="J360" i="19"/>
  <c r="J144" i="19"/>
  <c r="J278" i="19"/>
  <c r="J359" i="19"/>
  <c r="J445" i="19"/>
  <c r="J143" i="19"/>
  <c r="J164" i="19"/>
  <c r="J277" i="19"/>
  <c r="J171" i="19"/>
  <c r="J39" i="19"/>
  <c r="J463" i="19"/>
  <c r="J358" i="19"/>
  <c r="J38" i="19"/>
  <c r="J37" i="19"/>
  <c r="J568" i="19"/>
  <c r="J491" i="19"/>
  <c r="J357" i="19"/>
  <c r="J585" i="19"/>
  <c r="J650" i="19"/>
  <c r="J356" i="19"/>
  <c r="J276" i="19"/>
  <c r="J36" i="19"/>
  <c r="J87" i="19"/>
  <c r="J355" i="19"/>
  <c r="J354" i="19"/>
  <c r="J275" i="19"/>
  <c r="J353" i="19"/>
  <c r="J35" i="19"/>
  <c r="J352" i="19"/>
  <c r="J86" i="19"/>
  <c r="J649" i="19"/>
  <c r="J616" i="19"/>
  <c r="J648" i="19"/>
  <c r="J351" i="19"/>
  <c r="J274" i="19"/>
  <c r="J350" i="19"/>
  <c r="J349" i="19"/>
  <c r="J211" i="19"/>
  <c r="J320" i="19"/>
  <c r="J273" i="19"/>
  <c r="J181" i="19"/>
  <c r="J348" i="19"/>
  <c r="J670" i="19"/>
  <c r="J490" i="19"/>
  <c r="J680" i="19"/>
  <c r="J272" i="19"/>
  <c r="J210" i="19"/>
  <c r="J271" i="19"/>
  <c r="J679" i="19"/>
  <c r="J404" i="19"/>
  <c r="J114" i="19"/>
  <c r="J113" i="19"/>
  <c r="J270" i="19"/>
  <c r="J641" i="19"/>
  <c r="J269" i="19"/>
  <c r="J615" i="19"/>
  <c r="J157" i="19"/>
  <c r="J347" i="19"/>
  <c r="J142" i="19"/>
  <c r="J97" i="19"/>
  <c r="J141" i="19"/>
  <c r="J268" i="19"/>
  <c r="J403" i="19"/>
  <c r="J457" i="19"/>
  <c r="J346" i="19"/>
  <c r="J130" i="19"/>
  <c r="J81" i="19"/>
  <c r="J34" i="19"/>
  <c r="J567" i="19"/>
  <c r="J85" i="19"/>
  <c r="J518" i="19"/>
  <c r="J640" i="19"/>
  <c r="J647" i="19"/>
  <c r="J80" i="19"/>
  <c r="J639" i="19"/>
  <c r="J209" i="19"/>
  <c r="J267" i="19"/>
  <c r="J345" i="19"/>
  <c r="J344" i="19"/>
  <c r="J594" i="19"/>
  <c r="J208" i="19"/>
  <c r="J489" i="19"/>
  <c r="J33" i="19"/>
  <c r="J96" i="19"/>
  <c r="J170" i="19"/>
  <c r="J207" i="19"/>
  <c r="J84" i="19"/>
  <c r="J446" i="19"/>
  <c r="J266" i="19"/>
  <c r="J517" i="19"/>
  <c r="J566" i="19"/>
  <c r="J343" i="19"/>
  <c r="J488" i="19"/>
  <c r="J156" i="19"/>
  <c r="J614" i="19"/>
  <c r="J613" i="19"/>
  <c r="J32" i="19"/>
  <c r="J75" i="19"/>
  <c r="J74" i="19"/>
  <c r="J129" i="19"/>
  <c r="J128" i="19"/>
  <c r="J31" i="19"/>
  <c r="J30" i="19"/>
  <c r="J342" i="19"/>
  <c r="J79" i="19"/>
  <c r="J78" i="19"/>
  <c r="J169" i="19"/>
  <c r="J487" i="19"/>
  <c r="J486" i="19"/>
  <c r="J584" i="19"/>
  <c r="J112" i="19"/>
  <c r="J565" i="19"/>
  <c r="J635" i="19"/>
  <c r="J612" i="19"/>
  <c r="J564" i="19"/>
  <c r="J563" i="19"/>
  <c r="J485" i="19"/>
  <c r="J678" i="19"/>
  <c r="J562" i="19"/>
  <c r="J29" i="19"/>
  <c r="J341" i="19"/>
  <c r="J561" i="19"/>
  <c r="J560" i="19"/>
  <c r="J265" i="19"/>
  <c r="J583" i="19"/>
  <c r="J559" i="19"/>
  <c r="J558" i="19"/>
  <c r="J484" i="19"/>
  <c r="J516" i="19"/>
  <c r="J28" i="19"/>
  <c r="J557" i="19"/>
  <c r="J542" i="19"/>
  <c r="J264" i="19"/>
  <c r="J77" i="19"/>
  <c r="J263" i="19"/>
  <c r="J556" i="19"/>
  <c r="J140" i="19"/>
  <c r="J262" i="19"/>
  <c r="J261" i="19"/>
  <c r="J555" i="19"/>
  <c r="J6" i="19"/>
  <c r="J582" i="19"/>
  <c r="J260" i="19"/>
  <c r="J611" i="19"/>
  <c r="J554" i="19"/>
  <c r="J472" i="19"/>
  <c r="J581" i="19"/>
  <c r="J553" i="19"/>
  <c r="J135" i="19"/>
  <c r="J552" i="19"/>
  <c r="J180" i="19"/>
  <c r="J259" i="19"/>
  <c r="J258" i="19"/>
  <c r="J73" i="19"/>
  <c r="J111" i="19"/>
  <c r="J483" i="19"/>
  <c r="J27" i="19"/>
  <c r="J26" i="19"/>
  <c r="J340" i="19"/>
  <c r="J139" i="19"/>
  <c r="J12" i="19"/>
  <c r="J11" i="19"/>
  <c r="J134" i="19"/>
  <c r="J95" i="19"/>
  <c r="J133" i="19"/>
  <c r="J610" i="19"/>
  <c r="J609" i="19"/>
  <c r="J165" i="19"/>
  <c r="J684" i="19"/>
  <c r="J25" i="19"/>
  <c r="J677" i="19"/>
  <c r="J676" i="19"/>
  <c r="J24" i="19"/>
  <c r="J646" i="19"/>
  <c r="J23" i="19"/>
  <c r="J5" i="19"/>
  <c r="J94" i="19"/>
  <c r="J339" i="19"/>
  <c r="J608" i="19"/>
  <c r="J551" i="19"/>
  <c r="J607" i="19"/>
  <c r="J482" i="19"/>
  <c r="J645" i="19"/>
  <c r="J644" i="19"/>
  <c r="J22" i="19"/>
  <c r="J606" i="19"/>
  <c r="J338" i="19"/>
  <c r="J337" i="19"/>
  <c r="J21" i="19"/>
  <c r="J20" i="19"/>
  <c r="J257" i="19"/>
  <c r="J256" i="19"/>
  <c r="J93" i="19"/>
  <c r="J19" i="19"/>
  <c r="J92" i="19"/>
  <c r="J18" i="19"/>
  <c r="J675" i="19"/>
  <c r="J255" i="19"/>
  <c r="J138" i="19"/>
  <c r="J550" i="19"/>
  <c r="J593" i="19"/>
  <c r="J336" i="19"/>
  <c r="J605" i="19"/>
  <c r="J683" i="19"/>
  <c r="J604" i="19"/>
  <c r="J254" i="19"/>
  <c r="J669" i="19"/>
  <c r="J541" i="19"/>
  <c r="J549" i="19"/>
  <c r="J402" i="19"/>
  <c r="J462" i="19"/>
  <c r="J603" i="19"/>
  <c r="J481" i="19"/>
  <c r="J401" i="19"/>
  <c r="J91" i="19"/>
  <c r="J90" i="19"/>
  <c r="J253" i="19"/>
  <c r="J400" i="19"/>
  <c r="J580" i="19"/>
  <c r="J471" i="19"/>
  <c r="J548" i="19"/>
  <c r="J547" i="19"/>
  <c r="J643" i="19"/>
  <c r="J137" i="19"/>
  <c r="J206" i="19"/>
  <c r="J602" i="19"/>
  <c r="J252" i="19"/>
  <c r="J668" i="19"/>
  <c r="J579" i="19"/>
  <c r="J319" i="19"/>
  <c r="J667" i="19"/>
  <c r="J642" i="19"/>
  <c r="J540" i="19"/>
  <c r="J666" i="19"/>
  <c r="J17" i="19"/>
  <c r="J335" i="19"/>
  <c r="J441" i="19"/>
  <c r="J440" i="19"/>
  <c r="J439" i="19"/>
  <c r="J515" i="19"/>
  <c r="J168" i="19"/>
  <c r="J546" i="19"/>
  <c r="J399" i="19"/>
  <c r="J334" i="19"/>
  <c r="J205" i="19"/>
  <c r="J72" i="19"/>
  <c r="J89" i="19"/>
  <c r="J16" i="19"/>
  <c r="J110" i="19"/>
  <c r="J592" i="19"/>
  <c r="J539" i="19"/>
  <c r="J514" i="19"/>
  <c r="J513" i="19"/>
  <c r="J545" i="19"/>
  <c r="J204" i="19"/>
  <c r="J15" i="19"/>
  <c r="J251" i="19"/>
  <c r="J250" i="19"/>
  <c r="J398" i="19"/>
  <c r="J480" i="19"/>
  <c r="J479" i="19"/>
  <c r="J203" i="19"/>
  <c r="J202" i="19"/>
  <c r="J249" i="19"/>
  <c r="J333" i="19"/>
  <c r="J14" i="19"/>
  <c r="J591" i="19"/>
  <c r="J13" i="19"/>
  <c r="J590" i="19"/>
  <c r="J478" i="19"/>
  <c r="J248" i="19"/>
  <c r="J136" i="19"/>
  <c r="J88" i="19"/>
  <c r="J332" i="19"/>
  <c r="J477" i="19"/>
  <c r="J688" i="19"/>
  <c r="J687" i="19"/>
  <c r="J578" i="19"/>
  <c r="J577" i="19"/>
  <c r="J538" i="19"/>
  <c r="J247" i="19"/>
  <c r="J576" i="19"/>
  <c r="J397" i="19"/>
  <c r="J331" i="19"/>
  <c r="J246" i="19"/>
  <c r="AH4" i="9"/>
  <c r="AH5" i="9"/>
  <c r="AH6" i="9"/>
  <c r="AH7" i="9"/>
  <c r="AH8" i="9"/>
  <c r="AH9" i="9"/>
  <c r="AH10" i="9"/>
  <c r="AH11" i="9"/>
  <c r="AH12" i="9"/>
  <c r="AH13" i="9"/>
  <c r="AH14" i="9"/>
  <c r="AH15" i="9"/>
  <c r="AH16" i="9"/>
  <c r="AH17" i="9"/>
  <c r="AH18" i="9"/>
  <c r="AH19" i="9"/>
  <c r="AH20" i="9"/>
  <c r="AH21" i="9"/>
  <c r="AH22" i="9"/>
  <c r="AH23" i="9"/>
  <c r="AH24" i="9"/>
  <c r="AH25" i="9"/>
  <c r="AH26" i="9"/>
  <c r="AH27" i="9"/>
  <c r="AH28" i="9"/>
  <c r="AH29" i="9"/>
  <c r="AH30" i="9"/>
  <c r="AH31" i="9"/>
  <c r="AH32" i="9"/>
  <c r="AH33" i="9"/>
  <c r="AH34" i="9"/>
  <c r="AH35" i="9"/>
  <c r="AH36" i="9"/>
  <c r="AH37" i="9"/>
  <c r="AH38" i="9"/>
  <c r="AH39" i="9"/>
  <c r="AH40" i="9"/>
  <c r="AH41" i="9"/>
  <c r="AH42" i="9"/>
  <c r="AH43" i="9"/>
  <c r="AH44" i="9"/>
  <c r="AH45" i="9"/>
  <c r="AH46" i="9"/>
  <c r="AH47" i="9"/>
  <c r="AH48" i="9"/>
  <c r="AH49" i="9"/>
  <c r="AH50" i="9"/>
  <c r="AH51" i="9"/>
  <c r="AH52" i="9"/>
  <c r="AH53" i="9"/>
  <c r="AH54" i="9"/>
  <c r="AH55" i="9"/>
  <c r="AH56" i="9"/>
  <c r="AH57" i="9"/>
  <c r="AH58" i="9"/>
  <c r="AH59" i="9"/>
  <c r="AH60" i="9"/>
  <c r="AH61" i="9"/>
  <c r="AH62" i="9"/>
  <c r="AH63" i="9"/>
  <c r="AH64" i="9"/>
  <c r="AH65" i="9"/>
  <c r="AH66" i="9"/>
  <c r="AH67" i="9"/>
  <c r="AH68" i="9"/>
  <c r="AH69" i="9"/>
  <c r="AH70" i="9"/>
  <c r="AH71" i="9"/>
  <c r="AH72" i="9"/>
  <c r="AH73" i="9"/>
  <c r="AH74" i="9"/>
  <c r="AH75" i="9"/>
  <c r="AH76" i="9"/>
  <c r="AH77" i="9"/>
  <c r="AH78" i="9"/>
  <c r="AH79" i="9"/>
  <c r="AH80" i="9"/>
  <c r="AH81" i="9"/>
  <c r="AH82" i="9"/>
  <c r="AH83" i="9"/>
  <c r="AH84" i="9"/>
  <c r="AH85" i="9"/>
  <c r="AH86" i="9"/>
  <c r="AH87" i="9"/>
  <c r="AH88" i="9"/>
  <c r="AH89" i="9"/>
  <c r="AH90" i="9"/>
  <c r="AH91" i="9"/>
  <c r="AH92" i="9"/>
  <c r="AH93" i="9"/>
  <c r="AH94" i="9"/>
  <c r="AH95" i="9"/>
  <c r="AH96" i="9"/>
  <c r="AH97" i="9"/>
  <c r="AH98" i="9"/>
  <c r="AH99" i="9"/>
  <c r="AH100" i="9"/>
  <c r="AH101" i="9"/>
  <c r="AH102" i="9"/>
  <c r="AH103" i="9"/>
  <c r="AH104" i="9"/>
  <c r="AH105" i="9"/>
  <c r="AH106" i="9"/>
  <c r="AH107" i="9"/>
  <c r="AH108" i="9"/>
  <c r="AH109" i="9"/>
  <c r="AH110" i="9"/>
  <c r="AH111" i="9"/>
  <c r="AH112" i="9"/>
  <c r="AH113" i="9"/>
  <c r="AH114" i="9"/>
  <c r="AH115" i="9"/>
  <c r="AH116" i="9"/>
  <c r="AH117" i="9"/>
  <c r="AH118" i="9"/>
  <c r="AH119" i="9"/>
  <c r="AH120" i="9"/>
  <c r="AH121" i="9"/>
  <c r="AH122" i="9"/>
  <c r="AH123" i="9"/>
  <c r="AH124" i="9"/>
  <c r="AH125" i="9"/>
  <c r="AH126" i="9"/>
  <c r="AH127" i="9"/>
  <c r="AH128" i="9"/>
  <c r="AH129" i="9"/>
  <c r="AH130" i="9"/>
  <c r="AH131" i="9"/>
  <c r="AH132" i="9"/>
  <c r="AH133" i="9"/>
  <c r="AH134" i="9"/>
  <c r="AH135" i="9"/>
  <c r="AH136" i="9"/>
  <c r="AH137" i="9"/>
  <c r="AH138" i="9"/>
  <c r="AH139" i="9"/>
  <c r="AH140" i="9"/>
  <c r="AH141" i="9"/>
  <c r="AH142" i="9"/>
  <c r="AH143" i="9"/>
  <c r="AH144" i="9"/>
  <c r="AH145" i="9"/>
  <c r="AH146" i="9"/>
  <c r="AH147" i="9"/>
  <c r="AH148" i="9"/>
  <c r="AH149" i="9"/>
  <c r="AH150" i="9"/>
  <c r="AH151" i="9"/>
  <c r="AH152" i="9"/>
  <c r="AH153" i="9"/>
  <c r="AH154" i="9"/>
  <c r="AH155" i="9"/>
  <c r="AH156" i="9"/>
  <c r="AH157" i="9"/>
  <c r="AH158" i="9"/>
  <c r="AH159" i="9"/>
  <c r="AH160" i="9"/>
  <c r="AH161" i="9"/>
  <c r="AH162" i="9"/>
  <c r="AH163" i="9"/>
  <c r="AH164" i="9"/>
  <c r="AH165" i="9"/>
  <c r="AH166" i="9"/>
  <c r="AH167" i="9"/>
  <c r="AH168" i="9"/>
  <c r="AH169" i="9"/>
  <c r="AH170" i="9"/>
  <c r="AH171" i="9"/>
  <c r="AH172" i="9"/>
  <c r="AH173" i="9"/>
  <c r="AH174" i="9"/>
  <c r="AH175" i="9"/>
  <c r="AH176" i="9"/>
  <c r="AH177" i="9"/>
  <c r="AH178" i="9"/>
  <c r="AH179" i="9"/>
  <c r="AH180" i="9"/>
  <c r="AH181" i="9"/>
  <c r="AH182" i="9"/>
  <c r="AH183" i="9"/>
  <c r="AH184" i="9"/>
  <c r="AH185" i="9"/>
  <c r="AH186" i="9"/>
  <c r="AH187" i="9"/>
  <c r="AH188" i="9"/>
  <c r="AH189" i="9"/>
  <c r="AH190" i="9"/>
  <c r="AH191" i="9"/>
  <c r="AH192" i="9"/>
  <c r="AH193" i="9"/>
  <c r="AH194" i="9"/>
  <c r="AH195" i="9"/>
  <c r="AH196" i="9"/>
  <c r="AH197" i="9"/>
  <c r="AH198" i="9"/>
  <c r="AH199" i="9"/>
  <c r="AH200" i="9"/>
  <c r="AH201" i="9"/>
  <c r="AH202" i="9"/>
  <c r="AH203" i="9"/>
  <c r="AH204" i="9"/>
  <c r="AH205" i="9"/>
  <c r="AH206" i="9"/>
  <c r="AH207" i="9"/>
  <c r="AH208" i="9"/>
  <c r="AH209" i="9"/>
  <c r="AH210" i="9"/>
  <c r="AH211" i="9"/>
  <c r="AH212" i="9"/>
  <c r="AH213" i="9"/>
  <c r="AH214" i="9"/>
  <c r="AH215" i="9"/>
  <c r="AH216" i="9"/>
  <c r="AH217" i="9"/>
  <c r="AH218" i="9"/>
  <c r="AH219" i="9"/>
  <c r="AH220" i="9"/>
  <c r="AH221" i="9"/>
  <c r="AH222" i="9"/>
  <c r="AH223" i="9"/>
  <c r="AH224" i="9"/>
  <c r="AH225" i="9"/>
  <c r="AH226" i="9"/>
  <c r="AH227" i="9"/>
  <c r="AH228" i="9"/>
  <c r="AH229" i="9"/>
  <c r="AH230" i="9"/>
  <c r="AH231" i="9"/>
  <c r="AH232" i="9"/>
  <c r="AH233" i="9"/>
  <c r="AH234" i="9"/>
  <c r="AH235" i="9"/>
  <c r="AH236" i="9"/>
  <c r="AH237" i="9"/>
  <c r="AH238" i="9"/>
  <c r="AH239" i="9"/>
  <c r="AH240" i="9"/>
  <c r="AH241" i="9"/>
  <c r="AH242" i="9"/>
  <c r="AH243" i="9"/>
  <c r="AH244" i="9"/>
  <c r="AH245" i="9"/>
  <c r="AH246" i="9"/>
  <c r="AH247" i="9"/>
  <c r="AH248" i="9"/>
  <c r="AH249" i="9"/>
  <c r="AH250" i="9"/>
  <c r="AH251" i="9"/>
  <c r="AH252" i="9"/>
  <c r="AH253" i="9"/>
  <c r="AH254" i="9"/>
  <c r="AH255" i="9"/>
  <c r="AH256" i="9"/>
  <c r="AH257" i="9"/>
  <c r="AH258" i="9"/>
  <c r="AH259" i="9"/>
  <c r="AH260" i="9"/>
  <c r="AH261" i="9"/>
  <c r="AH262" i="9"/>
  <c r="AH263" i="9"/>
  <c r="AH264" i="9"/>
  <c r="AH265" i="9"/>
  <c r="AH266" i="9"/>
  <c r="AH267" i="9"/>
  <c r="AH268" i="9"/>
  <c r="AH269" i="9"/>
  <c r="AH270" i="9"/>
  <c r="AH271" i="9"/>
  <c r="AH272" i="9"/>
  <c r="AH273" i="9"/>
  <c r="AH274" i="9"/>
  <c r="AH275" i="9"/>
  <c r="AH276" i="9"/>
  <c r="AH277" i="9"/>
  <c r="AH278" i="9"/>
  <c r="AH279" i="9"/>
  <c r="AH280" i="9"/>
  <c r="AH281" i="9"/>
  <c r="AH282" i="9"/>
  <c r="AH283" i="9"/>
  <c r="AH284" i="9"/>
  <c r="AH285" i="9"/>
  <c r="AH286" i="9"/>
  <c r="AH287" i="9"/>
  <c r="AH288" i="9"/>
  <c r="AH289" i="9"/>
  <c r="AH290" i="9"/>
  <c r="AH291" i="9"/>
  <c r="AH292" i="9"/>
  <c r="AH293" i="9"/>
  <c r="AH294" i="9"/>
  <c r="AH295" i="9"/>
  <c r="AH296" i="9"/>
  <c r="AH297" i="9"/>
  <c r="AH298" i="9"/>
  <c r="AH299" i="9"/>
  <c r="AH300" i="9"/>
  <c r="AH301" i="9"/>
  <c r="AH302" i="9"/>
  <c r="AH303" i="9"/>
  <c r="AH304" i="9"/>
  <c r="AH305" i="9"/>
  <c r="AH306" i="9"/>
  <c r="AH307" i="9"/>
  <c r="AH308" i="9"/>
  <c r="AH309" i="9"/>
  <c r="AH310" i="9"/>
  <c r="AH311" i="9"/>
  <c r="AH312" i="9"/>
  <c r="AH313" i="9"/>
  <c r="AH314" i="9"/>
  <c r="AH315" i="9"/>
  <c r="AH316" i="9"/>
  <c r="AH317" i="9"/>
  <c r="AH318" i="9"/>
  <c r="AH319" i="9"/>
  <c r="AH320" i="9"/>
  <c r="AH321" i="9"/>
  <c r="AH322" i="9"/>
  <c r="AH323" i="9"/>
  <c r="AH324" i="9"/>
  <c r="AH325" i="9"/>
  <c r="AH326" i="9"/>
  <c r="AH327" i="9"/>
  <c r="AH328" i="9"/>
  <c r="AH329" i="9"/>
  <c r="AH330" i="9"/>
  <c r="AH331" i="9"/>
  <c r="AH332" i="9"/>
  <c r="AH333" i="9"/>
  <c r="AH334" i="9"/>
  <c r="AH335" i="9"/>
  <c r="AH336" i="9"/>
  <c r="AH337" i="9"/>
  <c r="AH338" i="9"/>
  <c r="AH339" i="9"/>
  <c r="AH340" i="9"/>
  <c r="AH341" i="9"/>
  <c r="AH342" i="9"/>
  <c r="AH343" i="9"/>
  <c r="AH344" i="9"/>
  <c r="AH345" i="9"/>
  <c r="AH346" i="9"/>
  <c r="AH347" i="9"/>
  <c r="AH348" i="9"/>
  <c r="AH349" i="9"/>
  <c r="AH350" i="9"/>
  <c r="AH351" i="9"/>
  <c r="AH352" i="9"/>
  <c r="AH353" i="9"/>
  <c r="AH354" i="9"/>
  <c r="AH355" i="9"/>
  <c r="AH356" i="9"/>
  <c r="AH357" i="9"/>
  <c r="AH358" i="9"/>
  <c r="AH359" i="9"/>
  <c r="AH360" i="9"/>
  <c r="AH361" i="9"/>
  <c r="AH362" i="9"/>
  <c r="AH363" i="9"/>
  <c r="AH364" i="9"/>
  <c r="V11" i="8"/>
  <c r="W9" i="8"/>
  <c r="W10" i="8"/>
  <c r="W11" i="8"/>
  <c r="V12" i="8"/>
  <c r="V13" i="8"/>
  <c r="W12" i="8"/>
  <c r="W13" i="8"/>
  <c r="B9" i="16"/>
  <c r="AI5" i="9"/>
  <c r="AI6" i="9"/>
  <c r="AI7" i="9"/>
  <c r="AI8" i="9"/>
  <c r="AI9" i="9"/>
  <c r="AJ9" i="9"/>
  <c r="AI10" i="9"/>
  <c r="AI11" i="9"/>
  <c r="AI12" i="9"/>
  <c r="AI13" i="9"/>
  <c r="AI14" i="9"/>
  <c r="AI15" i="9"/>
  <c r="AI16" i="9"/>
  <c r="AJ16" i="9"/>
  <c r="AI17" i="9"/>
  <c r="AJ17" i="9"/>
  <c r="AI18" i="9"/>
  <c r="AI19" i="9"/>
  <c r="AI20" i="9"/>
  <c r="AJ20" i="9"/>
  <c r="AI21" i="9"/>
  <c r="AI22" i="9"/>
  <c r="AI23" i="9"/>
  <c r="AI24" i="9"/>
  <c r="AI25" i="9"/>
  <c r="AI26" i="9"/>
  <c r="AI27" i="9"/>
  <c r="AI28" i="9"/>
  <c r="AJ28" i="9"/>
  <c r="AI29" i="9"/>
  <c r="AJ29" i="9"/>
  <c r="AI30" i="9"/>
  <c r="AJ30" i="9"/>
  <c r="AI31" i="9"/>
  <c r="AJ31" i="9"/>
  <c r="AI32" i="9"/>
  <c r="AJ32" i="9"/>
  <c r="AI33" i="9"/>
  <c r="AI34" i="9"/>
  <c r="AJ34" i="9"/>
  <c r="AI35" i="9"/>
  <c r="AJ35" i="9"/>
  <c r="AI36" i="9"/>
  <c r="AJ36" i="9"/>
  <c r="AI37" i="9"/>
  <c r="AJ37" i="9"/>
  <c r="AI38" i="9"/>
  <c r="AJ38" i="9"/>
  <c r="AI39" i="9"/>
  <c r="AJ39" i="9"/>
  <c r="AI40" i="9"/>
  <c r="AJ40" i="9"/>
  <c r="AI41" i="9"/>
  <c r="AI42" i="9"/>
  <c r="AJ42" i="9"/>
  <c r="AI43" i="9"/>
  <c r="AJ43" i="9"/>
  <c r="AI44" i="9"/>
  <c r="AI45" i="9"/>
  <c r="AJ45" i="9"/>
  <c r="AI46" i="9"/>
  <c r="AJ46" i="9"/>
  <c r="AI47" i="9"/>
  <c r="AJ47" i="9"/>
  <c r="AI48" i="9"/>
  <c r="AJ48" i="9"/>
  <c r="AI49" i="9"/>
  <c r="AJ49" i="9"/>
  <c r="AI50" i="9"/>
  <c r="AJ50" i="9"/>
  <c r="AI51" i="9"/>
  <c r="AJ51" i="9"/>
  <c r="AI52" i="9"/>
  <c r="AJ52" i="9"/>
  <c r="AI53" i="9"/>
  <c r="AJ53" i="9"/>
  <c r="AI54" i="9"/>
  <c r="AJ54" i="9"/>
  <c r="AI55" i="9"/>
  <c r="AJ55" i="9"/>
  <c r="AI56" i="9"/>
  <c r="AI57" i="9"/>
  <c r="AJ57" i="9"/>
  <c r="AI58" i="9"/>
  <c r="AJ58" i="9"/>
  <c r="AI59" i="9"/>
  <c r="AJ59" i="9"/>
  <c r="AI60" i="9"/>
  <c r="AJ60" i="9"/>
  <c r="AI61" i="9"/>
  <c r="AJ61" i="9"/>
  <c r="AI62" i="9"/>
  <c r="AJ62" i="9"/>
  <c r="AI63" i="9"/>
  <c r="AJ63" i="9"/>
  <c r="AI64" i="9"/>
  <c r="AJ64" i="9"/>
  <c r="AI65" i="9"/>
  <c r="AJ65" i="9"/>
  <c r="AI66" i="9"/>
  <c r="AJ66" i="9"/>
  <c r="AI67" i="9"/>
  <c r="AJ67" i="9"/>
  <c r="AI68" i="9"/>
  <c r="AJ68" i="9"/>
  <c r="AI69" i="9"/>
  <c r="AJ69" i="9"/>
  <c r="AI70" i="9"/>
  <c r="AJ70" i="9"/>
  <c r="AI71" i="9"/>
  <c r="AJ71" i="9"/>
  <c r="AI72" i="9"/>
  <c r="AJ72" i="9"/>
  <c r="AI73" i="9"/>
  <c r="AJ73" i="9"/>
  <c r="AI74" i="9"/>
  <c r="AJ74" i="9"/>
  <c r="AI75" i="9"/>
  <c r="AJ75" i="9"/>
  <c r="AI76" i="9"/>
  <c r="AJ76" i="9"/>
  <c r="AI77" i="9"/>
  <c r="AJ77" i="9"/>
  <c r="AI78" i="9"/>
  <c r="AJ78" i="9"/>
  <c r="AI79" i="9"/>
  <c r="AJ79" i="9"/>
  <c r="AI80" i="9"/>
  <c r="AJ80" i="9"/>
  <c r="AI81" i="9"/>
  <c r="AJ81" i="9"/>
  <c r="AI82" i="9"/>
  <c r="AJ82" i="9"/>
  <c r="AI83" i="9"/>
  <c r="AI84" i="9"/>
  <c r="AJ84" i="9"/>
  <c r="AI85" i="9"/>
  <c r="AJ85" i="9"/>
  <c r="AI86" i="9"/>
  <c r="AJ86" i="9"/>
  <c r="AI87" i="9"/>
  <c r="AJ87" i="9"/>
  <c r="AI88" i="9"/>
  <c r="AJ88" i="9"/>
  <c r="AI89" i="9"/>
  <c r="AJ89" i="9"/>
  <c r="AI90" i="9"/>
  <c r="AJ90" i="9"/>
  <c r="AI91" i="9"/>
  <c r="AJ91" i="9"/>
  <c r="AI92" i="9"/>
  <c r="AJ92" i="9"/>
  <c r="AI93" i="9"/>
  <c r="AJ93" i="9"/>
  <c r="AI94" i="9"/>
  <c r="AJ94" i="9"/>
  <c r="AI95" i="9"/>
  <c r="AJ95" i="9"/>
  <c r="AI96" i="9"/>
  <c r="AJ96" i="9"/>
  <c r="AI97" i="9"/>
  <c r="AJ97" i="9"/>
  <c r="AI98" i="9"/>
  <c r="AJ98" i="9"/>
  <c r="AI99" i="9"/>
  <c r="AJ99" i="9"/>
  <c r="AI100" i="9"/>
  <c r="AJ100" i="9"/>
  <c r="AI101" i="9"/>
  <c r="AJ101" i="9"/>
  <c r="AI102" i="9"/>
  <c r="AJ102" i="9"/>
  <c r="AI103" i="9"/>
  <c r="AJ103" i="9"/>
  <c r="AI104" i="9"/>
  <c r="AJ104" i="9"/>
  <c r="AI105" i="9"/>
  <c r="AJ105" i="9"/>
  <c r="AI106" i="9"/>
  <c r="AI107" i="9"/>
  <c r="AI108" i="9"/>
  <c r="AJ108" i="9"/>
  <c r="AI109" i="9"/>
  <c r="AJ109" i="9"/>
  <c r="AI110" i="9"/>
  <c r="AJ110" i="9"/>
  <c r="AI111" i="9"/>
  <c r="AJ111" i="9"/>
  <c r="AI112" i="9"/>
  <c r="AJ112" i="9"/>
  <c r="AI113" i="9"/>
  <c r="AJ113" i="9"/>
  <c r="AI114" i="9"/>
  <c r="AJ114" i="9"/>
  <c r="AI115" i="9"/>
  <c r="AJ115" i="9"/>
  <c r="AI116" i="9"/>
  <c r="AJ116" i="9"/>
  <c r="AI117" i="9"/>
  <c r="AJ117" i="9"/>
  <c r="AI118" i="9"/>
  <c r="AJ118" i="9"/>
  <c r="AI119" i="9"/>
  <c r="AJ119" i="9"/>
  <c r="AI120" i="9"/>
  <c r="AJ120" i="9"/>
  <c r="AI121" i="9"/>
  <c r="AJ121" i="9"/>
  <c r="AI122" i="9"/>
  <c r="AI123" i="9"/>
  <c r="AI124" i="9"/>
  <c r="AJ124" i="9"/>
  <c r="AI125" i="9"/>
  <c r="AJ125" i="9"/>
  <c r="AI126" i="9"/>
  <c r="AJ126" i="9"/>
  <c r="AI127" i="9"/>
  <c r="AJ127" i="9"/>
  <c r="AI128" i="9"/>
  <c r="AJ128" i="9"/>
  <c r="AI129" i="9"/>
  <c r="AI130" i="9"/>
  <c r="AJ130" i="9"/>
  <c r="AI131" i="9"/>
  <c r="AJ131" i="9"/>
  <c r="AI132" i="9"/>
  <c r="AJ132" i="9"/>
  <c r="AI133" i="9"/>
  <c r="AJ133" i="9"/>
  <c r="AI134" i="9"/>
  <c r="AJ134" i="9"/>
  <c r="AI135" i="9"/>
  <c r="AJ135" i="9"/>
  <c r="AI136" i="9"/>
  <c r="AJ136" i="9"/>
  <c r="AI137" i="9"/>
  <c r="AJ137" i="9"/>
  <c r="AI138" i="9"/>
  <c r="AJ138" i="9"/>
  <c r="AI139" i="9"/>
  <c r="AJ139" i="9"/>
  <c r="AI140" i="9"/>
  <c r="AJ140" i="9"/>
  <c r="AI141" i="9"/>
  <c r="AJ141" i="9"/>
  <c r="AI142" i="9"/>
  <c r="AJ142" i="9"/>
  <c r="AI143" i="9"/>
  <c r="AJ143" i="9"/>
  <c r="AI144" i="9"/>
  <c r="AJ144" i="9"/>
  <c r="AI145" i="9"/>
  <c r="AJ145" i="9"/>
  <c r="AI146" i="9"/>
  <c r="AJ146" i="9"/>
  <c r="AI147" i="9"/>
  <c r="AJ147" i="9"/>
  <c r="AI148" i="9"/>
  <c r="AJ148" i="9"/>
  <c r="AI149" i="9"/>
  <c r="AJ149" i="9"/>
  <c r="AI150" i="9"/>
  <c r="AJ150" i="9"/>
  <c r="AI151" i="9"/>
  <c r="AJ151" i="9"/>
  <c r="AI152" i="9"/>
  <c r="AJ152" i="9"/>
  <c r="AI153" i="9"/>
  <c r="AJ153" i="9"/>
  <c r="AI154" i="9"/>
  <c r="AJ154" i="9"/>
  <c r="AI155" i="9"/>
  <c r="AJ155" i="9"/>
  <c r="AI156" i="9"/>
  <c r="AJ156" i="9"/>
  <c r="AI157" i="9"/>
  <c r="AI158" i="9"/>
  <c r="AI159" i="9"/>
  <c r="AJ159" i="9"/>
  <c r="AI160" i="9"/>
  <c r="AJ160" i="9"/>
  <c r="AI161" i="9"/>
  <c r="AJ161" i="9"/>
  <c r="AI162" i="9"/>
  <c r="AJ162" i="9"/>
  <c r="AI163" i="9"/>
  <c r="AJ163" i="9"/>
  <c r="AI164" i="9"/>
  <c r="AJ164" i="9"/>
  <c r="AI165" i="9"/>
  <c r="AJ165" i="9"/>
  <c r="AI166" i="9"/>
  <c r="AJ166" i="9"/>
  <c r="AI167" i="9"/>
  <c r="AJ167" i="9"/>
  <c r="AI168" i="9"/>
  <c r="AJ168" i="9"/>
  <c r="AI169" i="9"/>
  <c r="AJ169" i="9"/>
  <c r="AI170" i="9"/>
  <c r="AJ170" i="9"/>
  <c r="AI171" i="9"/>
  <c r="AJ171" i="9"/>
  <c r="AI172" i="9"/>
  <c r="AJ172" i="9"/>
  <c r="AI173" i="9"/>
  <c r="AJ173" i="9"/>
  <c r="AI174" i="9"/>
  <c r="AJ174" i="9"/>
  <c r="AI175" i="9"/>
  <c r="AJ175" i="9"/>
  <c r="AI176" i="9"/>
  <c r="AJ176" i="9"/>
  <c r="AI177" i="9"/>
  <c r="AJ177" i="9"/>
  <c r="AI178" i="9"/>
  <c r="AJ178" i="9"/>
  <c r="AI179" i="9"/>
  <c r="AJ179" i="9"/>
  <c r="AI180" i="9"/>
  <c r="AJ180" i="9"/>
  <c r="AI181" i="9"/>
  <c r="AJ181" i="9"/>
  <c r="AI182" i="9"/>
  <c r="AJ182" i="9"/>
  <c r="AI183" i="9"/>
  <c r="AJ183" i="9"/>
  <c r="AI184" i="9"/>
  <c r="AJ184" i="9"/>
  <c r="AI185" i="9"/>
  <c r="AJ185" i="9"/>
  <c r="AI186" i="9"/>
  <c r="AJ186" i="9"/>
  <c r="AI187" i="9"/>
  <c r="AJ187" i="9"/>
  <c r="AI188" i="9"/>
  <c r="AJ188" i="9"/>
  <c r="AI189" i="9"/>
  <c r="AJ189" i="9"/>
  <c r="AI190" i="9"/>
  <c r="AJ190" i="9"/>
  <c r="AI191" i="9"/>
  <c r="AI192" i="9"/>
  <c r="AJ192" i="9"/>
  <c r="AI193" i="9"/>
  <c r="AJ193" i="9"/>
  <c r="AI194" i="9"/>
  <c r="AJ194" i="9"/>
  <c r="AI195" i="9"/>
  <c r="AJ195" i="9"/>
  <c r="AI196" i="9"/>
  <c r="AJ196" i="9"/>
  <c r="AI197" i="9"/>
  <c r="AJ197" i="9"/>
  <c r="AI198" i="9"/>
  <c r="AJ198" i="9"/>
  <c r="AI199" i="9"/>
  <c r="AJ199" i="9"/>
  <c r="AI200" i="9"/>
  <c r="AJ200" i="9"/>
  <c r="AI201" i="9"/>
  <c r="AJ201" i="9"/>
  <c r="AI202" i="9"/>
  <c r="AJ202" i="9"/>
  <c r="AI203" i="9"/>
  <c r="AJ203" i="9"/>
  <c r="AI204" i="9"/>
  <c r="AJ204" i="9"/>
  <c r="AI205" i="9"/>
  <c r="AJ205" i="9"/>
  <c r="AI206" i="9"/>
  <c r="AJ206" i="9"/>
  <c r="AI207" i="9"/>
  <c r="AJ207" i="9"/>
  <c r="AI208" i="9"/>
  <c r="AJ208" i="9"/>
  <c r="AI209" i="9"/>
  <c r="AJ209" i="9"/>
  <c r="AI210" i="9"/>
  <c r="AJ210" i="9"/>
  <c r="AI211" i="9"/>
  <c r="AJ211" i="9"/>
  <c r="AI212" i="9"/>
  <c r="AJ212" i="9"/>
  <c r="AI213" i="9"/>
  <c r="AJ213" i="9"/>
  <c r="AI214" i="9"/>
  <c r="AJ214" i="9"/>
  <c r="AI215" i="9"/>
  <c r="AJ215" i="9"/>
  <c r="AI216" i="9"/>
  <c r="AI217" i="9"/>
  <c r="AJ217" i="9"/>
  <c r="AI218" i="9"/>
  <c r="AJ218" i="9"/>
  <c r="AI219" i="9"/>
  <c r="AJ219" i="9"/>
  <c r="AI220" i="9"/>
  <c r="AJ220" i="9"/>
  <c r="AI221" i="9"/>
  <c r="AJ221" i="9"/>
  <c r="AI222" i="9"/>
  <c r="AI223" i="9"/>
  <c r="AJ223" i="9"/>
  <c r="AI224" i="9"/>
  <c r="AJ224" i="9"/>
  <c r="AI225" i="9"/>
  <c r="AJ225" i="9"/>
  <c r="AI226" i="9"/>
  <c r="AJ226" i="9"/>
  <c r="AI227" i="9"/>
  <c r="AJ227" i="9"/>
  <c r="AI228" i="9"/>
  <c r="AI229" i="9"/>
  <c r="AJ229" i="9"/>
  <c r="AI230" i="9"/>
  <c r="AJ230" i="9"/>
  <c r="AI231" i="9"/>
  <c r="AJ231" i="9"/>
  <c r="AI232" i="9"/>
  <c r="AJ232" i="9"/>
  <c r="AI233" i="9"/>
  <c r="AJ233" i="9"/>
  <c r="AI234" i="9"/>
  <c r="AJ234" i="9"/>
  <c r="AI235" i="9"/>
  <c r="AJ235" i="9"/>
  <c r="AI236" i="9"/>
  <c r="AJ236" i="9"/>
  <c r="AI237" i="9"/>
  <c r="AJ237" i="9"/>
  <c r="AI238" i="9"/>
  <c r="AJ238" i="9"/>
  <c r="AI239" i="9"/>
  <c r="AJ239" i="9"/>
  <c r="AI240" i="9"/>
  <c r="AJ240" i="9"/>
  <c r="AI241" i="9"/>
  <c r="AJ241" i="9"/>
  <c r="AI242" i="9"/>
  <c r="AJ242" i="9"/>
  <c r="AI243" i="9"/>
  <c r="AJ243" i="9"/>
  <c r="AI244" i="9"/>
  <c r="AJ244" i="9"/>
  <c r="AI245" i="9"/>
  <c r="AJ245" i="9"/>
  <c r="AI246" i="9"/>
  <c r="AJ246" i="9"/>
  <c r="AI247" i="9"/>
  <c r="AJ247" i="9"/>
  <c r="AI248" i="9"/>
  <c r="AJ248" i="9"/>
  <c r="AI249" i="9"/>
  <c r="AJ249" i="9"/>
  <c r="AI250" i="9"/>
  <c r="AJ250" i="9"/>
  <c r="AI251" i="9"/>
  <c r="AJ251" i="9"/>
  <c r="AI252" i="9"/>
  <c r="AJ252" i="9"/>
  <c r="AI253" i="9"/>
  <c r="AJ253" i="9"/>
  <c r="AI254" i="9"/>
  <c r="AJ254" i="9"/>
  <c r="AI255" i="9"/>
  <c r="AJ255" i="9"/>
  <c r="AI256" i="9"/>
  <c r="AJ256" i="9"/>
  <c r="AI257" i="9"/>
  <c r="AJ257" i="9"/>
  <c r="AI258" i="9"/>
  <c r="AJ258" i="9"/>
  <c r="AI259" i="9"/>
  <c r="AJ259" i="9"/>
  <c r="AI260" i="9"/>
  <c r="AJ260" i="9"/>
  <c r="AI261" i="9"/>
  <c r="AJ261" i="9"/>
  <c r="AI262" i="9"/>
  <c r="AJ262" i="9"/>
  <c r="AI263" i="9"/>
  <c r="AJ263" i="9"/>
  <c r="AI264" i="9"/>
  <c r="AJ264" i="9"/>
  <c r="AI265" i="9"/>
  <c r="AJ265" i="9"/>
  <c r="AI266" i="9"/>
  <c r="AJ266" i="9"/>
  <c r="AI267" i="9"/>
  <c r="AJ267" i="9"/>
  <c r="AI268" i="9"/>
  <c r="AJ268" i="9"/>
  <c r="AI269" i="9"/>
  <c r="AJ269" i="9"/>
  <c r="AI270" i="9"/>
  <c r="AJ270" i="9"/>
  <c r="AI271" i="9"/>
  <c r="AJ271" i="9"/>
  <c r="AI272" i="9"/>
  <c r="AJ272" i="9"/>
  <c r="AI273" i="9"/>
  <c r="AJ273" i="9"/>
  <c r="AI274" i="9"/>
  <c r="AJ274" i="9"/>
  <c r="AI275" i="9"/>
  <c r="AJ275" i="9"/>
  <c r="AI276" i="9"/>
  <c r="AJ276" i="9"/>
  <c r="AI277" i="9"/>
  <c r="AJ277" i="9"/>
  <c r="AI278" i="9"/>
  <c r="AJ278" i="9"/>
  <c r="AI279" i="9"/>
  <c r="AJ279" i="9"/>
  <c r="AI280" i="9"/>
  <c r="AJ280" i="9"/>
  <c r="AI281" i="9"/>
  <c r="AJ281" i="9"/>
  <c r="AI282" i="9"/>
  <c r="AJ282" i="9"/>
  <c r="AI283" i="9"/>
  <c r="AJ283" i="9"/>
  <c r="AI284" i="9"/>
  <c r="AJ284" i="9"/>
  <c r="AI285" i="9"/>
  <c r="AJ285" i="9"/>
  <c r="AI286" i="9"/>
  <c r="AJ286" i="9"/>
  <c r="AI287" i="9"/>
  <c r="AJ287" i="9"/>
  <c r="AI288" i="9"/>
  <c r="AJ288" i="9"/>
  <c r="AI289" i="9"/>
  <c r="AJ289" i="9"/>
  <c r="AI290" i="9"/>
  <c r="AJ290" i="9"/>
  <c r="AI291" i="9"/>
  <c r="AJ291" i="9"/>
  <c r="AI292" i="9"/>
  <c r="AJ292" i="9"/>
  <c r="AI293" i="9"/>
  <c r="AJ293" i="9"/>
  <c r="AI294" i="9"/>
  <c r="AJ294" i="9"/>
  <c r="AI295" i="9"/>
  <c r="AJ295" i="9"/>
  <c r="AI296" i="9"/>
  <c r="AJ296" i="9"/>
  <c r="AI297" i="9"/>
  <c r="AJ297" i="9"/>
  <c r="AI298" i="9"/>
  <c r="AJ298" i="9"/>
  <c r="AI299" i="9"/>
  <c r="AJ299" i="9"/>
  <c r="AI300" i="9"/>
  <c r="AJ300" i="9"/>
  <c r="AI301" i="9"/>
  <c r="AJ301" i="9"/>
  <c r="AI302" i="9"/>
  <c r="AJ302" i="9"/>
  <c r="AI303" i="9"/>
  <c r="AJ303" i="9"/>
  <c r="AI304" i="9"/>
  <c r="AJ304" i="9"/>
  <c r="AI305" i="9"/>
  <c r="AJ305" i="9"/>
  <c r="AI306" i="9"/>
  <c r="AJ306" i="9"/>
  <c r="AI307" i="9"/>
  <c r="AJ307" i="9"/>
  <c r="AI308" i="9"/>
  <c r="AJ308" i="9"/>
  <c r="AI309" i="9"/>
  <c r="AJ309" i="9"/>
  <c r="AI310" i="9"/>
  <c r="AJ310" i="9"/>
  <c r="AI311" i="9"/>
  <c r="AJ311" i="9"/>
  <c r="AI312" i="9"/>
  <c r="AJ312" i="9"/>
  <c r="AI313" i="9"/>
  <c r="AJ313" i="9"/>
  <c r="AI314" i="9"/>
  <c r="AJ314" i="9"/>
  <c r="AI315" i="9"/>
  <c r="AJ315" i="9"/>
  <c r="AI316" i="9"/>
  <c r="AJ316" i="9"/>
  <c r="AI317" i="9"/>
  <c r="AJ317" i="9"/>
  <c r="AI318" i="9"/>
  <c r="AJ318" i="9"/>
  <c r="AI319" i="9"/>
  <c r="AJ319" i="9"/>
  <c r="AI320" i="9"/>
  <c r="AJ320" i="9"/>
  <c r="AI321" i="9"/>
  <c r="AJ321" i="9"/>
  <c r="AI322" i="9"/>
  <c r="AJ322" i="9"/>
  <c r="AI323" i="9"/>
  <c r="AJ323" i="9"/>
  <c r="AI324" i="9"/>
  <c r="AJ324" i="9"/>
  <c r="AI325" i="9"/>
  <c r="AJ325" i="9"/>
  <c r="AI326" i="9"/>
  <c r="AJ326" i="9"/>
  <c r="AI327" i="9"/>
  <c r="AJ327" i="9"/>
  <c r="AI328" i="9"/>
  <c r="AJ328" i="9"/>
  <c r="AI329" i="9"/>
  <c r="AJ329" i="9"/>
  <c r="AI330" i="9"/>
  <c r="AJ330" i="9"/>
  <c r="AI331" i="9"/>
  <c r="AJ331" i="9"/>
  <c r="AI332" i="9"/>
  <c r="AJ332" i="9"/>
  <c r="AI333" i="9"/>
  <c r="AJ333" i="9"/>
  <c r="AI334" i="9"/>
  <c r="AJ334" i="9"/>
  <c r="AI335" i="9"/>
  <c r="AJ335" i="9"/>
  <c r="AI336" i="9"/>
  <c r="AJ336" i="9"/>
  <c r="AI337" i="9"/>
  <c r="AJ337" i="9"/>
  <c r="AI338" i="9"/>
  <c r="AJ338" i="9"/>
  <c r="AI339" i="9"/>
  <c r="AJ339" i="9"/>
  <c r="AI340" i="9"/>
  <c r="AJ340" i="9"/>
  <c r="AI341" i="9"/>
  <c r="AJ341" i="9"/>
  <c r="AI342" i="9"/>
  <c r="AJ342" i="9"/>
  <c r="AI343" i="9"/>
  <c r="AJ343" i="9"/>
  <c r="AI344" i="9"/>
  <c r="AJ344" i="9"/>
  <c r="AI345" i="9"/>
  <c r="AJ345" i="9"/>
  <c r="AI346" i="9"/>
  <c r="AJ346" i="9"/>
  <c r="AI347" i="9"/>
  <c r="AJ347" i="9"/>
  <c r="AI348" i="9"/>
  <c r="AJ348" i="9"/>
  <c r="AI349" i="9"/>
  <c r="AJ349" i="9"/>
  <c r="AI350" i="9"/>
  <c r="AJ350" i="9"/>
  <c r="AI351" i="9"/>
  <c r="AJ351" i="9"/>
  <c r="AI352" i="9"/>
  <c r="AJ352" i="9"/>
  <c r="AI353" i="9"/>
  <c r="AJ353" i="9"/>
  <c r="AI354" i="9"/>
  <c r="AJ354" i="9"/>
  <c r="AI355" i="9"/>
  <c r="AJ355" i="9"/>
  <c r="AI356" i="9"/>
  <c r="AJ356" i="9"/>
  <c r="AI357" i="9"/>
  <c r="AJ357" i="9"/>
  <c r="AI358" i="9"/>
  <c r="AJ358" i="9"/>
  <c r="AI359" i="9"/>
  <c r="AJ359" i="9"/>
  <c r="AI360" i="9"/>
  <c r="AJ360" i="9"/>
  <c r="AI361" i="9"/>
  <c r="AJ361" i="9"/>
  <c r="AI362" i="9"/>
  <c r="AJ362" i="9"/>
  <c r="AI363" i="9"/>
  <c r="AJ363" i="9"/>
  <c r="AI4" i="9"/>
  <c r="AJ33" i="9"/>
  <c r="AJ107" i="9"/>
  <c r="AJ13" i="9"/>
  <c r="AJ157" i="9"/>
  <c r="AJ222" i="9"/>
  <c r="AJ216" i="9"/>
  <c r="AJ228" i="9"/>
  <c r="AJ18" i="9"/>
  <c r="AJ12" i="9"/>
  <c r="AJ129" i="9"/>
  <c r="AJ83" i="9"/>
  <c r="AJ123" i="9"/>
  <c r="AJ106" i="9"/>
  <c r="AJ56" i="9"/>
  <c r="AJ24" i="9"/>
  <c r="AJ41" i="9"/>
  <c r="AJ21" i="9"/>
  <c r="AJ191" i="9"/>
  <c r="AJ122" i="9"/>
  <c r="AJ14" i="9"/>
  <c r="AJ158" i="9"/>
  <c r="AJ8" i="9"/>
  <c r="AJ4" i="9"/>
  <c r="AJ22" i="9"/>
  <c r="AJ26" i="9"/>
  <c r="AJ44" i="9"/>
  <c r="AJ25" i="9"/>
  <c r="AJ27" i="9"/>
  <c r="AJ19" i="9"/>
  <c r="AJ15" i="9"/>
  <c r="AJ23" i="9"/>
  <c r="AJ11" i="9"/>
  <c r="AJ7" i="9"/>
  <c r="AJ10" i="9"/>
  <c r="AJ6" i="9"/>
  <c r="AJ5" i="9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C211" i="14"/>
  <c r="C212" i="14"/>
  <c r="C213" i="14"/>
  <c r="C214" i="14"/>
  <c r="C215" i="14"/>
  <c r="C216" i="14"/>
  <c r="C217" i="14"/>
  <c r="C218" i="14"/>
  <c r="C219" i="14"/>
  <c r="C220" i="14"/>
  <c r="C221" i="14"/>
  <c r="C222" i="14"/>
  <c r="C223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C245" i="14"/>
  <c r="C246" i="14"/>
  <c r="C247" i="14"/>
  <c r="C248" i="14"/>
  <c r="C249" i="14"/>
  <c r="C250" i="14"/>
  <c r="C251" i="14"/>
  <c r="C252" i="14"/>
  <c r="C253" i="14"/>
  <c r="C254" i="14"/>
  <c r="C255" i="14"/>
  <c r="C256" i="14"/>
  <c r="C257" i="14"/>
  <c r="C258" i="14"/>
  <c r="C259" i="14"/>
  <c r="C260" i="14"/>
  <c r="C261" i="14"/>
  <c r="C262" i="14"/>
  <c r="C263" i="14"/>
  <c r="C264" i="14"/>
  <c r="C265" i="14"/>
  <c r="C266" i="14"/>
  <c r="C267" i="14"/>
  <c r="C268" i="14"/>
  <c r="C269" i="14"/>
  <c r="C270" i="14"/>
  <c r="C271" i="14"/>
  <c r="C272" i="14"/>
  <c r="C273" i="14"/>
  <c r="C274" i="14"/>
  <c r="C275" i="14"/>
  <c r="C276" i="14"/>
  <c r="C277" i="14"/>
  <c r="C278" i="14"/>
  <c r="C279" i="14"/>
  <c r="C280" i="14"/>
  <c r="C281" i="14"/>
  <c r="C282" i="14"/>
  <c r="C283" i="14"/>
  <c r="C284" i="14"/>
  <c r="C285" i="14"/>
  <c r="C286" i="14"/>
  <c r="C287" i="14"/>
  <c r="C288" i="14"/>
  <c r="C289" i="14"/>
  <c r="C290" i="14"/>
  <c r="C291" i="14"/>
  <c r="C292" i="14"/>
  <c r="C293" i="14"/>
  <c r="C294" i="14"/>
  <c r="C295" i="14"/>
  <c r="C296" i="14"/>
  <c r="C297" i="14"/>
  <c r="C298" i="14"/>
  <c r="C299" i="14"/>
  <c r="C300" i="14"/>
  <c r="C301" i="14"/>
  <c r="C302" i="14"/>
  <c r="C303" i="14"/>
  <c r="C304" i="14"/>
  <c r="C305" i="14"/>
  <c r="C306" i="14"/>
  <c r="C307" i="14"/>
  <c r="C308" i="14"/>
  <c r="C309" i="14"/>
  <c r="C310" i="14"/>
  <c r="C311" i="14"/>
  <c r="C312" i="14"/>
  <c r="C313" i="14"/>
  <c r="C314" i="14"/>
  <c r="C315" i="14"/>
  <c r="C316" i="14"/>
  <c r="C317" i="14"/>
  <c r="C318" i="14"/>
  <c r="C319" i="14"/>
  <c r="C320" i="14"/>
  <c r="C321" i="14"/>
  <c r="C322" i="14"/>
  <c r="C323" i="14"/>
  <c r="C324" i="14"/>
  <c r="C325" i="14"/>
  <c r="C326" i="14"/>
  <c r="C327" i="14"/>
  <c r="C328" i="14"/>
  <c r="C329" i="14"/>
  <c r="C330" i="14"/>
  <c r="C331" i="14"/>
  <c r="C332" i="14"/>
  <c r="C333" i="14"/>
  <c r="C334" i="14"/>
  <c r="C335" i="14"/>
  <c r="C336" i="14"/>
  <c r="C337" i="14"/>
  <c r="C338" i="14"/>
  <c r="C339" i="14"/>
  <c r="C340" i="14"/>
  <c r="C341" i="14"/>
  <c r="C342" i="14"/>
  <c r="C343" i="14"/>
  <c r="C344" i="14"/>
  <c r="C345" i="14"/>
  <c r="C346" i="14"/>
  <c r="C347" i="14"/>
  <c r="C348" i="14"/>
  <c r="C349" i="14"/>
  <c r="C350" i="14"/>
  <c r="C351" i="14"/>
  <c r="C352" i="14"/>
  <c r="C353" i="14"/>
  <c r="C354" i="14"/>
  <c r="C355" i="14"/>
  <c r="C356" i="14"/>
  <c r="C357" i="14"/>
  <c r="C358" i="14"/>
  <c r="C359" i="14"/>
  <c r="C360" i="14"/>
  <c r="C361" i="14"/>
  <c r="C362" i="14"/>
  <c r="C363" i="14"/>
  <c r="C364" i="14"/>
  <c r="C365" i="14"/>
  <c r="H5" i="14"/>
  <c r="H4" i="14"/>
  <c r="H3" i="14"/>
  <c r="H2" i="14"/>
  <c r="D323" i="15"/>
  <c r="G323" i="15"/>
  <c r="D324" i="15"/>
  <c r="G324" i="15"/>
  <c r="D325" i="15"/>
  <c r="G325" i="15"/>
  <c r="D326" i="15"/>
  <c r="G326" i="15"/>
  <c r="D327" i="15"/>
  <c r="G327" i="15"/>
  <c r="D328" i="15"/>
  <c r="G328" i="15"/>
  <c r="D329" i="15"/>
  <c r="G329" i="15"/>
  <c r="D330" i="15"/>
  <c r="G330" i="15"/>
  <c r="D331" i="15"/>
  <c r="G331" i="15"/>
  <c r="D332" i="15"/>
  <c r="G332" i="15"/>
  <c r="D333" i="15"/>
  <c r="G333" i="15"/>
  <c r="D334" i="15"/>
  <c r="G334" i="15"/>
  <c r="D335" i="15"/>
  <c r="G335" i="15"/>
  <c r="D336" i="15"/>
  <c r="G336" i="15"/>
  <c r="D337" i="15"/>
  <c r="G337" i="15"/>
  <c r="D338" i="15"/>
  <c r="G338" i="15"/>
  <c r="D339" i="15"/>
  <c r="G339" i="15"/>
  <c r="D340" i="15"/>
  <c r="G340" i="15"/>
  <c r="D341" i="15"/>
  <c r="G341" i="15"/>
  <c r="D342" i="15"/>
  <c r="G342" i="15"/>
  <c r="D343" i="15"/>
  <c r="G343" i="15"/>
  <c r="D344" i="15"/>
  <c r="G344" i="15"/>
  <c r="D345" i="15"/>
  <c r="G345" i="15"/>
  <c r="D346" i="15"/>
  <c r="G346" i="15"/>
  <c r="M5" i="15"/>
  <c r="M3" i="15"/>
  <c r="M4" i="15"/>
  <c r="M8" i="15"/>
  <c r="M9" i="15"/>
  <c r="M6" i="15"/>
  <c r="M10" i="15"/>
  <c r="M11" i="15"/>
  <c r="M1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N5" i="15"/>
  <c r="N3" i="15"/>
  <c r="N4" i="15"/>
  <c r="N8" i="15"/>
  <c r="N9" i="15"/>
  <c r="N6" i="15"/>
  <c r="N10" i="15"/>
  <c r="N11" i="15"/>
  <c r="N1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O5" i="15"/>
  <c r="O3" i="15"/>
  <c r="O4" i="15"/>
  <c r="O8" i="15"/>
  <c r="O9" i="15"/>
  <c r="O6" i="15"/>
  <c r="O10" i="15"/>
  <c r="O11" i="15"/>
  <c r="O12" i="15"/>
  <c r="F323" i="15"/>
  <c r="F324" i="15"/>
  <c r="F325" i="15"/>
  <c r="F326" i="15"/>
  <c r="F327" i="15"/>
  <c r="F328" i="15"/>
  <c r="F329" i="15"/>
  <c r="F330" i="15"/>
  <c r="F331" i="15"/>
  <c r="F332" i="15"/>
  <c r="F333" i="15"/>
  <c r="F334" i="15"/>
  <c r="F335" i="15"/>
  <c r="F336" i="15"/>
  <c r="F337" i="15"/>
  <c r="F338" i="15"/>
  <c r="F339" i="15"/>
  <c r="F340" i="15"/>
  <c r="F341" i="15"/>
  <c r="F342" i="15"/>
  <c r="F343" i="15"/>
  <c r="F344" i="15"/>
  <c r="F345" i="15"/>
  <c r="F346" i="15"/>
  <c r="L6" i="15"/>
  <c r="L5" i="15"/>
  <c r="L4" i="15"/>
  <c r="L3" i="15"/>
  <c r="L8" i="15"/>
  <c r="L9" i="15"/>
  <c r="A339" i="15"/>
  <c r="A340" i="15"/>
  <c r="A341" i="15"/>
  <c r="A342" i="15"/>
  <c r="A343" i="15"/>
  <c r="A344" i="15"/>
  <c r="A345" i="15"/>
  <c r="A346" i="15"/>
  <c r="D322" i="15"/>
  <c r="I322" i="15"/>
  <c r="G322" i="15"/>
  <c r="F322" i="15"/>
  <c r="H322" i="15"/>
  <c r="D321" i="15"/>
  <c r="F321" i="15"/>
  <c r="D320" i="15"/>
  <c r="D319" i="15"/>
  <c r="D318" i="15"/>
  <c r="I318" i="15"/>
  <c r="G318" i="15"/>
  <c r="F318" i="15"/>
  <c r="H318" i="15"/>
  <c r="D317" i="15"/>
  <c r="H317" i="15"/>
  <c r="G317" i="15"/>
  <c r="F317" i="15"/>
  <c r="D316" i="15"/>
  <c r="G316" i="15"/>
  <c r="F316" i="15"/>
  <c r="D315" i="15"/>
  <c r="F315" i="15"/>
  <c r="G315" i="15"/>
  <c r="D314" i="15"/>
  <c r="I314" i="15"/>
  <c r="G314" i="15"/>
  <c r="F314" i="15"/>
  <c r="H314" i="15"/>
  <c r="D313" i="15"/>
  <c r="F313" i="15"/>
  <c r="D312" i="15"/>
  <c r="D311" i="15"/>
  <c r="D310" i="15"/>
  <c r="I310" i="15"/>
  <c r="G310" i="15"/>
  <c r="F310" i="15"/>
  <c r="H310" i="15"/>
  <c r="D309" i="15"/>
  <c r="H309" i="15"/>
  <c r="G309" i="15"/>
  <c r="F309" i="15"/>
  <c r="D308" i="15"/>
  <c r="G308" i="15"/>
  <c r="F308" i="15"/>
  <c r="D307" i="15"/>
  <c r="F307" i="15"/>
  <c r="G307" i="15"/>
  <c r="D306" i="15"/>
  <c r="I306" i="15"/>
  <c r="G306" i="15"/>
  <c r="F306" i="15"/>
  <c r="H306" i="15"/>
  <c r="D305" i="15"/>
  <c r="F305" i="15"/>
  <c r="D304" i="15"/>
  <c r="D303" i="15"/>
  <c r="D302" i="15"/>
  <c r="I302" i="15"/>
  <c r="G302" i="15"/>
  <c r="F302" i="15"/>
  <c r="H302" i="15"/>
  <c r="D301" i="15"/>
  <c r="H301" i="15"/>
  <c r="G301" i="15"/>
  <c r="F301" i="15"/>
  <c r="D300" i="15"/>
  <c r="G300" i="15"/>
  <c r="F300" i="15"/>
  <c r="D299" i="15"/>
  <c r="F299" i="15"/>
  <c r="G299" i="15"/>
  <c r="D298" i="15"/>
  <c r="I298" i="15"/>
  <c r="G298" i="15"/>
  <c r="F298" i="15"/>
  <c r="H298" i="15"/>
  <c r="D297" i="15"/>
  <c r="F297" i="15"/>
  <c r="D296" i="15"/>
  <c r="I296" i="15"/>
  <c r="D295" i="15"/>
  <c r="D294" i="15"/>
  <c r="I294" i="15"/>
  <c r="G294" i="15"/>
  <c r="F294" i="15"/>
  <c r="H294" i="15"/>
  <c r="D293" i="15"/>
  <c r="H293" i="15"/>
  <c r="G293" i="15"/>
  <c r="F293" i="15"/>
  <c r="D292" i="15"/>
  <c r="H292" i="15"/>
  <c r="D291" i="15"/>
  <c r="H291" i="15"/>
  <c r="G291" i="15"/>
  <c r="F291" i="15"/>
  <c r="D290" i="15"/>
  <c r="H290" i="15"/>
  <c r="F290" i="15"/>
  <c r="G290" i="15"/>
  <c r="D289" i="15"/>
  <c r="I289" i="15"/>
  <c r="G289" i="15"/>
  <c r="F289" i="15"/>
  <c r="H289" i="15"/>
  <c r="D288" i="15"/>
  <c r="H288" i="15"/>
  <c r="G288" i="15"/>
  <c r="F288" i="15"/>
  <c r="D287" i="15"/>
  <c r="D286" i="15"/>
  <c r="D285" i="15"/>
  <c r="I285" i="15"/>
  <c r="G285" i="15"/>
  <c r="F285" i="15"/>
  <c r="H285" i="15"/>
  <c r="D284" i="15"/>
  <c r="H284" i="15"/>
  <c r="D283" i="15"/>
  <c r="H283" i="15"/>
  <c r="G283" i="15"/>
  <c r="F283" i="15"/>
  <c r="D282" i="15"/>
  <c r="H282" i="15"/>
  <c r="F282" i="15"/>
  <c r="G282" i="15"/>
  <c r="D281" i="15"/>
  <c r="I281" i="15"/>
  <c r="G281" i="15"/>
  <c r="F281" i="15"/>
  <c r="H281" i="15"/>
  <c r="D280" i="15"/>
  <c r="H280" i="15"/>
  <c r="G280" i="15"/>
  <c r="F280" i="15"/>
  <c r="D279" i="15"/>
  <c r="I279" i="15"/>
  <c r="D278" i="15"/>
  <c r="I278" i="15"/>
  <c r="D277" i="15"/>
  <c r="I277" i="15"/>
  <c r="G277" i="15"/>
  <c r="F277" i="15"/>
  <c r="H277" i="15"/>
  <c r="D276" i="15"/>
  <c r="H276" i="15"/>
  <c r="D275" i="15"/>
  <c r="H275" i="15"/>
  <c r="G275" i="15"/>
  <c r="F275" i="15"/>
  <c r="D274" i="15"/>
  <c r="H274" i="15"/>
  <c r="F274" i="15"/>
  <c r="G274" i="15"/>
  <c r="D273" i="15"/>
  <c r="G273" i="15"/>
  <c r="F273" i="15"/>
  <c r="H273" i="15"/>
  <c r="D272" i="15"/>
  <c r="G272" i="15"/>
  <c r="F272" i="15"/>
  <c r="D271" i="15"/>
  <c r="D270" i="15"/>
  <c r="I270" i="15"/>
  <c r="G270" i="15"/>
  <c r="F270" i="15"/>
  <c r="H270" i="15"/>
  <c r="D269" i="15"/>
  <c r="G269" i="15"/>
  <c r="F269" i="15"/>
  <c r="I269" i="15"/>
  <c r="D268" i="15"/>
  <c r="G268" i="15"/>
  <c r="F268" i="15"/>
  <c r="D267" i="15"/>
  <c r="D266" i="15"/>
  <c r="I266" i="15"/>
  <c r="G266" i="15"/>
  <c r="F266" i="15"/>
  <c r="H266" i="15"/>
  <c r="D265" i="15"/>
  <c r="G265" i="15"/>
  <c r="F265" i="15"/>
  <c r="I265" i="15"/>
  <c r="D264" i="15"/>
  <c r="G264" i="15"/>
  <c r="F264" i="15"/>
  <c r="D263" i="15"/>
  <c r="H263" i="15"/>
  <c r="D262" i="15"/>
  <c r="I262" i="15"/>
  <c r="G262" i="15"/>
  <c r="F262" i="15"/>
  <c r="H262" i="15"/>
  <c r="D261" i="15"/>
  <c r="G261" i="15"/>
  <c r="F261" i="15"/>
  <c r="I261" i="15"/>
  <c r="D260" i="15"/>
  <c r="G260" i="15"/>
  <c r="F260" i="15"/>
  <c r="D259" i="15"/>
  <c r="D258" i="15"/>
  <c r="I258" i="15"/>
  <c r="G258" i="15"/>
  <c r="F258" i="15"/>
  <c r="H258" i="15"/>
  <c r="D257" i="15"/>
  <c r="G257" i="15"/>
  <c r="F257" i="15"/>
  <c r="I257" i="15"/>
  <c r="D256" i="15"/>
  <c r="G256" i="15"/>
  <c r="F256" i="15"/>
  <c r="D255" i="15"/>
  <c r="D254" i="15"/>
  <c r="I254" i="15"/>
  <c r="G254" i="15"/>
  <c r="F254" i="15"/>
  <c r="H254" i="15"/>
  <c r="D253" i="15"/>
  <c r="G253" i="15"/>
  <c r="F253" i="15"/>
  <c r="I253" i="15"/>
  <c r="D252" i="15"/>
  <c r="G252" i="15"/>
  <c r="F252" i="15"/>
  <c r="D251" i="15"/>
  <c r="D250" i="15"/>
  <c r="I250" i="15"/>
  <c r="G250" i="15"/>
  <c r="F250" i="15"/>
  <c r="H250" i="15"/>
  <c r="D249" i="15"/>
  <c r="G249" i="15"/>
  <c r="F249" i="15"/>
  <c r="I249" i="15"/>
  <c r="D248" i="15"/>
  <c r="G248" i="15"/>
  <c r="F248" i="15"/>
  <c r="D247" i="15"/>
  <c r="H247" i="15"/>
  <c r="D246" i="15"/>
  <c r="I246" i="15"/>
  <c r="G246" i="15"/>
  <c r="F246" i="15"/>
  <c r="H246" i="15"/>
  <c r="D245" i="15"/>
  <c r="G245" i="15"/>
  <c r="F245" i="15"/>
  <c r="I245" i="15"/>
  <c r="D244" i="15"/>
  <c r="G244" i="15"/>
  <c r="F244" i="15"/>
  <c r="D243" i="15"/>
  <c r="D242" i="15"/>
  <c r="I242" i="15"/>
  <c r="G242" i="15"/>
  <c r="F242" i="15"/>
  <c r="H242" i="15"/>
  <c r="D241" i="15"/>
  <c r="G241" i="15"/>
  <c r="F241" i="15"/>
  <c r="I241" i="15"/>
  <c r="D240" i="15"/>
  <c r="G240" i="15"/>
  <c r="F240" i="15"/>
  <c r="D239" i="15"/>
  <c r="H239" i="15"/>
  <c r="D238" i="15"/>
  <c r="I238" i="15"/>
  <c r="G238" i="15"/>
  <c r="F238" i="15"/>
  <c r="H238" i="15"/>
  <c r="D237" i="15"/>
  <c r="G237" i="15"/>
  <c r="F237" i="15"/>
  <c r="I237" i="15"/>
  <c r="D236" i="15"/>
  <c r="G236" i="15"/>
  <c r="F236" i="15"/>
  <c r="D235" i="15"/>
  <c r="D234" i="15"/>
  <c r="I234" i="15"/>
  <c r="F234" i="15"/>
  <c r="H234" i="15"/>
  <c r="D233" i="15"/>
  <c r="I233" i="15"/>
  <c r="G233" i="15"/>
  <c r="F233" i="15"/>
  <c r="H233" i="15"/>
  <c r="D232" i="15"/>
  <c r="G232" i="15"/>
  <c r="F232" i="15"/>
  <c r="D231" i="15"/>
  <c r="D230" i="15"/>
  <c r="I230" i="15"/>
  <c r="F230" i="15"/>
  <c r="H230" i="15"/>
  <c r="D229" i="15"/>
  <c r="I229" i="15"/>
  <c r="G229" i="15"/>
  <c r="F229" i="15"/>
  <c r="H229" i="15"/>
  <c r="D228" i="15"/>
  <c r="G228" i="15"/>
  <c r="F228" i="15"/>
  <c r="D227" i="15"/>
  <c r="D226" i="15"/>
  <c r="I226" i="15"/>
  <c r="F226" i="15"/>
  <c r="H226" i="15"/>
  <c r="D225" i="15"/>
  <c r="I225" i="15"/>
  <c r="G225" i="15"/>
  <c r="F225" i="15"/>
  <c r="H225" i="15"/>
  <c r="D224" i="15"/>
  <c r="G224" i="15"/>
  <c r="F224" i="15"/>
  <c r="D223" i="15"/>
  <c r="D222" i="15"/>
  <c r="I222" i="15"/>
  <c r="F222" i="15"/>
  <c r="H222" i="15"/>
  <c r="D221" i="15"/>
  <c r="I221" i="15"/>
  <c r="G221" i="15"/>
  <c r="F221" i="15"/>
  <c r="H221" i="15"/>
  <c r="D220" i="15"/>
  <c r="G220" i="15"/>
  <c r="F220" i="15"/>
  <c r="D219" i="15"/>
  <c r="D218" i="15"/>
  <c r="I218" i="15"/>
  <c r="F218" i="15"/>
  <c r="H218" i="15"/>
  <c r="D217" i="15"/>
  <c r="I217" i="15"/>
  <c r="G217" i="15"/>
  <c r="F217" i="15"/>
  <c r="H217" i="15"/>
  <c r="D216" i="15"/>
  <c r="G216" i="15"/>
  <c r="F216" i="15"/>
  <c r="D215" i="15"/>
  <c r="D214" i="15"/>
  <c r="I214" i="15"/>
  <c r="F214" i="15"/>
  <c r="H214" i="15"/>
  <c r="D213" i="15"/>
  <c r="I213" i="15"/>
  <c r="G213" i="15"/>
  <c r="F213" i="15"/>
  <c r="H213" i="15"/>
  <c r="D212" i="15"/>
  <c r="G212" i="15"/>
  <c r="F212" i="15"/>
  <c r="D211" i="15"/>
  <c r="D210" i="15"/>
  <c r="I210" i="15"/>
  <c r="F210" i="15"/>
  <c r="H210" i="15"/>
  <c r="D209" i="15"/>
  <c r="I209" i="15"/>
  <c r="G209" i="15"/>
  <c r="F209" i="15"/>
  <c r="H209" i="15"/>
  <c r="D208" i="15"/>
  <c r="D207" i="15"/>
  <c r="D206" i="15"/>
  <c r="I206" i="15"/>
  <c r="F206" i="15"/>
  <c r="H206" i="15"/>
  <c r="D205" i="15"/>
  <c r="I205" i="15"/>
  <c r="G205" i="15"/>
  <c r="F205" i="15"/>
  <c r="H205" i="15"/>
  <c r="D204" i="15"/>
  <c r="D203" i="15"/>
  <c r="H203" i="15"/>
  <c r="I203" i="15"/>
  <c r="D202" i="15"/>
  <c r="I202" i="15"/>
  <c r="F202" i="15"/>
  <c r="D201" i="15"/>
  <c r="I201" i="15"/>
  <c r="G201" i="15"/>
  <c r="F201" i="15"/>
  <c r="H201" i="15"/>
  <c r="D200" i="15"/>
  <c r="D199" i="15"/>
  <c r="H199" i="15"/>
  <c r="F199" i="15"/>
  <c r="D198" i="15"/>
  <c r="H198" i="15"/>
  <c r="G198" i="15"/>
  <c r="D197" i="15"/>
  <c r="I197" i="15"/>
  <c r="G197" i="15"/>
  <c r="F197" i="15"/>
  <c r="H197" i="15"/>
  <c r="D196" i="15"/>
  <c r="G196" i="15"/>
  <c r="H196" i="15"/>
  <c r="D195" i="15"/>
  <c r="H195" i="15"/>
  <c r="G195" i="15"/>
  <c r="F195" i="15"/>
  <c r="D194" i="15"/>
  <c r="H194" i="15"/>
  <c r="F194" i="15"/>
  <c r="G194" i="15"/>
  <c r="D193" i="15"/>
  <c r="G193" i="15"/>
  <c r="F193" i="15"/>
  <c r="H193" i="15"/>
  <c r="D192" i="15"/>
  <c r="F192" i="15"/>
  <c r="I192" i="15"/>
  <c r="D191" i="15"/>
  <c r="I191" i="15"/>
  <c r="G191" i="15"/>
  <c r="F191" i="15"/>
  <c r="D190" i="15"/>
  <c r="D189" i="15"/>
  <c r="I189" i="15"/>
  <c r="G189" i="15"/>
  <c r="F189" i="15"/>
  <c r="H189" i="15"/>
  <c r="D188" i="15"/>
  <c r="F188" i="15"/>
  <c r="I188" i="15"/>
  <c r="D187" i="15"/>
  <c r="I187" i="15"/>
  <c r="G187" i="15"/>
  <c r="F187" i="15"/>
  <c r="D186" i="15"/>
  <c r="H186" i="15"/>
  <c r="D185" i="15"/>
  <c r="I185" i="15"/>
  <c r="G185" i="15"/>
  <c r="F185" i="15"/>
  <c r="H185" i="15"/>
  <c r="D184" i="15"/>
  <c r="F184" i="15"/>
  <c r="I184" i="15"/>
  <c r="D183" i="15"/>
  <c r="I183" i="15"/>
  <c r="G183" i="15"/>
  <c r="F183" i="15"/>
  <c r="D182" i="15"/>
  <c r="D181" i="15"/>
  <c r="I181" i="15"/>
  <c r="G181" i="15"/>
  <c r="F181" i="15"/>
  <c r="H181" i="15"/>
  <c r="D180" i="15"/>
  <c r="F180" i="15"/>
  <c r="I180" i="15"/>
  <c r="D179" i="15"/>
  <c r="I179" i="15"/>
  <c r="G179" i="15"/>
  <c r="F179" i="15"/>
  <c r="D178" i="15"/>
  <c r="H178" i="15"/>
  <c r="D177" i="15"/>
  <c r="I177" i="15"/>
  <c r="G177" i="15"/>
  <c r="F177" i="15"/>
  <c r="H177" i="15"/>
  <c r="D176" i="15"/>
  <c r="F176" i="15"/>
  <c r="I176" i="15"/>
  <c r="D175" i="15"/>
  <c r="I175" i="15"/>
  <c r="G175" i="15"/>
  <c r="F175" i="15"/>
  <c r="D174" i="15"/>
  <c r="D173" i="15"/>
  <c r="I173" i="15"/>
  <c r="G173" i="15"/>
  <c r="F173" i="15"/>
  <c r="H173" i="15"/>
  <c r="D172" i="15"/>
  <c r="F172" i="15"/>
  <c r="I172" i="15"/>
  <c r="D171" i="15"/>
  <c r="I171" i="15"/>
  <c r="G171" i="15"/>
  <c r="F171" i="15"/>
  <c r="D170" i="15"/>
  <c r="H170" i="15"/>
  <c r="D169" i="15"/>
  <c r="I169" i="15"/>
  <c r="G169" i="15"/>
  <c r="F169" i="15"/>
  <c r="H169" i="15"/>
  <c r="D168" i="15"/>
  <c r="F168" i="15"/>
  <c r="I168" i="15"/>
  <c r="D167" i="15"/>
  <c r="I167" i="15"/>
  <c r="G167" i="15"/>
  <c r="F167" i="15"/>
  <c r="D166" i="15"/>
  <c r="D165" i="15"/>
  <c r="I165" i="15"/>
  <c r="G165" i="15"/>
  <c r="F165" i="15"/>
  <c r="H165" i="15"/>
  <c r="D164" i="15"/>
  <c r="F164" i="15"/>
  <c r="I164" i="15"/>
  <c r="D163" i="15"/>
  <c r="I163" i="15"/>
  <c r="G163" i="15"/>
  <c r="F163" i="15"/>
  <c r="D162" i="15"/>
  <c r="H162" i="15"/>
  <c r="D161" i="15"/>
  <c r="I161" i="15"/>
  <c r="G161" i="15"/>
  <c r="F161" i="15"/>
  <c r="H161" i="15"/>
  <c r="D160" i="15"/>
  <c r="F160" i="15"/>
  <c r="I160" i="15"/>
  <c r="D159" i="15"/>
  <c r="I159" i="15"/>
  <c r="G159" i="15"/>
  <c r="F159" i="15"/>
  <c r="D158" i="15"/>
  <c r="D157" i="15"/>
  <c r="I157" i="15"/>
  <c r="G157" i="15"/>
  <c r="F157" i="15"/>
  <c r="H157" i="15"/>
  <c r="D156" i="15"/>
  <c r="F156" i="15"/>
  <c r="I156" i="15"/>
  <c r="D155" i="15"/>
  <c r="I155" i="15"/>
  <c r="G155" i="15"/>
  <c r="F155" i="15"/>
  <c r="D154" i="15"/>
  <c r="H154" i="15"/>
  <c r="D153" i="15"/>
  <c r="I153" i="15"/>
  <c r="G153" i="15"/>
  <c r="F153" i="15"/>
  <c r="H153" i="15"/>
  <c r="D152" i="15"/>
  <c r="F152" i="15"/>
  <c r="I152" i="15"/>
  <c r="D151" i="15"/>
  <c r="I151" i="15"/>
  <c r="G151" i="15"/>
  <c r="F151" i="15"/>
  <c r="D150" i="15"/>
  <c r="H150" i="15"/>
  <c r="F150" i="15"/>
  <c r="D149" i="15"/>
  <c r="I149" i="15"/>
  <c r="G149" i="15"/>
  <c r="F149" i="15"/>
  <c r="D148" i="15"/>
  <c r="H148" i="15"/>
  <c r="F148" i="15"/>
  <c r="D147" i="15"/>
  <c r="I147" i="15"/>
  <c r="G147" i="15"/>
  <c r="F147" i="15"/>
  <c r="H147" i="15"/>
  <c r="D146" i="15"/>
  <c r="H146" i="15"/>
  <c r="D145" i="15"/>
  <c r="I145" i="15"/>
  <c r="G145" i="15"/>
  <c r="F145" i="15"/>
  <c r="D144" i="15"/>
  <c r="H144" i="15"/>
  <c r="D143" i="15"/>
  <c r="I143" i="15"/>
  <c r="G143" i="15"/>
  <c r="F143" i="15"/>
  <c r="H143" i="15"/>
  <c r="D142" i="15"/>
  <c r="D141" i="15"/>
  <c r="I141" i="15"/>
  <c r="G141" i="15"/>
  <c r="F141" i="15"/>
  <c r="D140" i="15"/>
  <c r="D139" i="15"/>
  <c r="I139" i="15"/>
  <c r="G139" i="15"/>
  <c r="F139" i="15"/>
  <c r="H139" i="15"/>
  <c r="D138" i="15"/>
  <c r="F138" i="15"/>
  <c r="D137" i="15"/>
  <c r="I137" i="15"/>
  <c r="G137" i="15"/>
  <c r="F137" i="15"/>
  <c r="D136" i="15"/>
  <c r="F136" i="15"/>
  <c r="D135" i="15"/>
  <c r="I135" i="15"/>
  <c r="G135" i="15"/>
  <c r="F135" i="15"/>
  <c r="H135" i="15"/>
  <c r="D134" i="15"/>
  <c r="H134" i="15"/>
  <c r="F134" i="15"/>
  <c r="D133" i="15"/>
  <c r="I133" i="15"/>
  <c r="G133" i="15"/>
  <c r="F133" i="15"/>
  <c r="D132" i="15"/>
  <c r="H132" i="15"/>
  <c r="F132" i="15"/>
  <c r="D131" i="15"/>
  <c r="I131" i="15"/>
  <c r="G131" i="15"/>
  <c r="F131" i="15"/>
  <c r="H131" i="15"/>
  <c r="D130" i="15"/>
  <c r="H130" i="15"/>
  <c r="D129" i="15"/>
  <c r="I129" i="15"/>
  <c r="G129" i="15"/>
  <c r="F129" i="15"/>
  <c r="D128" i="15"/>
  <c r="H128" i="15"/>
  <c r="D127" i="15"/>
  <c r="I127" i="15"/>
  <c r="G127" i="15"/>
  <c r="F127" i="15"/>
  <c r="H127" i="15"/>
  <c r="D126" i="15"/>
  <c r="D125" i="15"/>
  <c r="I125" i="15"/>
  <c r="G125" i="15"/>
  <c r="F125" i="15"/>
  <c r="D124" i="15"/>
  <c r="D123" i="15"/>
  <c r="I123" i="15"/>
  <c r="G123" i="15"/>
  <c r="F123" i="15"/>
  <c r="H123" i="15"/>
  <c r="D122" i="15"/>
  <c r="F122" i="15"/>
  <c r="D121" i="15"/>
  <c r="I121" i="15"/>
  <c r="G121" i="15"/>
  <c r="F121" i="15"/>
  <c r="D120" i="15"/>
  <c r="F120" i="15"/>
  <c r="D119" i="15"/>
  <c r="I119" i="15"/>
  <c r="G119" i="15"/>
  <c r="F119" i="15"/>
  <c r="H119" i="15"/>
  <c r="D118" i="15"/>
  <c r="H118" i="15"/>
  <c r="F118" i="15"/>
  <c r="D117" i="15"/>
  <c r="I117" i="15"/>
  <c r="G117" i="15"/>
  <c r="F117" i="15"/>
  <c r="D116" i="15"/>
  <c r="H116" i="15"/>
  <c r="F116" i="15"/>
  <c r="D115" i="15"/>
  <c r="I115" i="15"/>
  <c r="G115" i="15"/>
  <c r="F115" i="15"/>
  <c r="H115" i="15"/>
  <c r="D114" i="15"/>
  <c r="H114" i="15"/>
  <c r="D113" i="15"/>
  <c r="I113" i="15"/>
  <c r="G113" i="15"/>
  <c r="F113" i="15"/>
  <c r="D112" i="15"/>
  <c r="H112" i="15"/>
  <c r="D111" i="15"/>
  <c r="I111" i="15"/>
  <c r="G111" i="15"/>
  <c r="F111" i="15"/>
  <c r="H111" i="15"/>
  <c r="D110" i="15"/>
  <c r="D109" i="15"/>
  <c r="I109" i="15"/>
  <c r="G109" i="15"/>
  <c r="F109" i="15"/>
  <c r="D108" i="15"/>
  <c r="D107" i="15"/>
  <c r="I107" i="15"/>
  <c r="G107" i="15"/>
  <c r="F107" i="15"/>
  <c r="H107" i="15"/>
  <c r="D106" i="15"/>
  <c r="H106" i="15"/>
  <c r="F106" i="15"/>
  <c r="G106" i="15"/>
  <c r="D105" i="15"/>
  <c r="F105" i="15"/>
  <c r="D104" i="15"/>
  <c r="F104" i="15"/>
  <c r="D103" i="15"/>
  <c r="I103" i="15"/>
  <c r="G103" i="15"/>
  <c r="F103" i="15"/>
  <c r="H103" i="15"/>
  <c r="D102" i="15"/>
  <c r="G102" i="15"/>
  <c r="D101" i="15"/>
  <c r="H101" i="15"/>
  <c r="G101" i="15"/>
  <c r="F101" i="15"/>
  <c r="D100" i="15"/>
  <c r="H100" i="15"/>
  <c r="G100" i="15"/>
  <c r="D99" i="15"/>
  <c r="I99" i="15"/>
  <c r="G99" i="15"/>
  <c r="F99" i="15"/>
  <c r="H99" i="15"/>
  <c r="D98" i="15"/>
  <c r="H98" i="15"/>
  <c r="F98" i="15"/>
  <c r="G98" i="15"/>
  <c r="D97" i="15"/>
  <c r="F97" i="15"/>
  <c r="D96" i="15"/>
  <c r="G96" i="15"/>
  <c r="F96" i="15"/>
  <c r="I96" i="15"/>
  <c r="D95" i="15"/>
  <c r="I95" i="15"/>
  <c r="G95" i="15"/>
  <c r="D94" i="15"/>
  <c r="F94" i="15"/>
  <c r="D93" i="15"/>
  <c r="G93" i="15"/>
  <c r="F93" i="15"/>
  <c r="I93" i="15"/>
  <c r="D92" i="15"/>
  <c r="I92" i="15"/>
  <c r="G92" i="15"/>
  <c r="F92" i="15"/>
  <c r="H92" i="15"/>
  <c r="D91" i="15"/>
  <c r="I91" i="15"/>
  <c r="G91" i="15"/>
  <c r="D90" i="15"/>
  <c r="F90" i="15"/>
  <c r="D89" i="15"/>
  <c r="G89" i="15"/>
  <c r="F89" i="15"/>
  <c r="I89" i="15"/>
  <c r="D88" i="15"/>
  <c r="I88" i="15"/>
  <c r="G88" i="15"/>
  <c r="F88" i="15"/>
  <c r="H88" i="15"/>
  <c r="D87" i="15"/>
  <c r="I87" i="15"/>
  <c r="G87" i="15"/>
  <c r="D86" i="15"/>
  <c r="F86" i="15"/>
  <c r="D85" i="15"/>
  <c r="G85" i="15"/>
  <c r="F85" i="15"/>
  <c r="I85" i="15"/>
  <c r="D84" i="15"/>
  <c r="I84" i="15"/>
  <c r="G84" i="15"/>
  <c r="F84" i="15"/>
  <c r="H84" i="15"/>
  <c r="D83" i="15"/>
  <c r="I83" i="15"/>
  <c r="G83" i="15"/>
  <c r="D82" i="15"/>
  <c r="F82" i="15"/>
  <c r="D81" i="15"/>
  <c r="G81" i="15"/>
  <c r="F81" i="15"/>
  <c r="I81" i="15"/>
  <c r="D80" i="15"/>
  <c r="I80" i="15"/>
  <c r="G80" i="15"/>
  <c r="F80" i="15"/>
  <c r="H80" i="15"/>
  <c r="D79" i="15"/>
  <c r="I79" i="15"/>
  <c r="G79" i="15"/>
  <c r="D78" i="15"/>
  <c r="F78" i="15"/>
  <c r="D77" i="15"/>
  <c r="G77" i="15"/>
  <c r="F77" i="15"/>
  <c r="I77" i="15"/>
  <c r="D76" i="15"/>
  <c r="I76" i="15"/>
  <c r="G76" i="15"/>
  <c r="F76" i="15"/>
  <c r="H76" i="15"/>
  <c r="D75" i="15"/>
  <c r="I75" i="15"/>
  <c r="G75" i="15"/>
  <c r="D74" i="15"/>
  <c r="F74" i="15"/>
  <c r="D73" i="15"/>
  <c r="G73" i="15"/>
  <c r="F73" i="15"/>
  <c r="I73" i="15"/>
  <c r="D72" i="15"/>
  <c r="I72" i="15"/>
  <c r="G72" i="15"/>
  <c r="F72" i="15"/>
  <c r="H72" i="15"/>
  <c r="D71" i="15"/>
  <c r="I71" i="15"/>
  <c r="G71" i="15"/>
  <c r="D70" i="15"/>
  <c r="F70" i="15"/>
  <c r="D69" i="15"/>
  <c r="G69" i="15"/>
  <c r="F69" i="15"/>
  <c r="I69" i="15"/>
  <c r="D68" i="15"/>
  <c r="I68" i="15"/>
  <c r="G68" i="15"/>
  <c r="F68" i="15"/>
  <c r="H68" i="15"/>
  <c r="D67" i="15"/>
  <c r="I67" i="15"/>
  <c r="G67" i="15"/>
  <c r="D66" i="15"/>
  <c r="F66" i="15"/>
  <c r="D65" i="15"/>
  <c r="G65" i="15"/>
  <c r="F65" i="15"/>
  <c r="I65" i="15"/>
  <c r="D64" i="15"/>
  <c r="I64" i="15"/>
  <c r="G64" i="15"/>
  <c r="F64" i="15"/>
  <c r="H64" i="15"/>
  <c r="D63" i="15"/>
  <c r="I63" i="15"/>
  <c r="G63" i="15"/>
  <c r="D62" i="15"/>
  <c r="F62" i="15"/>
  <c r="D61" i="15"/>
  <c r="G61" i="15"/>
  <c r="F61" i="15"/>
  <c r="I61" i="15"/>
  <c r="D60" i="15"/>
  <c r="I60" i="15"/>
  <c r="G60" i="15"/>
  <c r="F60" i="15"/>
  <c r="H60" i="15"/>
  <c r="D59" i="15"/>
  <c r="I59" i="15"/>
  <c r="G59" i="15"/>
  <c r="D58" i="15"/>
  <c r="F58" i="15"/>
  <c r="D57" i="15"/>
  <c r="G57" i="15"/>
  <c r="F57" i="15"/>
  <c r="I57" i="15"/>
  <c r="D56" i="15"/>
  <c r="I56" i="15"/>
  <c r="G56" i="15"/>
  <c r="F56" i="15"/>
  <c r="H56" i="15"/>
  <c r="D55" i="15"/>
  <c r="I55" i="15"/>
  <c r="G55" i="15"/>
  <c r="D54" i="15"/>
  <c r="F54" i="15"/>
  <c r="D53" i="15"/>
  <c r="G53" i="15"/>
  <c r="F53" i="15"/>
  <c r="I53" i="15"/>
  <c r="D52" i="15"/>
  <c r="I52" i="15"/>
  <c r="G52" i="15"/>
  <c r="F52" i="15"/>
  <c r="H52" i="15"/>
  <c r="D51" i="15"/>
  <c r="I51" i="15"/>
  <c r="G51" i="15"/>
  <c r="D50" i="15"/>
  <c r="F50" i="15"/>
  <c r="D49" i="15"/>
  <c r="G49" i="15"/>
  <c r="F49" i="15"/>
  <c r="I49" i="15"/>
  <c r="D48" i="15"/>
  <c r="I48" i="15"/>
  <c r="G48" i="15"/>
  <c r="F48" i="15"/>
  <c r="H48" i="15"/>
  <c r="D47" i="15"/>
  <c r="I47" i="15"/>
  <c r="G47" i="15"/>
  <c r="D46" i="15"/>
  <c r="F46" i="15"/>
  <c r="D45" i="15"/>
  <c r="G45" i="15"/>
  <c r="F45" i="15"/>
  <c r="I45" i="15"/>
  <c r="D44" i="15"/>
  <c r="I44" i="15"/>
  <c r="G44" i="15"/>
  <c r="F44" i="15"/>
  <c r="H44" i="15"/>
  <c r="D43" i="15"/>
  <c r="I43" i="15"/>
  <c r="G43" i="15"/>
  <c r="D42" i="15"/>
  <c r="F42" i="15"/>
  <c r="D41" i="15"/>
  <c r="G41" i="15"/>
  <c r="F41" i="15"/>
  <c r="I41" i="15"/>
  <c r="D40" i="15"/>
  <c r="I40" i="15"/>
  <c r="G40" i="15"/>
  <c r="F40" i="15"/>
  <c r="H40" i="15"/>
  <c r="D39" i="15"/>
  <c r="I39" i="15"/>
  <c r="G39" i="15"/>
  <c r="D38" i="15"/>
  <c r="F38" i="15"/>
  <c r="D37" i="15"/>
  <c r="G37" i="15"/>
  <c r="F37" i="15"/>
  <c r="I37" i="15"/>
  <c r="D36" i="15"/>
  <c r="I36" i="15"/>
  <c r="G36" i="15"/>
  <c r="F36" i="15"/>
  <c r="H36" i="15"/>
  <c r="D35" i="15"/>
  <c r="I35" i="15"/>
  <c r="G35" i="15"/>
  <c r="D34" i="15"/>
  <c r="F34" i="15"/>
  <c r="D33" i="15"/>
  <c r="G33" i="15"/>
  <c r="F33" i="15"/>
  <c r="I33" i="15"/>
  <c r="D32" i="15"/>
  <c r="I32" i="15"/>
  <c r="G32" i="15"/>
  <c r="F32" i="15"/>
  <c r="H32" i="15"/>
  <c r="D31" i="15"/>
  <c r="I31" i="15"/>
  <c r="G31" i="15"/>
  <c r="D30" i="15"/>
  <c r="F30" i="15"/>
  <c r="D29" i="15"/>
  <c r="G29" i="15"/>
  <c r="F29" i="15"/>
  <c r="I29" i="15"/>
  <c r="D28" i="15"/>
  <c r="I28" i="15"/>
  <c r="G28" i="15"/>
  <c r="F28" i="15"/>
  <c r="H28" i="15"/>
  <c r="D27" i="15"/>
  <c r="I27" i="15"/>
  <c r="G27" i="15"/>
  <c r="D26" i="15"/>
  <c r="F26" i="15"/>
  <c r="D25" i="15"/>
  <c r="G25" i="15"/>
  <c r="F25" i="15"/>
  <c r="I25" i="15"/>
  <c r="D24" i="15"/>
  <c r="I24" i="15"/>
  <c r="G24" i="15"/>
  <c r="F24" i="15"/>
  <c r="H24" i="15"/>
  <c r="D23" i="15"/>
  <c r="I23" i="15"/>
  <c r="G23" i="15"/>
  <c r="D22" i="15"/>
  <c r="F22" i="15"/>
  <c r="D21" i="15"/>
  <c r="G21" i="15"/>
  <c r="F21" i="15"/>
  <c r="I21" i="15"/>
  <c r="D20" i="15"/>
  <c r="I20" i="15"/>
  <c r="G20" i="15"/>
  <c r="F20" i="15"/>
  <c r="H20" i="15"/>
  <c r="D19" i="15"/>
  <c r="I19" i="15"/>
  <c r="G19" i="15"/>
  <c r="D18" i="15"/>
  <c r="H18" i="15"/>
  <c r="I18" i="15"/>
  <c r="D366" i="14"/>
  <c r="D365" i="14"/>
  <c r="D364" i="14"/>
  <c r="D363" i="14"/>
  <c r="D362" i="14"/>
  <c r="D361" i="14"/>
  <c r="D360" i="14"/>
  <c r="D359" i="14"/>
  <c r="D358" i="14"/>
  <c r="A358" i="14"/>
  <c r="A359" i="14"/>
  <c r="A360" i="14"/>
  <c r="A361" i="14"/>
  <c r="A362" i="14"/>
  <c r="A363" i="14"/>
  <c r="A364" i="14"/>
  <c r="A365" i="14"/>
  <c r="D357" i="14"/>
  <c r="D356" i="14"/>
  <c r="D355" i="14"/>
  <c r="D354" i="14"/>
  <c r="D353" i="14"/>
  <c r="D352" i="14"/>
  <c r="D351" i="14"/>
  <c r="D350" i="14"/>
  <c r="D349" i="14"/>
  <c r="D348" i="14"/>
  <c r="D347" i="14"/>
  <c r="D346" i="14"/>
  <c r="D345" i="14"/>
  <c r="D344" i="14"/>
  <c r="D343" i="14"/>
  <c r="D342" i="14"/>
  <c r="D341" i="14"/>
  <c r="D340" i="14"/>
  <c r="D339" i="14"/>
  <c r="D338" i="14"/>
  <c r="D337" i="14"/>
  <c r="D336" i="14"/>
  <c r="D335" i="14"/>
  <c r="D334" i="14"/>
  <c r="D333" i="14"/>
  <c r="D332" i="14"/>
  <c r="D331" i="14"/>
  <c r="D330" i="14"/>
  <c r="D329" i="14"/>
  <c r="D328" i="14"/>
  <c r="D327" i="14"/>
  <c r="D326" i="14"/>
  <c r="D325" i="14"/>
  <c r="D324" i="14"/>
  <c r="D323" i="14"/>
  <c r="D322" i="14"/>
  <c r="D321" i="14"/>
  <c r="D320" i="14"/>
  <c r="D319" i="14"/>
  <c r="D318" i="14"/>
  <c r="D317" i="14"/>
  <c r="D316" i="14"/>
  <c r="D315" i="14"/>
  <c r="D314" i="14"/>
  <c r="D313" i="14"/>
  <c r="D312" i="14"/>
  <c r="D311" i="14"/>
  <c r="D310" i="14"/>
  <c r="D309" i="14"/>
  <c r="D308" i="14"/>
  <c r="D307" i="14"/>
  <c r="D306" i="14"/>
  <c r="D305" i="14"/>
  <c r="D304" i="14"/>
  <c r="D303" i="14"/>
  <c r="D302" i="14"/>
  <c r="D301" i="14"/>
  <c r="D300" i="14"/>
  <c r="D299" i="14"/>
  <c r="D298" i="14"/>
  <c r="D297" i="14"/>
  <c r="D296" i="14"/>
  <c r="D295" i="14"/>
  <c r="D294" i="14"/>
  <c r="D293" i="14"/>
  <c r="D292" i="14"/>
  <c r="D291" i="14"/>
  <c r="D290" i="14"/>
  <c r="D289" i="14"/>
  <c r="D288" i="14"/>
  <c r="D287" i="14"/>
  <c r="D286" i="14"/>
  <c r="D285" i="14"/>
  <c r="D284" i="14"/>
  <c r="D283" i="14"/>
  <c r="D282" i="14"/>
  <c r="D281" i="14"/>
  <c r="D280" i="14"/>
  <c r="D279" i="14"/>
  <c r="D278" i="14"/>
  <c r="D277" i="14"/>
  <c r="D276" i="14"/>
  <c r="D275" i="14"/>
  <c r="D274" i="14"/>
  <c r="D273" i="14"/>
  <c r="D272" i="14"/>
  <c r="D271" i="14"/>
  <c r="D270" i="14"/>
  <c r="D269" i="14"/>
  <c r="D268" i="14"/>
  <c r="D267" i="14"/>
  <c r="D266" i="14"/>
  <c r="D265" i="14"/>
  <c r="D264" i="14"/>
  <c r="D263" i="14"/>
  <c r="D262" i="14"/>
  <c r="D261" i="14"/>
  <c r="D260" i="14"/>
  <c r="D259" i="14"/>
  <c r="D258" i="14"/>
  <c r="D257" i="14"/>
  <c r="D256" i="14"/>
  <c r="D255" i="14"/>
  <c r="D254" i="14"/>
  <c r="D253" i="14"/>
  <c r="D252" i="14"/>
  <c r="D251" i="14"/>
  <c r="D250" i="14"/>
  <c r="D249" i="14"/>
  <c r="D248" i="14"/>
  <c r="D247" i="14"/>
  <c r="D246" i="14"/>
  <c r="D245" i="14"/>
  <c r="D244" i="14"/>
  <c r="D243" i="14"/>
  <c r="D242" i="14"/>
  <c r="D241" i="14"/>
  <c r="D240" i="14"/>
  <c r="D239" i="14"/>
  <c r="D238" i="14"/>
  <c r="D237" i="14"/>
  <c r="D236" i="14"/>
  <c r="D235" i="14"/>
  <c r="D234" i="14"/>
  <c r="D233" i="14"/>
  <c r="D232" i="14"/>
  <c r="D231" i="14"/>
  <c r="D230" i="14"/>
  <c r="D229" i="14"/>
  <c r="D228" i="14"/>
  <c r="D227" i="14"/>
  <c r="D226" i="14"/>
  <c r="D225" i="14"/>
  <c r="D224" i="14"/>
  <c r="D223" i="14"/>
  <c r="D222" i="14"/>
  <c r="D221" i="14"/>
  <c r="D220" i="14"/>
  <c r="D219" i="14"/>
  <c r="D218" i="14"/>
  <c r="D217" i="14"/>
  <c r="D216" i="14"/>
  <c r="D215" i="14"/>
  <c r="D214" i="14"/>
  <c r="D213" i="14"/>
  <c r="D212" i="14"/>
  <c r="D211" i="14"/>
  <c r="D210" i="14"/>
  <c r="D209" i="14"/>
  <c r="D208" i="14"/>
  <c r="D207" i="14"/>
  <c r="D206" i="14"/>
  <c r="D205" i="14"/>
  <c r="D204" i="14"/>
  <c r="D203" i="14"/>
  <c r="D202" i="14"/>
  <c r="D201" i="14"/>
  <c r="D200" i="14"/>
  <c r="D199" i="14"/>
  <c r="D198" i="14"/>
  <c r="D197" i="14"/>
  <c r="D196" i="14"/>
  <c r="D195" i="14"/>
  <c r="D194" i="14"/>
  <c r="D193" i="14"/>
  <c r="D192" i="14"/>
  <c r="D191" i="14"/>
  <c r="D190" i="14"/>
  <c r="D189" i="14"/>
  <c r="D188" i="14"/>
  <c r="D187" i="14"/>
  <c r="D186" i="14"/>
  <c r="D185" i="14"/>
  <c r="D184" i="14"/>
  <c r="D183" i="14"/>
  <c r="D182" i="14"/>
  <c r="D181" i="14"/>
  <c r="D180" i="14"/>
  <c r="D179" i="14"/>
  <c r="D178" i="14"/>
  <c r="D177" i="14"/>
  <c r="D176" i="14"/>
  <c r="D175" i="14"/>
  <c r="D174" i="14"/>
  <c r="D173" i="14"/>
  <c r="D172" i="14"/>
  <c r="D171" i="14"/>
  <c r="D170" i="14"/>
  <c r="D169" i="14"/>
  <c r="D168" i="14"/>
  <c r="D167" i="14"/>
  <c r="D166" i="14"/>
  <c r="D165" i="14"/>
  <c r="D164" i="14"/>
  <c r="D163" i="14"/>
  <c r="D162" i="14"/>
  <c r="D161" i="14"/>
  <c r="D160" i="14"/>
  <c r="D159" i="14"/>
  <c r="D158" i="14"/>
  <c r="D157" i="14"/>
  <c r="D156" i="14"/>
  <c r="D155" i="14"/>
  <c r="D154" i="14"/>
  <c r="D153" i="14"/>
  <c r="D152" i="14"/>
  <c r="D151" i="14"/>
  <c r="D150" i="14"/>
  <c r="D149" i="14"/>
  <c r="D148" i="14"/>
  <c r="D147" i="14"/>
  <c r="D146" i="14"/>
  <c r="D145" i="14"/>
  <c r="D144" i="14"/>
  <c r="D143" i="14"/>
  <c r="D142" i="14"/>
  <c r="D141" i="14"/>
  <c r="D140" i="14"/>
  <c r="D139" i="14"/>
  <c r="D138" i="14"/>
  <c r="D137" i="14"/>
  <c r="D136" i="14"/>
  <c r="D135" i="14"/>
  <c r="D134" i="14"/>
  <c r="D133" i="14"/>
  <c r="D132" i="14"/>
  <c r="D131" i="14"/>
  <c r="D130" i="14"/>
  <c r="D129" i="14"/>
  <c r="D128" i="14"/>
  <c r="D127" i="14"/>
  <c r="D126" i="14"/>
  <c r="D125" i="14"/>
  <c r="D124" i="14"/>
  <c r="D123" i="14"/>
  <c r="D122" i="14"/>
  <c r="D121" i="14"/>
  <c r="D120" i="14"/>
  <c r="D119" i="14"/>
  <c r="D118" i="14"/>
  <c r="D117" i="14"/>
  <c r="D116" i="14"/>
  <c r="D115" i="14"/>
  <c r="D114" i="14"/>
  <c r="D113" i="14"/>
  <c r="D112" i="14"/>
  <c r="D111" i="14"/>
  <c r="D110" i="14"/>
  <c r="D109" i="14"/>
  <c r="D108" i="14"/>
  <c r="D107" i="14"/>
  <c r="D106" i="14"/>
  <c r="D105" i="14"/>
  <c r="D104" i="14"/>
  <c r="D103" i="14"/>
  <c r="D102" i="14"/>
  <c r="D101" i="14"/>
  <c r="D100" i="14"/>
  <c r="D99" i="14"/>
  <c r="D98" i="14"/>
  <c r="D97" i="14"/>
  <c r="D96" i="14"/>
  <c r="D95" i="14"/>
  <c r="D94" i="14"/>
  <c r="D93" i="14"/>
  <c r="D92" i="14"/>
  <c r="D91" i="14"/>
  <c r="D90" i="14"/>
  <c r="D89" i="14"/>
  <c r="D88" i="14"/>
  <c r="D87" i="14"/>
  <c r="D86" i="14"/>
  <c r="D85" i="14"/>
  <c r="D84" i="14"/>
  <c r="D83" i="14"/>
  <c r="D82" i="14"/>
  <c r="D81" i="14"/>
  <c r="D80" i="14"/>
  <c r="D79" i="14"/>
  <c r="D78" i="14"/>
  <c r="D77" i="14"/>
  <c r="D76" i="14"/>
  <c r="D75" i="14"/>
  <c r="D74" i="14"/>
  <c r="D73" i="14"/>
  <c r="D72" i="14"/>
  <c r="D71" i="14"/>
  <c r="D70" i="14"/>
  <c r="D69" i="14"/>
  <c r="D68" i="14"/>
  <c r="D67" i="14"/>
  <c r="D66" i="14"/>
  <c r="D65" i="14"/>
  <c r="D64" i="14"/>
  <c r="D63" i="14"/>
  <c r="D62" i="14"/>
  <c r="D61" i="14"/>
  <c r="D60" i="14"/>
  <c r="D59" i="14"/>
  <c r="D58" i="14"/>
  <c r="D57" i="14"/>
  <c r="D56" i="14"/>
  <c r="D55" i="14"/>
  <c r="D54" i="14"/>
  <c r="D53" i="14"/>
  <c r="D52" i="14"/>
  <c r="D51" i="14"/>
  <c r="D50" i="14"/>
  <c r="D49" i="14"/>
  <c r="D48" i="14"/>
  <c r="D47" i="14"/>
  <c r="D46" i="14"/>
  <c r="D45" i="14"/>
  <c r="D44" i="14"/>
  <c r="D43" i="14"/>
  <c r="D42" i="14"/>
  <c r="D41" i="14"/>
  <c r="D40" i="14"/>
  <c r="D39" i="14"/>
  <c r="D38" i="14"/>
  <c r="D37" i="14"/>
  <c r="D36" i="14"/>
  <c r="D35" i="14"/>
  <c r="D34" i="14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L10" i="15"/>
  <c r="L11" i="15"/>
  <c r="L12" i="15"/>
  <c r="F18" i="15"/>
  <c r="G18" i="15"/>
  <c r="H19" i="15"/>
  <c r="G22" i="15"/>
  <c r="H23" i="15"/>
  <c r="G26" i="15"/>
  <c r="H27" i="15"/>
  <c r="G30" i="15"/>
  <c r="H31" i="15"/>
  <c r="G34" i="15"/>
  <c r="H35" i="15"/>
  <c r="G38" i="15"/>
  <c r="H39" i="15"/>
  <c r="G42" i="15"/>
  <c r="H43" i="15"/>
  <c r="G46" i="15"/>
  <c r="H47" i="15"/>
  <c r="G50" i="15"/>
  <c r="H51" i="15"/>
  <c r="G54" i="15"/>
  <c r="H55" i="15"/>
  <c r="G58" i="15"/>
  <c r="H59" i="15"/>
  <c r="G62" i="15"/>
  <c r="H63" i="15"/>
  <c r="G66" i="15"/>
  <c r="H67" i="15"/>
  <c r="G70" i="15"/>
  <c r="H71" i="15"/>
  <c r="G74" i="15"/>
  <c r="H75" i="15"/>
  <c r="G78" i="15"/>
  <c r="H79" i="15"/>
  <c r="G82" i="15"/>
  <c r="H83" i="15"/>
  <c r="G86" i="15"/>
  <c r="H87" i="15"/>
  <c r="G90" i="15"/>
  <c r="H91" i="15"/>
  <c r="G94" i="15"/>
  <c r="H95" i="15"/>
  <c r="H97" i="15"/>
  <c r="I102" i="15"/>
  <c r="I104" i="15"/>
  <c r="H105" i="15"/>
  <c r="I120" i="15"/>
  <c r="G120" i="15"/>
  <c r="G122" i="15"/>
  <c r="I122" i="15"/>
  <c r="I136" i="15"/>
  <c r="G136" i="15"/>
  <c r="G138" i="15"/>
  <c r="I138" i="15"/>
  <c r="H42" i="15"/>
  <c r="H46" i="15"/>
  <c r="H50" i="15"/>
  <c r="H54" i="15"/>
  <c r="H58" i="15"/>
  <c r="H62" i="15"/>
  <c r="H66" i="15"/>
  <c r="H70" i="15"/>
  <c r="H74" i="15"/>
  <c r="H78" i="15"/>
  <c r="H82" i="15"/>
  <c r="H86" i="15"/>
  <c r="H90" i="15"/>
  <c r="H94" i="15"/>
  <c r="I97" i="15"/>
  <c r="I105" i="15"/>
  <c r="I108" i="15"/>
  <c r="G108" i="15"/>
  <c r="G110" i="15"/>
  <c r="I110" i="15"/>
  <c r="I124" i="15"/>
  <c r="G124" i="15"/>
  <c r="G126" i="15"/>
  <c r="I126" i="15"/>
  <c r="I140" i="15"/>
  <c r="G140" i="15"/>
  <c r="G142" i="15"/>
  <c r="I142" i="15"/>
  <c r="G158" i="15"/>
  <c r="F158" i="15"/>
  <c r="I158" i="15"/>
  <c r="G166" i="15"/>
  <c r="F166" i="15"/>
  <c r="I166" i="15"/>
  <c r="G174" i="15"/>
  <c r="F174" i="15"/>
  <c r="I174" i="15"/>
  <c r="G182" i="15"/>
  <c r="F182" i="15"/>
  <c r="I182" i="15"/>
  <c r="G190" i="15"/>
  <c r="F190" i="15"/>
  <c r="I190" i="15"/>
  <c r="I200" i="15"/>
  <c r="H200" i="15"/>
  <c r="G200" i="15"/>
  <c r="F200" i="15"/>
  <c r="H22" i="15"/>
  <c r="H26" i="15"/>
  <c r="H30" i="15"/>
  <c r="H34" i="15"/>
  <c r="H38" i="15"/>
  <c r="F19" i="15"/>
  <c r="H21" i="15"/>
  <c r="I22" i="15"/>
  <c r="F23" i="15"/>
  <c r="H25" i="15"/>
  <c r="I26" i="15"/>
  <c r="F27" i="15"/>
  <c r="H29" i="15"/>
  <c r="I30" i="15"/>
  <c r="F31" i="15"/>
  <c r="H33" i="15"/>
  <c r="I34" i="15"/>
  <c r="F35" i="15"/>
  <c r="H37" i="15"/>
  <c r="I38" i="15"/>
  <c r="F39" i="15"/>
  <c r="H41" i="15"/>
  <c r="I42" i="15"/>
  <c r="F43" i="15"/>
  <c r="H45" i="15"/>
  <c r="I46" i="15"/>
  <c r="F47" i="15"/>
  <c r="H49" i="15"/>
  <c r="I50" i="15"/>
  <c r="F51" i="15"/>
  <c r="H53" i="15"/>
  <c r="I54" i="15"/>
  <c r="F55" i="15"/>
  <c r="H57" i="15"/>
  <c r="I58" i="15"/>
  <c r="F59" i="15"/>
  <c r="H61" i="15"/>
  <c r="I62" i="15"/>
  <c r="F63" i="15"/>
  <c r="H65" i="15"/>
  <c r="I66" i="15"/>
  <c r="F67" i="15"/>
  <c r="H69" i="15"/>
  <c r="I70" i="15"/>
  <c r="F71" i="15"/>
  <c r="H73" i="15"/>
  <c r="I74" i="15"/>
  <c r="F75" i="15"/>
  <c r="H77" i="15"/>
  <c r="I78" i="15"/>
  <c r="F79" i="15"/>
  <c r="H81" i="15"/>
  <c r="I82" i="15"/>
  <c r="F83" i="15"/>
  <c r="H85" i="15"/>
  <c r="I86" i="15"/>
  <c r="F87" i="15"/>
  <c r="H89" i="15"/>
  <c r="I90" i="15"/>
  <c r="F91" i="15"/>
  <c r="H93" i="15"/>
  <c r="I94" i="15"/>
  <c r="F95" i="15"/>
  <c r="I98" i="15"/>
  <c r="I100" i="15"/>
  <c r="F102" i="15"/>
  <c r="G104" i="15"/>
  <c r="I106" i="15"/>
  <c r="F108" i="15"/>
  <c r="F110" i="15"/>
  <c r="I112" i="15"/>
  <c r="G112" i="15"/>
  <c r="G114" i="15"/>
  <c r="I114" i="15"/>
  <c r="H120" i="15"/>
  <c r="H122" i="15"/>
  <c r="F124" i="15"/>
  <c r="F126" i="15"/>
  <c r="I128" i="15"/>
  <c r="G128" i="15"/>
  <c r="G130" i="15"/>
  <c r="I130" i="15"/>
  <c r="H136" i="15"/>
  <c r="H138" i="15"/>
  <c r="F140" i="15"/>
  <c r="F142" i="15"/>
  <c r="I144" i="15"/>
  <c r="G144" i="15"/>
  <c r="G146" i="15"/>
  <c r="I146" i="15"/>
  <c r="H158" i="15"/>
  <c r="H166" i="15"/>
  <c r="H174" i="15"/>
  <c r="H182" i="15"/>
  <c r="H190" i="15"/>
  <c r="H96" i="15"/>
  <c r="G97" i="15"/>
  <c r="F100" i="15"/>
  <c r="I101" i="15"/>
  <c r="H102" i="15"/>
  <c r="H104" i="15"/>
  <c r="G105" i="15"/>
  <c r="H108" i="15"/>
  <c r="H110" i="15"/>
  <c r="F112" i="15"/>
  <c r="F114" i="15"/>
  <c r="I116" i="15"/>
  <c r="G116" i="15"/>
  <c r="G118" i="15"/>
  <c r="I118" i="15"/>
  <c r="H124" i="15"/>
  <c r="H126" i="15"/>
  <c r="F128" i="15"/>
  <c r="F130" i="15"/>
  <c r="I132" i="15"/>
  <c r="G132" i="15"/>
  <c r="G134" i="15"/>
  <c r="I134" i="15"/>
  <c r="H140" i="15"/>
  <c r="H142" i="15"/>
  <c r="F144" i="15"/>
  <c r="F146" i="15"/>
  <c r="I148" i="15"/>
  <c r="G148" i="15"/>
  <c r="G150" i="15"/>
  <c r="I150" i="15"/>
  <c r="G154" i="15"/>
  <c r="F154" i="15"/>
  <c r="I154" i="15"/>
  <c r="G162" i="15"/>
  <c r="F162" i="15"/>
  <c r="I162" i="15"/>
  <c r="G170" i="15"/>
  <c r="F170" i="15"/>
  <c r="I170" i="15"/>
  <c r="G178" i="15"/>
  <c r="F178" i="15"/>
  <c r="I178" i="15"/>
  <c r="G186" i="15"/>
  <c r="F186" i="15"/>
  <c r="I186" i="15"/>
  <c r="F204" i="15"/>
  <c r="I204" i="15"/>
  <c r="H204" i="15"/>
  <c r="G204" i="15"/>
  <c r="G207" i="15"/>
  <c r="F207" i="15"/>
  <c r="G211" i="15"/>
  <c r="F211" i="15"/>
  <c r="I211" i="15"/>
  <c r="G219" i="15"/>
  <c r="F219" i="15"/>
  <c r="I219" i="15"/>
  <c r="G227" i="15"/>
  <c r="F227" i="15"/>
  <c r="I227" i="15"/>
  <c r="G235" i="15"/>
  <c r="F235" i="15"/>
  <c r="I235" i="15"/>
  <c r="G251" i="15"/>
  <c r="F251" i="15"/>
  <c r="I251" i="15"/>
  <c r="G267" i="15"/>
  <c r="F267" i="15"/>
  <c r="I267" i="15"/>
  <c r="H109" i="15"/>
  <c r="H113" i="15"/>
  <c r="H117" i="15"/>
  <c r="H121" i="15"/>
  <c r="H125" i="15"/>
  <c r="H129" i="15"/>
  <c r="H133" i="15"/>
  <c r="H137" i="15"/>
  <c r="H141" i="15"/>
  <c r="H145" i="15"/>
  <c r="H149" i="15"/>
  <c r="H151" i="15"/>
  <c r="G152" i="15"/>
  <c r="H155" i="15"/>
  <c r="G156" i="15"/>
  <c r="H159" i="15"/>
  <c r="G160" i="15"/>
  <c r="H163" i="15"/>
  <c r="G164" i="15"/>
  <c r="H167" i="15"/>
  <c r="G168" i="15"/>
  <c r="H171" i="15"/>
  <c r="G172" i="15"/>
  <c r="H175" i="15"/>
  <c r="G176" i="15"/>
  <c r="H179" i="15"/>
  <c r="G180" i="15"/>
  <c r="H183" i="15"/>
  <c r="G184" i="15"/>
  <c r="H187" i="15"/>
  <c r="G188" i="15"/>
  <c r="H191" i="15"/>
  <c r="G192" i="15"/>
  <c r="I198" i="15"/>
  <c r="I199" i="15"/>
  <c r="H211" i="15"/>
  <c r="H219" i="15"/>
  <c r="H227" i="15"/>
  <c r="H235" i="15"/>
  <c r="G239" i="15"/>
  <c r="F239" i="15"/>
  <c r="I239" i="15"/>
  <c r="H251" i="15"/>
  <c r="G255" i="15"/>
  <c r="F255" i="15"/>
  <c r="I255" i="15"/>
  <c r="H267" i="15"/>
  <c r="G271" i="15"/>
  <c r="F271" i="15"/>
  <c r="I271" i="15"/>
  <c r="G286" i="15"/>
  <c r="H286" i="15"/>
  <c r="F286" i="15"/>
  <c r="F287" i="15"/>
  <c r="H287" i="15"/>
  <c r="G287" i="15"/>
  <c r="H152" i="15"/>
  <c r="H156" i="15"/>
  <c r="H160" i="15"/>
  <c r="H164" i="15"/>
  <c r="H168" i="15"/>
  <c r="H172" i="15"/>
  <c r="H176" i="15"/>
  <c r="H180" i="15"/>
  <c r="H184" i="15"/>
  <c r="H188" i="15"/>
  <c r="H192" i="15"/>
  <c r="I196" i="15"/>
  <c r="G203" i="15"/>
  <c r="F203" i="15"/>
  <c r="H207" i="15"/>
  <c r="F208" i="15"/>
  <c r="I208" i="15"/>
  <c r="H208" i="15"/>
  <c r="G215" i="15"/>
  <c r="F215" i="15"/>
  <c r="I215" i="15"/>
  <c r="G223" i="15"/>
  <c r="F223" i="15"/>
  <c r="I223" i="15"/>
  <c r="G231" i="15"/>
  <c r="F231" i="15"/>
  <c r="I231" i="15"/>
  <c r="G243" i="15"/>
  <c r="F243" i="15"/>
  <c r="I243" i="15"/>
  <c r="H255" i="15"/>
  <c r="G259" i="15"/>
  <c r="F259" i="15"/>
  <c r="I259" i="15"/>
  <c r="H271" i="15"/>
  <c r="I286" i="15"/>
  <c r="I287" i="15"/>
  <c r="I193" i="15"/>
  <c r="I194" i="15"/>
  <c r="I195" i="15"/>
  <c r="F196" i="15"/>
  <c r="F198" i="15"/>
  <c r="G199" i="15"/>
  <c r="H202" i="15"/>
  <c r="G202" i="15"/>
  <c r="I207" i="15"/>
  <c r="G208" i="15"/>
  <c r="H215" i="15"/>
  <c r="H223" i="15"/>
  <c r="H231" i="15"/>
  <c r="H243" i="15"/>
  <c r="G247" i="15"/>
  <c r="F247" i="15"/>
  <c r="I247" i="15"/>
  <c r="H259" i="15"/>
  <c r="G263" i="15"/>
  <c r="F263" i="15"/>
  <c r="I263" i="15"/>
  <c r="G278" i="15"/>
  <c r="H278" i="15"/>
  <c r="F278" i="15"/>
  <c r="F279" i="15"/>
  <c r="H279" i="15"/>
  <c r="G279" i="15"/>
  <c r="G303" i="15"/>
  <c r="F303" i="15"/>
  <c r="H303" i="15"/>
  <c r="F304" i="15"/>
  <c r="G304" i="15"/>
  <c r="H304" i="15"/>
  <c r="G319" i="15"/>
  <c r="F319" i="15"/>
  <c r="H319" i="15"/>
  <c r="F320" i="15"/>
  <c r="G320" i="15"/>
  <c r="H320" i="15"/>
  <c r="H212" i="15"/>
  <c r="H216" i="15"/>
  <c r="H220" i="15"/>
  <c r="H224" i="15"/>
  <c r="H228" i="15"/>
  <c r="H232" i="15"/>
  <c r="H236" i="15"/>
  <c r="H240" i="15"/>
  <c r="H244" i="15"/>
  <c r="H248" i="15"/>
  <c r="H252" i="15"/>
  <c r="H256" i="15"/>
  <c r="H260" i="15"/>
  <c r="H264" i="15"/>
  <c r="H268" i="15"/>
  <c r="H272" i="15"/>
  <c r="I276" i="15"/>
  <c r="I284" i="15"/>
  <c r="I292" i="15"/>
  <c r="G295" i="15"/>
  <c r="F295" i="15"/>
  <c r="I303" i="15"/>
  <c r="I304" i="15"/>
  <c r="I319" i="15"/>
  <c r="I320" i="15"/>
  <c r="G206" i="15"/>
  <c r="G210" i="15"/>
  <c r="I212" i="15"/>
  <c r="G214" i="15"/>
  <c r="I216" i="15"/>
  <c r="G218" i="15"/>
  <c r="I220" i="15"/>
  <c r="G222" i="15"/>
  <c r="I224" i="15"/>
  <c r="G226" i="15"/>
  <c r="I228" i="15"/>
  <c r="G230" i="15"/>
  <c r="I232" i="15"/>
  <c r="G234" i="15"/>
  <c r="I236" i="15"/>
  <c r="H237" i="15"/>
  <c r="I240" i="15"/>
  <c r="H241" i="15"/>
  <c r="I244" i="15"/>
  <c r="H245" i="15"/>
  <c r="I248" i="15"/>
  <c r="H249" i="15"/>
  <c r="I252" i="15"/>
  <c r="H253" i="15"/>
  <c r="I256" i="15"/>
  <c r="H257" i="15"/>
  <c r="I260" i="15"/>
  <c r="H261" i="15"/>
  <c r="I264" i="15"/>
  <c r="H265" i="15"/>
  <c r="I268" i="15"/>
  <c r="H269" i="15"/>
  <c r="I272" i="15"/>
  <c r="I273" i="15"/>
  <c r="I274" i="15"/>
  <c r="I275" i="15"/>
  <c r="F276" i="15"/>
  <c r="I282" i="15"/>
  <c r="I283" i="15"/>
  <c r="F284" i="15"/>
  <c r="I290" i="15"/>
  <c r="I291" i="15"/>
  <c r="F292" i="15"/>
  <c r="H295" i="15"/>
  <c r="F296" i="15"/>
  <c r="G296" i="15"/>
  <c r="G311" i="15"/>
  <c r="F311" i="15"/>
  <c r="H311" i="15"/>
  <c r="F312" i="15"/>
  <c r="G312" i="15"/>
  <c r="H312" i="15"/>
  <c r="G276" i="15"/>
  <c r="I280" i="15"/>
  <c r="G284" i="15"/>
  <c r="I288" i="15"/>
  <c r="G292" i="15"/>
  <c r="I295" i="15"/>
  <c r="H296" i="15"/>
  <c r="I297" i="15"/>
  <c r="H297" i="15"/>
  <c r="G297" i="15"/>
  <c r="I311" i="15"/>
  <c r="I312" i="15"/>
  <c r="I305" i="15"/>
  <c r="I313" i="15"/>
  <c r="I321" i="15"/>
  <c r="I293" i="15"/>
  <c r="H299" i="15"/>
  <c r="H300" i="15"/>
  <c r="I301" i="15"/>
  <c r="G305" i="15"/>
  <c r="H307" i="15"/>
  <c r="H308" i="15"/>
  <c r="I309" i="15"/>
  <c r="G313" i="15"/>
  <c r="H315" i="15"/>
  <c r="H316" i="15"/>
  <c r="I317" i="15"/>
  <c r="G321" i="15"/>
  <c r="I299" i="15"/>
  <c r="I300" i="15"/>
  <c r="H305" i="15"/>
  <c r="I307" i="15"/>
  <c r="I308" i="15"/>
  <c r="H313" i="15"/>
  <c r="I315" i="15"/>
  <c r="I316" i="15"/>
  <c r="H321" i="15"/>
  <c r="H7" i="14"/>
  <c r="H8" i="14"/>
  <c r="H9" i="14"/>
  <c r="H10" i="14"/>
  <c r="H11" i="14"/>
  <c r="S1" i="8"/>
  <c r="L28" i="8"/>
  <c r="L24" i="8"/>
  <c r="L20" i="8"/>
  <c r="L16" i="8"/>
  <c r="L12" i="8"/>
  <c r="L8" i="8"/>
  <c r="L4" i="8"/>
  <c r="L22" i="8"/>
  <c r="L10" i="8"/>
  <c r="L6" i="8"/>
  <c r="L21" i="8"/>
  <c r="L9" i="8"/>
  <c r="L27" i="8"/>
  <c r="L23" i="8"/>
  <c r="L19" i="8"/>
  <c r="L15" i="8"/>
  <c r="L11" i="8"/>
  <c r="L7" i="8"/>
  <c r="L26" i="8"/>
  <c r="L18" i="8"/>
  <c r="L14" i="8"/>
  <c r="L25" i="8"/>
  <c r="L17" i="8"/>
  <c r="L13" i="8"/>
  <c r="L5" i="8"/>
  <c r="P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4" i="8"/>
  <c r="D39" i="7"/>
  <c r="D38" i="7"/>
  <c r="D37" i="7"/>
  <c r="D36" i="7"/>
  <c r="B30" i="7"/>
  <c r="K4" i="7"/>
  <c r="D5" i="7"/>
  <c r="E5" i="7"/>
  <c r="D4" i="7"/>
  <c r="E4" i="7"/>
  <c r="D3" i="7"/>
  <c r="E3" i="7"/>
  <c r="D40" i="7"/>
  <c r="D41" i="7"/>
  <c r="D42" i="7"/>
  <c r="K5" i="7"/>
  <c r="K9" i="7"/>
  <c r="K2" i="7"/>
  <c r="K3" i="7"/>
  <c r="K7" i="7"/>
  <c r="K8" i="7"/>
  <c r="K10" i="7"/>
  <c r="K11" i="7"/>
</calcChain>
</file>

<file path=xl/sharedStrings.xml><?xml version="1.0" encoding="utf-8"?>
<sst xmlns="http://schemas.openxmlformats.org/spreadsheetml/2006/main" count="8872" uniqueCount="460">
  <si>
    <t xml:space="preserve">Delivery </t>
  </si>
  <si>
    <t>Survey</t>
  </si>
  <si>
    <t>Capacity</t>
  </si>
  <si>
    <t>DWT</t>
  </si>
  <si>
    <t>LDT</t>
  </si>
  <si>
    <t>Date</t>
  </si>
  <si>
    <t>Builder</t>
  </si>
  <si>
    <t>Class</t>
  </si>
  <si>
    <t>Flag</t>
  </si>
  <si>
    <t>TEU Nom</t>
  </si>
  <si>
    <t>TEU 14t</t>
  </si>
  <si>
    <t>MT</t>
  </si>
  <si>
    <t>Gear</t>
  </si>
  <si>
    <t>Gr'd (3)</t>
  </si>
  <si>
    <t>G'less</t>
  </si>
  <si>
    <t>Gr'd (2)</t>
  </si>
  <si>
    <t>LIB</t>
  </si>
  <si>
    <t>DNV-GL</t>
  </si>
  <si>
    <t>MI</t>
  </si>
  <si>
    <t>PAN</t>
  </si>
  <si>
    <t>NK</t>
  </si>
  <si>
    <t>GL</t>
  </si>
  <si>
    <t>Charterer</t>
  </si>
  <si>
    <t xml:space="preserve">Charter  </t>
  </si>
  <si>
    <t>Rate/Day</t>
  </si>
  <si>
    <t>Type</t>
  </si>
  <si>
    <t>Container</t>
  </si>
  <si>
    <t>NG</t>
  </si>
  <si>
    <t>CYP</t>
  </si>
  <si>
    <t>ABS</t>
  </si>
  <si>
    <t>Survey/Day</t>
  </si>
  <si>
    <t>China</t>
  </si>
  <si>
    <t>Taiwan</t>
  </si>
  <si>
    <t>Japan</t>
  </si>
  <si>
    <t>Europe</t>
  </si>
  <si>
    <t>S. Korea</t>
  </si>
  <si>
    <t>Top 5 Container Line</t>
  </si>
  <si>
    <t>Top 10 Container Line</t>
  </si>
  <si>
    <t>Regional Container Line</t>
  </si>
  <si>
    <t>Gr'd (4)</t>
  </si>
  <si>
    <t>Duration</t>
  </si>
  <si>
    <t>Top 15 Container Line</t>
  </si>
  <si>
    <t xml:space="preserve">Opex </t>
  </si>
  <si>
    <t>$/Day</t>
  </si>
  <si>
    <t>Scrap</t>
  </si>
  <si>
    <t>Mkt</t>
  </si>
  <si>
    <t>Value ($ MMs)</t>
  </si>
  <si>
    <t>Expiration</t>
  </si>
  <si>
    <t>MAL</t>
  </si>
  <si>
    <t>Sample Feeder Portfolio</t>
  </si>
  <si>
    <t xml:space="preserve">Note: list is sample portfolio of containerships and is intended for discussion purposes </t>
  </si>
  <si>
    <t>date</t>
  </si>
  <si>
    <t>built</t>
  </si>
  <si>
    <t>TEU</t>
  </si>
  <si>
    <t>rate</t>
  </si>
  <si>
    <t>rate_unit</t>
  </si>
  <si>
    <t>charter_length</t>
  </si>
  <si>
    <t>length_unit</t>
  </si>
  <si>
    <t>age</t>
  </si>
  <si>
    <t>$/day</t>
  </si>
  <si>
    <t>days</t>
  </si>
  <si>
    <t>Lease Rate: $/day</t>
  </si>
  <si>
    <t>Beta Distribution</t>
  </si>
  <si>
    <t>Lower Bound (L)</t>
  </si>
  <si>
    <t>Upper Bound (U)</t>
  </si>
  <si>
    <t>Mean</t>
  </si>
  <si>
    <t>Sigma</t>
  </si>
  <si>
    <t>standard beta mean (m)</t>
  </si>
  <si>
    <t>ratio (r)</t>
  </si>
  <si>
    <t>Coefficient of Variation (COV)</t>
  </si>
  <si>
    <t>alpha</t>
  </si>
  <si>
    <t>beta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</si>
  <si>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</si>
  <si>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</si>
  <si>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</si>
  <si>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</si>
  <si>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</si>
  <si>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</si>
  <si>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</si>
  <si>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</si>
  <si>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</si>
  <si>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</si>
  <si>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</si>
  <si>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</si>
  <si>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</si>
  <si>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</si>
  <si>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</si>
  <si>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</si>
  <si>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</si>
  <si>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</si>
  <si>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</si>
  <si>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</si>
  <si>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</si>
  <si>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</si>
  <si>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</si>
  <si>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</si>
  <si>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</si>
  <si>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RESIDUAL OUTPUT</t>
  </si>
  <si>
    <t>Observation</t>
  </si>
  <si>
    <t>Predicted Y</t>
  </si>
  <si>
    <t>Residuals</t>
  </si>
  <si>
    <t>Today</t>
  </si>
  <si>
    <t>Revenue</t>
  </si>
  <si>
    <t>Today's Age</t>
  </si>
  <si>
    <t>Month</t>
  </si>
  <si>
    <t>Amortization</t>
  </si>
  <si>
    <t>Cost</t>
  </si>
  <si>
    <t>Sales</t>
  </si>
  <si>
    <t>i=1</t>
  </si>
  <si>
    <t>i=2</t>
  </si>
  <si>
    <t>i=3</t>
  </si>
  <si>
    <t>i=4</t>
  </si>
  <si>
    <t>i=5</t>
  </si>
  <si>
    <t>i=6</t>
  </si>
  <si>
    <t>i=7</t>
  </si>
  <si>
    <t>i=8</t>
  </si>
  <si>
    <t>i=9</t>
  </si>
  <si>
    <t>i=10</t>
  </si>
  <si>
    <t>i=11</t>
  </si>
  <si>
    <t>i=12</t>
  </si>
  <si>
    <t>i=13</t>
  </si>
  <si>
    <t>i=14</t>
  </si>
  <si>
    <t>i=15</t>
  </si>
  <si>
    <t>i=16</t>
  </si>
  <si>
    <t>i=17</t>
  </si>
  <si>
    <t>i=18</t>
  </si>
  <si>
    <t>i=19</t>
  </si>
  <si>
    <t>i=20</t>
  </si>
  <si>
    <t>i=21</t>
  </si>
  <si>
    <t>i=22</t>
  </si>
  <si>
    <t>i=23</t>
  </si>
  <si>
    <t>i=24</t>
  </si>
  <si>
    <t>i=25</t>
  </si>
  <si>
    <t>month</t>
  </si>
  <si>
    <t>years</t>
  </si>
  <si>
    <t>Inflation Adjustment</t>
  </si>
  <si>
    <t>Source: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</si>
  <si>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</si>
  <si>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</si>
  <si>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</si>
  <si>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</si>
  <si>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</si>
  <si>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CPIAUCSL</t>
  </si>
  <si>
    <t>Consumer Price Index for All Urban Consumers: All Items, Index 1982-1984=100, Monthly, Seasonally Adjusted</t>
  </si>
  <si>
    <t>CPI</t>
  </si>
  <si>
    <t>gross rate</t>
  </si>
  <si>
    <t>inflation rate</t>
  </si>
  <si>
    <t>sum</t>
  </si>
  <si>
    <t>Historical Scrap Prices</t>
  </si>
  <si>
    <t>Feeder Containerships</t>
  </si>
  <si>
    <t xml:space="preserve">Source: </t>
  </si>
  <si>
    <t>Vessel Assumptions</t>
  </si>
  <si>
    <t>Clarksons Shipping Intelligence Network; 26 Sept 2018</t>
  </si>
  <si>
    <t>Federal Reserve Bank of St. Louis - CPI</t>
  </si>
  <si>
    <t>1700 teu</t>
  </si>
  <si>
    <t>2000 teu</t>
  </si>
  <si>
    <t>2500 teu</t>
  </si>
  <si>
    <t>2800 teu</t>
  </si>
  <si>
    <t>Note:</t>
  </si>
  <si>
    <t>LDT = "light displacement tonnage" or weight of ship excluding cargo, fuel, ballast, stores, passengers, crew, etc</t>
  </si>
  <si>
    <t>Unadjusted</t>
  </si>
  <si>
    <t>CPI Adjusted</t>
  </si>
  <si>
    <t>Bangladesh Demolition Prices: 2000 TEU Containership</t>
  </si>
  <si>
    <t>India Demolition Prices: 2000 TEU Containership</t>
  </si>
  <si>
    <t>Average Demolition Price</t>
  </si>
  <si>
    <t>Average Demolition Price ($/LDT)</t>
  </si>
  <si>
    <t>Scrap Value 1700 TEU Containership ($MM)</t>
  </si>
  <si>
    <t>Scrap Value 2600 TEU Containership ($MM)</t>
  </si>
  <si>
    <t>$/ldt</t>
  </si>
  <si>
    <t>$ MMs</t>
  </si>
  <si>
    <t>Bangladesh Demolition Price: 2000 TEU ($/LDT)</t>
  </si>
  <si>
    <t>India Demolition Price: 2000 TEU ($/LDT)</t>
  </si>
  <si>
    <t>Demolition Price</t>
  </si>
  <si>
    <t>Please note the following</t>
  </si>
  <si>
    <t>12453: As at End of Period Specified.</t>
  </si>
  <si>
    <t>86931: As at end of period specified. Series based on highest quoted demolition price and average ldt of vessels within an appropriate age range each month. Before Nov-01, series uses fixed ldt assumptions.</t>
  </si>
  <si>
    <t>96487: As at End of Period Specified.</t>
  </si>
  <si>
    <t>© Clarkson Research Services Limited 2018</t>
  </si>
  <si>
    <t>Type (teu)</t>
  </si>
  <si>
    <t>Lease # for each ship</t>
  </si>
  <si>
    <t>Asset</t>
  </si>
  <si>
    <t>Class A Size</t>
  </si>
  <si>
    <t>Class B Size</t>
  </si>
  <si>
    <t>Class C Size</t>
  </si>
  <si>
    <t>Class A Desired Rating</t>
  </si>
  <si>
    <t>Class B Desired Rating</t>
  </si>
  <si>
    <t>A2</t>
  </si>
  <si>
    <t>Baa2</t>
  </si>
  <si>
    <t>Cl A Int Due</t>
  </si>
  <si>
    <t>Cl A Int Paid</t>
  </si>
  <si>
    <t>Cl A Int Shrt</t>
  </si>
  <si>
    <t>Remaining Avail. Funds</t>
  </si>
  <si>
    <t>F2(t)</t>
  </si>
  <si>
    <t>Cl B Int Due</t>
  </si>
  <si>
    <t>Cl B Int Paid</t>
  </si>
  <si>
    <t>Cl B Int Shrt</t>
  </si>
  <si>
    <t>F0(t)</t>
  </si>
  <si>
    <t>Class A APR</t>
  </si>
  <si>
    <t>Initial Pool Balance</t>
  </si>
  <si>
    <t>Class A Balance</t>
  </si>
  <si>
    <t>Class B Balance</t>
  </si>
  <si>
    <t>Class C Balance</t>
  </si>
  <si>
    <t>Preliminaries</t>
  </si>
  <si>
    <r>
      <t>B</t>
    </r>
    <r>
      <rPr>
        <b/>
        <sz val="8"/>
        <color theme="1"/>
        <rFont val="Calibri (Body)"/>
      </rPr>
      <t>A</t>
    </r>
    <r>
      <rPr>
        <b/>
        <sz val="11"/>
        <color theme="1"/>
        <rFont val="Calibri"/>
        <family val="2"/>
        <scheme val="minor"/>
      </rPr>
      <t>(t-1)</t>
    </r>
  </si>
  <si>
    <r>
      <t>B</t>
    </r>
    <r>
      <rPr>
        <b/>
        <sz val="8"/>
        <color theme="1"/>
        <rFont val="Calibri (Body)"/>
      </rPr>
      <t>B</t>
    </r>
    <r>
      <rPr>
        <b/>
        <sz val="11"/>
        <color theme="1"/>
        <rFont val="Calibri"/>
        <family val="2"/>
        <scheme val="minor"/>
      </rPr>
      <t>(t-1)</t>
    </r>
  </si>
  <si>
    <r>
      <t>B</t>
    </r>
    <r>
      <rPr>
        <b/>
        <sz val="8"/>
        <color theme="1"/>
        <rFont val="Calibri (Body)"/>
      </rPr>
      <t>C</t>
    </r>
    <r>
      <rPr>
        <b/>
        <sz val="11"/>
        <color theme="1"/>
        <rFont val="Calibri"/>
        <family val="2"/>
        <scheme val="minor"/>
      </rPr>
      <t>(t-1)</t>
    </r>
  </si>
  <si>
    <t>CC(t)</t>
  </si>
  <si>
    <t>Class B APR</t>
  </si>
  <si>
    <t>Class C APR</t>
  </si>
  <si>
    <r>
      <t>R</t>
    </r>
    <r>
      <rPr>
        <b/>
        <sz val="8"/>
        <color theme="1"/>
        <rFont val="Calibri (Body)"/>
      </rPr>
      <t>RA</t>
    </r>
    <r>
      <rPr>
        <b/>
        <sz val="11"/>
        <color theme="1"/>
        <rFont val="Calibri"/>
        <family val="2"/>
        <scheme val="minor"/>
      </rPr>
      <t>(t)</t>
    </r>
  </si>
  <si>
    <t>S(t)</t>
  </si>
  <si>
    <r>
      <t>S</t>
    </r>
    <r>
      <rPr>
        <b/>
        <sz val="8"/>
        <rFont val="Arial"/>
        <family val="2"/>
      </rPr>
      <t>P</t>
    </r>
    <r>
      <rPr>
        <b/>
        <sz val="10"/>
        <rFont val="Arial"/>
        <family val="2"/>
      </rPr>
      <t>(t)</t>
    </r>
  </si>
  <si>
    <r>
      <t>S</t>
    </r>
    <r>
      <rPr>
        <b/>
        <sz val="8"/>
        <rFont val="Arial"/>
        <family val="2"/>
      </rPr>
      <t>S</t>
    </r>
    <r>
      <rPr>
        <b/>
        <sz val="10"/>
        <rFont val="Arial"/>
        <family val="2"/>
      </rPr>
      <t>(t)</t>
    </r>
  </si>
  <si>
    <r>
      <t>R</t>
    </r>
    <r>
      <rPr>
        <b/>
        <sz val="8"/>
        <color theme="1"/>
        <rFont val="Calibri (Body)"/>
      </rPr>
      <t>MR</t>
    </r>
    <r>
      <rPr>
        <b/>
        <sz val="11"/>
        <color theme="1"/>
        <rFont val="Calibri"/>
        <family val="2"/>
        <scheme val="minor"/>
      </rPr>
      <t>(t)</t>
    </r>
  </si>
  <si>
    <t>Part 2: Class A Interest</t>
  </si>
  <si>
    <r>
      <t>F</t>
    </r>
    <r>
      <rPr>
        <b/>
        <sz val="8"/>
        <color theme="1"/>
        <rFont val="Calibri (Body)"/>
      </rPr>
      <t>3</t>
    </r>
    <r>
      <rPr>
        <b/>
        <sz val="11"/>
        <color theme="1"/>
        <rFont val="Calibri"/>
        <family val="2"/>
        <scheme val="minor"/>
      </rPr>
      <t>(t)</t>
    </r>
  </si>
  <si>
    <r>
      <t>I</t>
    </r>
    <r>
      <rPr>
        <b/>
        <sz val="8"/>
        <color theme="1"/>
        <rFont val="Calibri (Body)"/>
      </rPr>
      <t>AS</t>
    </r>
    <r>
      <rPr>
        <b/>
        <sz val="11"/>
        <color theme="1"/>
        <rFont val="Calibri"/>
        <family val="2"/>
        <scheme val="minor"/>
      </rPr>
      <t>(t)</t>
    </r>
  </si>
  <si>
    <r>
      <t>I</t>
    </r>
    <r>
      <rPr>
        <b/>
        <sz val="8"/>
        <color theme="1"/>
        <rFont val="Calibri (Body)"/>
      </rPr>
      <t>AP</t>
    </r>
    <r>
      <rPr>
        <b/>
        <sz val="11"/>
        <color theme="1"/>
        <rFont val="Calibri"/>
        <family val="2"/>
        <scheme val="minor"/>
      </rPr>
      <t>(t)</t>
    </r>
  </si>
  <si>
    <r>
      <t>I</t>
    </r>
    <r>
      <rPr>
        <b/>
        <sz val="8"/>
        <color theme="1"/>
        <rFont val="Calibri (Body)"/>
      </rPr>
      <t>A</t>
    </r>
    <r>
      <rPr>
        <b/>
        <sz val="11"/>
        <color theme="1"/>
        <rFont val="Calibri"/>
        <family val="2"/>
        <scheme val="minor"/>
      </rPr>
      <t>(t)</t>
    </r>
  </si>
  <si>
    <r>
      <t>F</t>
    </r>
    <r>
      <rPr>
        <b/>
        <sz val="8"/>
        <color theme="1"/>
        <rFont val="Calibri (Body)"/>
      </rPr>
      <t>4</t>
    </r>
    <r>
      <rPr>
        <b/>
        <sz val="11"/>
        <color theme="1"/>
        <rFont val="Calibri"/>
        <family val="2"/>
        <scheme val="minor"/>
      </rPr>
      <t>(t)</t>
    </r>
  </si>
  <si>
    <r>
      <t>I</t>
    </r>
    <r>
      <rPr>
        <b/>
        <sz val="8"/>
        <color theme="1"/>
        <rFont val="Calibri (Body)"/>
      </rPr>
      <t>BS</t>
    </r>
    <r>
      <rPr>
        <b/>
        <sz val="11"/>
        <color theme="1"/>
        <rFont val="Calibri"/>
        <family val="2"/>
        <scheme val="minor"/>
      </rPr>
      <t>(t)</t>
    </r>
  </si>
  <si>
    <r>
      <t>I</t>
    </r>
    <r>
      <rPr>
        <b/>
        <sz val="8"/>
        <color theme="1"/>
        <rFont val="Calibri (Body)"/>
      </rPr>
      <t>BP</t>
    </r>
    <r>
      <rPr>
        <b/>
        <sz val="11"/>
        <color theme="1"/>
        <rFont val="Calibri"/>
        <family val="2"/>
        <scheme val="minor"/>
      </rPr>
      <t>(t)</t>
    </r>
  </si>
  <si>
    <r>
      <t>I</t>
    </r>
    <r>
      <rPr>
        <b/>
        <sz val="8"/>
        <color theme="1"/>
        <rFont val="Calibri (Body)"/>
      </rPr>
      <t>B</t>
    </r>
    <r>
      <rPr>
        <b/>
        <sz val="11"/>
        <color theme="1"/>
        <rFont val="Calibri"/>
        <family val="2"/>
        <scheme val="minor"/>
      </rPr>
      <t>(t)</t>
    </r>
  </si>
  <si>
    <t>Part 3: Class B Interest</t>
  </si>
  <si>
    <t>Interest Reserve Draw</t>
  </si>
  <si>
    <r>
      <t>R</t>
    </r>
    <r>
      <rPr>
        <b/>
        <sz val="8"/>
        <color theme="1"/>
        <rFont val="Calibri (Body)"/>
      </rPr>
      <t>dR</t>
    </r>
    <r>
      <rPr>
        <b/>
        <sz val="11"/>
        <color theme="1"/>
        <rFont val="Calibri"/>
        <family val="2"/>
        <scheme val="minor"/>
      </rPr>
      <t>(t)</t>
    </r>
  </si>
  <si>
    <r>
      <t>F</t>
    </r>
    <r>
      <rPr>
        <b/>
        <sz val="8"/>
        <color theme="1"/>
        <rFont val="Calibri (Body)"/>
      </rPr>
      <t>5</t>
    </r>
    <r>
      <rPr>
        <b/>
        <sz val="11"/>
        <color theme="1"/>
        <rFont val="Calibri"/>
        <family val="2"/>
        <scheme val="minor"/>
      </rPr>
      <t>(t)</t>
    </r>
  </si>
  <si>
    <r>
      <t>R</t>
    </r>
    <r>
      <rPr>
        <b/>
        <sz val="8"/>
        <color theme="1"/>
        <rFont val="Calibri"/>
        <family val="2"/>
        <scheme val="minor"/>
      </rPr>
      <t>a</t>
    </r>
    <r>
      <rPr>
        <b/>
        <sz val="8"/>
        <color theme="1"/>
        <rFont val="Calibri (Body)"/>
      </rPr>
      <t>M</t>
    </r>
    <r>
      <rPr>
        <b/>
        <sz val="11"/>
        <color theme="1"/>
        <rFont val="Calibri"/>
        <family val="2"/>
        <scheme val="minor"/>
      </rPr>
      <t>(t)</t>
    </r>
  </si>
  <si>
    <r>
      <t>R</t>
    </r>
    <r>
      <rPr>
        <b/>
        <sz val="8"/>
        <color theme="1"/>
        <rFont val="Calibri (Body)"/>
      </rPr>
      <t>rM</t>
    </r>
    <r>
      <rPr>
        <b/>
        <sz val="11"/>
        <color theme="1"/>
        <rFont val="Calibri"/>
        <family val="2"/>
        <scheme val="minor"/>
      </rPr>
      <t>(t)</t>
    </r>
  </si>
  <si>
    <r>
      <t>F</t>
    </r>
    <r>
      <rPr>
        <b/>
        <sz val="8"/>
        <color theme="1"/>
        <rFont val="Calibri (Body)"/>
      </rPr>
      <t>6</t>
    </r>
    <r>
      <rPr>
        <b/>
        <sz val="11"/>
        <color theme="1"/>
        <rFont val="Calibri"/>
        <family val="2"/>
        <scheme val="minor"/>
      </rPr>
      <t>(t)</t>
    </r>
  </si>
  <si>
    <t>Part 5: Class C Interest</t>
  </si>
  <si>
    <t>Cl C Int Due</t>
  </si>
  <si>
    <r>
      <t>I</t>
    </r>
    <r>
      <rPr>
        <b/>
        <sz val="8"/>
        <color theme="1"/>
        <rFont val="Calibri (Body)"/>
      </rPr>
      <t>C</t>
    </r>
    <r>
      <rPr>
        <b/>
        <sz val="11"/>
        <color theme="1"/>
        <rFont val="Calibri"/>
        <family val="2"/>
        <scheme val="minor"/>
      </rPr>
      <t>(t)</t>
    </r>
  </si>
  <si>
    <r>
      <t>I</t>
    </r>
    <r>
      <rPr>
        <b/>
        <sz val="8"/>
        <color theme="1"/>
        <rFont val="Calibri (Body)"/>
      </rPr>
      <t>CP</t>
    </r>
    <r>
      <rPr>
        <b/>
        <sz val="11"/>
        <color theme="1"/>
        <rFont val="Calibri"/>
        <family val="2"/>
        <scheme val="minor"/>
      </rPr>
      <t>(t)</t>
    </r>
  </si>
  <si>
    <r>
      <t>I</t>
    </r>
    <r>
      <rPr>
        <b/>
        <sz val="8"/>
        <color theme="1"/>
        <rFont val="Calibri (Body)"/>
      </rPr>
      <t>CS</t>
    </r>
    <r>
      <rPr>
        <b/>
        <sz val="11"/>
        <color theme="1"/>
        <rFont val="Calibri"/>
        <family val="2"/>
        <scheme val="minor"/>
      </rPr>
      <t>(t)</t>
    </r>
  </si>
  <si>
    <r>
      <t>F</t>
    </r>
    <r>
      <rPr>
        <b/>
        <sz val="8"/>
        <color theme="1"/>
        <rFont val="Calibri (Body)"/>
      </rPr>
      <t>7</t>
    </r>
    <r>
      <rPr>
        <b/>
        <sz val="11"/>
        <color theme="1"/>
        <rFont val="Calibri"/>
        <family val="2"/>
        <scheme val="minor"/>
      </rPr>
      <t>(t)</t>
    </r>
  </si>
  <si>
    <t>Cl C Int Paid</t>
  </si>
  <si>
    <t>Interest Res. Contrib.</t>
  </si>
  <si>
    <t>Target Reserve Balance</t>
  </si>
  <si>
    <t>Beginning Interest Reserve Account</t>
  </si>
  <si>
    <t>Beginning Maintenance Reserve Account</t>
  </si>
  <si>
    <r>
      <t>R</t>
    </r>
    <r>
      <rPr>
        <b/>
        <sz val="8"/>
        <color theme="1"/>
        <rFont val="Calibri (Body)"/>
      </rPr>
      <t>rR</t>
    </r>
    <r>
      <rPr>
        <b/>
        <sz val="11"/>
        <color theme="1"/>
        <rFont val="Calibri"/>
        <family val="2"/>
        <scheme val="minor"/>
      </rPr>
      <t>(t)</t>
    </r>
  </si>
  <si>
    <r>
      <t>R</t>
    </r>
    <r>
      <rPr>
        <b/>
        <sz val="8"/>
        <color theme="1"/>
        <rFont val="Calibri (Body)"/>
      </rPr>
      <t>aR</t>
    </r>
    <r>
      <rPr>
        <b/>
        <sz val="11"/>
        <color theme="1"/>
        <rFont val="Calibri"/>
        <family val="2"/>
        <scheme val="minor"/>
      </rPr>
      <t>(t)</t>
    </r>
  </si>
  <si>
    <r>
      <t>R</t>
    </r>
    <r>
      <rPr>
        <b/>
        <sz val="8"/>
        <color theme="1"/>
        <rFont val="Calibri (Body)"/>
      </rPr>
      <t>eR</t>
    </r>
    <r>
      <rPr>
        <b/>
        <sz val="11"/>
        <color theme="1"/>
        <rFont val="Calibri"/>
        <family val="2"/>
        <scheme val="minor"/>
      </rPr>
      <t>(t)</t>
    </r>
  </si>
  <si>
    <r>
      <t>F</t>
    </r>
    <r>
      <rPr>
        <b/>
        <sz val="8"/>
        <color theme="1"/>
        <rFont val="Calibri (Body)"/>
      </rPr>
      <t>8</t>
    </r>
    <r>
      <rPr>
        <b/>
        <sz val="11"/>
        <color theme="1"/>
        <rFont val="Calibri"/>
        <family val="2"/>
        <scheme val="minor"/>
      </rPr>
      <t>(t)</t>
    </r>
  </si>
  <si>
    <t>Part 7: Class A Principal</t>
  </si>
  <si>
    <t>Cl A Prin Due</t>
  </si>
  <si>
    <t>Cl A Prin Paid</t>
  </si>
  <si>
    <t>Cl A Prin Shrt</t>
  </si>
  <si>
    <r>
      <t>P</t>
    </r>
    <r>
      <rPr>
        <b/>
        <sz val="8"/>
        <color theme="1"/>
        <rFont val="Calibri (Body)"/>
      </rPr>
      <t>A</t>
    </r>
    <r>
      <rPr>
        <b/>
        <sz val="11"/>
        <color theme="1"/>
        <rFont val="Calibri"/>
        <family val="2"/>
        <scheme val="minor"/>
      </rPr>
      <t>(t)</t>
    </r>
  </si>
  <si>
    <r>
      <t>P</t>
    </r>
    <r>
      <rPr>
        <b/>
        <sz val="8"/>
        <color theme="1"/>
        <rFont val="Calibri (Body)"/>
      </rPr>
      <t>AP</t>
    </r>
    <r>
      <rPr>
        <b/>
        <sz val="11"/>
        <color theme="1"/>
        <rFont val="Calibri"/>
        <family val="2"/>
        <scheme val="minor"/>
      </rPr>
      <t>(t)</t>
    </r>
  </si>
  <si>
    <r>
      <t>P</t>
    </r>
    <r>
      <rPr>
        <b/>
        <sz val="8"/>
        <color theme="1"/>
        <rFont val="Calibri (Body)"/>
      </rPr>
      <t>AS</t>
    </r>
    <r>
      <rPr>
        <b/>
        <sz val="11"/>
        <color theme="1"/>
        <rFont val="Calibri"/>
        <family val="2"/>
        <scheme val="minor"/>
      </rPr>
      <t>(t)</t>
    </r>
  </si>
  <si>
    <r>
      <t>F</t>
    </r>
    <r>
      <rPr>
        <b/>
        <sz val="8"/>
        <color theme="1"/>
        <rFont val="Calibri (Body)"/>
      </rPr>
      <t>9</t>
    </r>
    <r>
      <rPr>
        <b/>
        <sz val="11"/>
        <color theme="1"/>
        <rFont val="Calibri"/>
        <family val="2"/>
        <scheme val="minor"/>
      </rPr>
      <t>(t)</t>
    </r>
  </si>
  <si>
    <t>TAC Schedule of Class A</t>
  </si>
  <si>
    <t>TAC Schedule of Class B</t>
  </si>
  <si>
    <t>Part 8: Class B Principal</t>
  </si>
  <si>
    <r>
      <t>P</t>
    </r>
    <r>
      <rPr>
        <b/>
        <sz val="8"/>
        <color theme="1"/>
        <rFont val="Calibri (Body)"/>
      </rPr>
      <t>B</t>
    </r>
    <r>
      <rPr>
        <b/>
        <sz val="11"/>
        <color theme="1"/>
        <rFont val="Calibri"/>
        <family val="2"/>
        <scheme val="minor"/>
      </rPr>
      <t>(t)</t>
    </r>
  </si>
  <si>
    <r>
      <t>P</t>
    </r>
    <r>
      <rPr>
        <b/>
        <sz val="8"/>
        <color theme="1"/>
        <rFont val="Calibri"/>
        <family val="2"/>
        <scheme val="minor"/>
      </rPr>
      <t>B</t>
    </r>
    <r>
      <rPr>
        <b/>
        <sz val="8"/>
        <color theme="1"/>
        <rFont val="Calibri (Body)"/>
      </rPr>
      <t>P</t>
    </r>
    <r>
      <rPr>
        <b/>
        <sz val="11"/>
        <color theme="1"/>
        <rFont val="Calibri"/>
        <family val="2"/>
        <scheme val="minor"/>
      </rPr>
      <t>(t)</t>
    </r>
  </si>
  <si>
    <r>
      <t>P</t>
    </r>
    <r>
      <rPr>
        <b/>
        <sz val="8"/>
        <color theme="1"/>
        <rFont val="Calibri"/>
        <family val="2"/>
        <scheme val="minor"/>
      </rPr>
      <t>B</t>
    </r>
    <r>
      <rPr>
        <b/>
        <sz val="8"/>
        <color theme="1"/>
        <rFont val="Calibri (Body)"/>
      </rPr>
      <t>S</t>
    </r>
    <r>
      <rPr>
        <b/>
        <sz val="11"/>
        <color theme="1"/>
        <rFont val="Calibri"/>
        <family val="2"/>
        <scheme val="minor"/>
      </rPr>
      <t>(t)</t>
    </r>
  </si>
  <si>
    <r>
      <t>F</t>
    </r>
    <r>
      <rPr>
        <b/>
        <sz val="8"/>
        <color theme="1"/>
        <rFont val="Calibri (Body)"/>
      </rPr>
      <t>10</t>
    </r>
    <r>
      <rPr>
        <b/>
        <sz val="11"/>
        <color theme="1"/>
        <rFont val="Calibri"/>
        <family val="2"/>
        <scheme val="minor"/>
      </rPr>
      <t>(t)</t>
    </r>
  </si>
  <si>
    <t>Cl B Prin Due</t>
  </si>
  <si>
    <t>Cl B Prin Paid</t>
  </si>
  <si>
    <t>Cl B Prin Shrt</t>
  </si>
  <si>
    <t>RS(t)</t>
  </si>
  <si>
    <r>
      <t>F</t>
    </r>
    <r>
      <rPr>
        <b/>
        <sz val="8"/>
        <color theme="1"/>
        <rFont val="Calibri (Body)"/>
      </rPr>
      <t>11</t>
    </r>
    <r>
      <rPr>
        <b/>
        <sz val="11"/>
        <color theme="1"/>
        <rFont val="Calibri"/>
        <family val="2"/>
        <scheme val="minor"/>
      </rPr>
      <t>(t)</t>
    </r>
  </si>
  <si>
    <r>
      <t>R</t>
    </r>
    <r>
      <rPr>
        <b/>
        <sz val="8"/>
        <color theme="1"/>
        <rFont val="Calibri (Body)"/>
      </rPr>
      <t>eM</t>
    </r>
    <r>
      <rPr>
        <b/>
        <sz val="11"/>
        <color theme="1"/>
        <rFont val="Calibri"/>
        <family val="2"/>
        <scheme val="minor"/>
      </rPr>
      <t>(t)</t>
    </r>
  </si>
  <si>
    <r>
      <t>TAC</t>
    </r>
    <r>
      <rPr>
        <b/>
        <sz val="8"/>
        <color theme="1"/>
        <rFont val="Calibri (Body)"/>
      </rPr>
      <t>A</t>
    </r>
    <r>
      <rPr>
        <b/>
        <sz val="11"/>
        <color theme="1"/>
        <rFont val="Calibri"/>
        <family val="2"/>
        <scheme val="minor"/>
      </rPr>
      <t>(t)</t>
    </r>
  </si>
  <si>
    <r>
      <t>TAC</t>
    </r>
    <r>
      <rPr>
        <b/>
        <sz val="8"/>
        <color theme="1"/>
        <rFont val="Calibri (Body)"/>
      </rPr>
      <t>B</t>
    </r>
    <r>
      <rPr>
        <b/>
        <sz val="11"/>
        <color theme="1"/>
        <rFont val="Calibri"/>
        <family val="2"/>
        <scheme val="minor"/>
      </rPr>
      <t>(t)</t>
    </r>
  </si>
  <si>
    <t>Class A Principal Balance</t>
  </si>
  <si>
    <t>Class B Principal Balance</t>
  </si>
  <si>
    <t>Class C principal Balance</t>
  </si>
  <si>
    <t>Cl C Prin Paid</t>
  </si>
  <si>
    <t>Cl C Prin Shrt</t>
  </si>
  <si>
    <t>Cl C Prin Due</t>
  </si>
  <si>
    <r>
      <t>P</t>
    </r>
    <r>
      <rPr>
        <b/>
        <sz val="8"/>
        <color theme="1"/>
        <rFont val="Calibri (Body)"/>
      </rPr>
      <t>C</t>
    </r>
    <r>
      <rPr>
        <b/>
        <sz val="11"/>
        <color theme="1"/>
        <rFont val="Calibri"/>
        <family val="2"/>
        <scheme val="minor"/>
      </rPr>
      <t>(t)</t>
    </r>
  </si>
  <si>
    <r>
      <t>P</t>
    </r>
    <r>
      <rPr>
        <b/>
        <sz val="8"/>
        <color theme="1"/>
        <rFont val="Calibri (Body)"/>
      </rPr>
      <t>CP</t>
    </r>
    <r>
      <rPr>
        <b/>
        <sz val="11"/>
        <color theme="1"/>
        <rFont val="Calibri"/>
        <family val="2"/>
        <scheme val="minor"/>
      </rPr>
      <t>(t)</t>
    </r>
  </si>
  <si>
    <r>
      <t>P</t>
    </r>
    <r>
      <rPr>
        <b/>
        <sz val="8"/>
        <color theme="1"/>
        <rFont val="Calibri"/>
        <family val="2"/>
        <scheme val="minor"/>
      </rPr>
      <t>C</t>
    </r>
    <r>
      <rPr>
        <b/>
        <sz val="8"/>
        <color theme="1"/>
        <rFont val="Calibri (Body)"/>
      </rPr>
      <t>S</t>
    </r>
    <r>
      <rPr>
        <b/>
        <sz val="11"/>
        <color theme="1"/>
        <rFont val="Calibri"/>
        <family val="2"/>
        <scheme val="minor"/>
      </rPr>
      <t>(t)</t>
    </r>
  </si>
  <si>
    <t># of ships sold</t>
  </si>
  <si>
    <t># of ships older than 30</t>
  </si>
  <si>
    <t># of ships that are not included anymore</t>
  </si>
  <si>
    <r>
      <t>F</t>
    </r>
    <r>
      <rPr>
        <b/>
        <sz val="8"/>
        <color theme="1"/>
        <rFont val="Calibri (Body)"/>
      </rPr>
      <t>12</t>
    </r>
    <r>
      <rPr>
        <b/>
        <sz val="11"/>
        <color theme="1"/>
        <rFont val="Calibri"/>
        <family val="2"/>
        <scheme val="minor"/>
      </rPr>
      <t>(t)</t>
    </r>
  </si>
  <si>
    <t>Monte Carlo Runs</t>
  </si>
  <si>
    <t>Aaa</t>
  </si>
  <si>
    <t>Return on Equity</t>
  </si>
  <si>
    <t>Dollar Defaults (%)</t>
  </si>
  <si>
    <t>Class A Average Life</t>
  </si>
  <si>
    <t>Class B Average Life</t>
  </si>
  <si>
    <t xml:space="preserve"> </t>
  </si>
  <si>
    <t>Non-Linear Convergence</t>
  </si>
  <si>
    <t>Class A Relaxation</t>
  </si>
  <si>
    <t>Class B Relaxation</t>
  </si>
  <si>
    <t>Convergence Limit</t>
  </si>
  <si>
    <t>R-Infinity</t>
  </si>
  <si>
    <t>Alpha Parm</t>
  </si>
  <si>
    <t>Beta Parm</t>
  </si>
  <si>
    <t>Delta Parm</t>
  </si>
  <si>
    <t>Convergence Criterion</t>
  </si>
  <si>
    <t>Non-Linear Iteration</t>
  </si>
  <si>
    <t>Convergence Status</t>
  </si>
  <si>
    <t>Moody's Structured Ratings</t>
  </si>
  <si>
    <t>Letter Grade</t>
  </si>
  <si>
    <t>DIRR</t>
  </si>
  <si>
    <t>Aa1</t>
  </si>
  <si>
    <t>Aa2</t>
  </si>
  <si>
    <t>Aa3</t>
  </si>
  <si>
    <t>A1</t>
  </si>
  <si>
    <t>A3</t>
  </si>
  <si>
    <t>Baa1</t>
  </si>
  <si>
    <t>Baa3</t>
  </si>
  <si>
    <t>Ba1</t>
  </si>
  <si>
    <t>Ba2</t>
  </si>
  <si>
    <t>Ba3</t>
  </si>
  <si>
    <t>B1</t>
  </si>
  <si>
    <t>B2</t>
  </si>
  <si>
    <t>B3</t>
  </si>
  <si>
    <t>Caa</t>
  </si>
  <si>
    <t>Ca</t>
  </si>
  <si>
    <t>MC Scenario:</t>
  </si>
  <si>
    <t>Elapsed Time</t>
  </si>
  <si>
    <r>
      <t>CI</t>
    </r>
    <r>
      <rPr>
        <b/>
        <sz val="8"/>
        <color theme="1"/>
        <rFont val="Calibri (Body)"/>
      </rPr>
      <t>CP</t>
    </r>
    <r>
      <rPr>
        <b/>
        <sz val="11"/>
        <color theme="1"/>
        <rFont val="Calibri"/>
        <family val="2"/>
        <scheme val="minor"/>
      </rPr>
      <t>(t)</t>
    </r>
  </si>
  <si>
    <t>#</t>
  </si>
  <si>
    <t>Duration (/months)</t>
  </si>
  <si>
    <t>Length Unit</t>
  </si>
  <si>
    <t>months</t>
  </si>
  <si>
    <t>Lease Rate Inflation</t>
  </si>
  <si>
    <t>Releasing Interval</t>
  </si>
  <si>
    <t>Scrap Value Inflation</t>
  </si>
  <si>
    <t>Sales0-8</t>
  </si>
  <si>
    <t>Sales9-13</t>
  </si>
  <si>
    <t>Sales14-19</t>
  </si>
  <si>
    <t>Sales20+</t>
  </si>
  <si>
    <t>Distribution</t>
  </si>
  <si>
    <t>Beta</t>
  </si>
  <si>
    <t>Useful Life (/yrs)</t>
  </si>
  <si>
    <t>Number of Ships</t>
  </si>
  <si>
    <t>Term</t>
  </si>
  <si>
    <t>Reduction of Yield Calculations</t>
  </si>
  <si>
    <t>Tot Pmt Cl A</t>
  </si>
  <si>
    <t>Tot Pmt Cl B</t>
  </si>
  <si>
    <r>
      <t>F</t>
    </r>
    <r>
      <rPr>
        <b/>
        <sz val="8"/>
        <rFont val="Calibri"/>
        <family val="2"/>
        <scheme val="minor"/>
      </rPr>
      <t>A</t>
    </r>
    <r>
      <rPr>
        <b/>
        <sz val="10"/>
        <rFont val="Calibri"/>
        <family val="2"/>
        <scheme val="minor"/>
      </rPr>
      <t>(t)</t>
    </r>
  </si>
  <si>
    <r>
      <t>F</t>
    </r>
    <r>
      <rPr>
        <b/>
        <sz val="8"/>
        <rFont val="Calibri"/>
        <family val="2"/>
        <scheme val="minor"/>
      </rPr>
      <t>B</t>
    </r>
    <r>
      <rPr>
        <b/>
        <sz val="10"/>
        <rFont val="Calibri"/>
        <family val="2"/>
        <scheme val="minor"/>
      </rPr>
      <t>(t)</t>
    </r>
  </si>
  <si>
    <t>Average Life Calculations</t>
  </si>
  <si>
    <t>Cl A Amort</t>
  </si>
  <si>
    <t>Cl B Amort</t>
  </si>
  <si>
    <t>Equity Contribution</t>
  </si>
  <si>
    <t>Vlookup_ID</t>
  </si>
  <si>
    <t>Lease Term (/months)</t>
  </si>
  <si>
    <t>No "Delete"</t>
  </si>
  <si>
    <t>Please use "Clear Content"</t>
  </si>
  <si>
    <t>New Rate A</t>
  </si>
  <si>
    <t>New Rate B</t>
  </si>
  <si>
    <t>Avg life A</t>
  </si>
  <si>
    <t>Avg life B</t>
  </si>
  <si>
    <t>One Monte Carlo Scenario Cash Flow Sample</t>
  </si>
  <si>
    <t>N</t>
  </si>
  <si>
    <t>Run Linear Simulation</t>
  </si>
  <si>
    <t>Non-linear iteration</t>
  </si>
  <si>
    <t>Class A</t>
  </si>
  <si>
    <t>Class B</t>
  </si>
  <si>
    <t>Convergence Table</t>
  </si>
  <si>
    <t>Mkt ($ MMs)</t>
  </si>
  <si>
    <t>Value ($)</t>
  </si>
  <si>
    <t>Scrap ($ MMs)</t>
  </si>
  <si>
    <t>Cl A Def. Rate</t>
  </si>
  <si>
    <t>Cl B Def. Rate</t>
  </si>
  <si>
    <t>Cl A DIRR</t>
  </si>
  <si>
    <t>Cl B DIRR</t>
  </si>
  <si>
    <t>Beta Trials</t>
  </si>
  <si>
    <t>Std Domain</t>
  </si>
  <si>
    <t>Real Domain</t>
  </si>
  <si>
    <t>Integral</t>
  </si>
  <si>
    <t>Min</t>
  </si>
  <si>
    <t>x</t>
  </si>
  <si>
    <t>P(x)</t>
  </si>
  <si>
    <t>Max</t>
  </si>
  <si>
    <t>Alpha</t>
  </si>
  <si>
    <t>No. Int.</t>
  </si>
  <si>
    <t>Interval</t>
  </si>
  <si>
    <t>Std Mean</t>
  </si>
  <si>
    <t>r</t>
  </si>
  <si>
    <t>COV</t>
  </si>
  <si>
    <t>RND</t>
  </si>
  <si>
    <t>Lease Rate</t>
  </si>
  <si>
    <t>Operation</t>
  </si>
  <si>
    <t>IRR Class A</t>
  </si>
  <si>
    <t>IRR Class B</t>
  </si>
  <si>
    <t>Cl A Def Ind</t>
  </si>
  <si>
    <t>Cl B Def Ind</t>
  </si>
  <si>
    <t>Class B TAC Schedule Maturity</t>
  </si>
  <si>
    <t>Class A TAC Schedule Maturity</t>
  </si>
  <si>
    <t>Blend Return</t>
  </si>
  <si>
    <t>Return Output</t>
  </si>
  <si>
    <t>Clear Content before Montor</t>
  </si>
  <si>
    <t>Iteration 0</t>
  </si>
  <si>
    <t>Y</t>
  </si>
  <si>
    <t>Diverged</t>
  </si>
  <si>
    <t># of Monte Carlo</t>
  </si>
  <si>
    <t>Converged Class A Rate</t>
  </si>
  <si>
    <t>Converged Class B Rate</t>
  </si>
  <si>
    <t>Operation Expenses</t>
  </si>
  <si>
    <t>Assets</t>
  </si>
  <si>
    <t>Total Revenue</t>
  </si>
  <si>
    <t>Total Operating Expenses</t>
  </si>
  <si>
    <t>Total Sales &amp; Scraps</t>
  </si>
  <si>
    <t>Closing Fees</t>
  </si>
  <si>
    <t>Lease Term Adjustment Factor</t>
  </si>
  <si>
    <t>Exclusion of Interest Reserve Balance</t>
  </si>
  <si>
    <t>Part 9: Class C Principal</t>
  </si>
  <si>
    <t xml:space="preserve">Number of Idle Ships </t>
  </si>
  <si>
    <t>Reserve Acct Deposit (% of Fleet)</t>
  </si>
  <si>
    <t>Interest Reserve Target (months)</t>
  </si>
  <si>
    <t>Eligible Investment Rate</t>
  </si>
  <si>
    <t>Fleet Purchase Price [V(0])</t>
  </si>
  <si>
    <t>F1(t)</t>
  </si>
  <si>
    <t>Base Management Fee Paid</t>
  </si>
  <si>
    <t>Part 10:  Residual + Incentive Equity Payments</t>
  </si>
  <si>
    <t>Incentive Mgmt Fee + Total Inves. CF</t>
  </si>
  <si>
    <t>Number of Ships Scrapped &amp; Sold</t>
  </si>
  <si>
    <t>Current Collections</t>
  </si>
  <si>
    <t>Available  Funds</t>
  </si>
  <si>
    <r>
      <rPr>
        <b/>
        <sz val="8"/>
        <color theme="1"/>
        <rFont val="Calibri (Body)"/>
      </rPr>
      <t>M</t>
    </r>
    <r>
      <rPr>
        <b/>
        <sz val="11"/>
        <color theme="1"/>
        <rFont val="Calibri"/>
        <family val="2"/>
        <scheme val="minor"/>
      </rPr>
      <t>(t)</t>
    </r>
  </si>
  <si>
    <t xml:space="preserve">Estimated Monthly Survey Expense </t>
  </si>
  <si>
    <t>Maintenance Res. Adjustment Factor</t>
  </si>
  <si>
    <t>Monthly Incentive Equity Payment</t>
  </si>
  <si>
    <t>Maintenance Look Ahead Months</t>
  </si>
  <si>
    <t>(fleet, maintenance, interest reserve, closing fees)</t>
  </si>
  <si>
    <t>Survey Expense Due</t>
  </si>
  <si>
    <t>Survey Expense Paid</t>
  </si>
  <si>
    <t>Survey Expense Shortfall</t>
  </si>
  <si>
    <t>Part 1: Assumed Survey Expenses</t>
  </si>
  <si>
    <t>Base Mgmt Fee &amp; Survey Exp. Reserve Exclusion</t>
  </si>
  <si>
    <t>Part 4: Survey Expense Reserve Top-Up</t>
  </si>
  <si>
    <t>Target Survey Reserve</t>
  </si>
  <si>
    <t>Survey Res. Contrib.</t>
  </si>
  <si>
    <t>End Survey Reserve Bal.</t>
  </si>
  <si>
    <t>Part 6: Interest Reserve Account  Top-Up</t>
  </si>
  <si>
    <t>End Interest Reserve Bal.</t>
  </si>
  <si>
    <t>Cumulative Incentive Equity Payments</t>
  </si>
  <si>
    <t>Monthly Incentive Management Fee</t>
  </si>
  <si>
    <t>Total Investor Cash Flows</t>
  </si>
  <si>
    <t>Credit Spectrum Cl A Rating</t>
  </si>
  <si>
    <t>Credit Spectrum Cl B Rating</t>
  </si>
  <si>
    <t>Use Bospoke TAC Schedule</t>
  </si>
  <si>
    <r>
      <t>TAC</t>
    </r>
    <r>
      <rPr>
        <sz val="8"/>
        <color theme="1"/>
        <rFont val="Calibri (Body)"/>
      </rPr>
      <t>A</t>
    </r>
    <r>
      <rPr>
        <sz val="11"/>
        <color theme="1"/>
        <rFont val="Calibri"/>
        <family val="2"/>
        <scheme val="minor"/>
      </rPr>
      <t>(t)</t>
    </r>
  </si>
  <si>
    <r>
      <t>TAC</t>
    </r>
    <r>
      <rPr>
        <sz val="8"/>
        <color theme="1"/>
        <rFont val="Calibri (Body)"/>
      </rPr>
      <t>B</t>
    </r>
    <r>
      <rPr>
        <sz val="11"/>
        <color theme="1"/>
        <rFont val="Calibri"/>
        <family val="2"/>
        <scheme val="minor"/>
      </rPr>
      <t>(t)</t>
    </r>
  </si>
  <si>
    <t>Scrap Value Adjustment Factor</t>
  </si>
  <si>
    <t>Remaining Aggregate Scrap Value</t>
  </si>
  <si>
    <t>Interim Sale Probability</t>
  </si>
  <si>
    <t>Incentive Management Fee</t>
  </si>
  <si>
    <t>Base Management Fee</t>
  </si>
  <si>
    <t>Use Same Random Numbers?</t>
  </si>
  <si>
    <t>Bospoke TAC  A</t>
  </si>
  <si>
    <t>Bospoke TAC  B</t>
  </si>
  <si>
    <t>Weighted Avg. Class A+B Rate</t>
  </si>
  <si>
    <t>Survey I</t>
  </si>
  <si>
    <t>Survey II</t>
  </si>
  <si>
    <t>Survey III</t>
  </si>
  <si>
    <t>M(t)</t>
  </si>
  <si>
    <t>Survey Expense</t>
  </si>
  <si>
    <t># of Ships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</si>
</sst>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;@"/>
    <numFmt numFmtId="165" formatCode="h:mm;@"/>
    <numFmt numFmtId="166" formatCode="mm/dd/yy;@"/>
    <numFmt numFmtId="167" formatCode="_(* #,##0_);_(* \(#,##0\);_(* &quot;-&quot;??_);_(@_)"/>
    <numFmt numFmtId="168" formatCode="_(* #,##0.0_);_(* \(#,##0.0\);_(* &quot;-&quot;??_);_(@_)"/>
    <numFmt numFmtId="169" formatCode="0.0%"/>
    <numFmt numFmtId="170" formatCode="0.0"/>
    <numFmt numFmtId="171" formatCode="_(* #,##0.000_);_(* \(#,##0.000\);_(* &quot;-&quot;??_);_(@_)"/>
    <numFmt numFmtId="172" formatCode="[$-409]mmm\-yy;@"/>
    <numFmt numFmtId="173" formatCode="0.000"/>
    <numFmt numFmtId="174" formatCode="_(* #,##0.0000_);_(* \(#,##0.0000\);_(* &quot;-&quot;??_);_(@_)"/>
    <numFmt numFmtId="175" formatCode="mmm\-yyyy"/>
    <numFmt numFmtId="176" formatCode="&quot;$&quot;#,##0.00"/>
    <numFmt numFmtId="177" formatCode="&quot;$&quot;#,##0"/>
    <numFmt numFmtId="178" formatCode="0.00&quot; mths&quot;"/>
    <numFmt numFmtId="179" formatCode="0.000%"/>
    <numFmt numFmtId="180" formatCode="_(&quot;$&quot;* #,##0_);_(&quot;$&quot;* \(#,##0\);_(&quot;$&quot;* &quot;-&quot;??_);_(@_)"/>
    <numFmt numFmtId="181" formatCode="&quot;$&quot;#,##0.0_);\(&quot;$&quot;#,##0.0\)"/>
    <numFmt numFmtId="182" formatCode="0.0000"/>
    <numFmt numFmtId="183" formatCode="&quot;$&quot;#,##0.0000000"/>
    <numFmt numFmtId="184" formatCode="0&quot; mths&quot;"/>
  </numFmts>
  <fonts count="4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u val="singleAccounting"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2" tint="-0.249977111117893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432FF"/>
      <name val="Calibri"/>
      <family val="2"/>
    </font>
    <font>
      <sz val="11"/>
      <color rgb="FF4F4BFF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1"/>
      <name val="Calibri (Body)"/>
    </font>
    <font>
      <b/>
      <sz val="10"/>
      <name val="Arial"/>
      <family val="2"/>
    </font>
    <font>
      <b/>
      <sz val="8"/>
      <name val="Arial"/>
      <family val="2"/>
    </font>
    <font>
      <b/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u val="singleAccounting"/>
      <sz val="11"/>
      <name val="Calibri"/>
      <family val="2"/>
      <scheme val="minor"/>
    </font>
    <font>
      <b/>
      <sz val="8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8"/>
      <color theme="1"/>
      <name val="Calibri (Body)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D4031"/>
        <bgColor indexed="64"/>
      </patternFill>
    </fill>
  </fills>
  <borders count="4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5" fillId="0" borderId="0" applyFont="0" applyFill="0" applyBorder="0" applyAlignment="0" applyProtection="0"/>
    <xf numFmtId="0" fontId="26" fillId="0" borderId="0"/>
  </cellStyleXfs>
  <cellXfs count="511">
    <xf numFmtId="0" fontId="0" fillId="0" borderId="0" xfId="0"/>
    <xf numFmtId="0" fontId="7" fillId="2" borderId="1" xfId="3" applyFont="1" applyFill="1" applyBorder="1" applyAlignment="1">
      <alignment horizontal="centerContinuous"/>
    </xf>
    <xf numFmtId="0" fontId="8" fillId="2" borderId="2" xfId="3" applyFont="1" applyFill="1" applyBorder="1" applyAlignment="1">
      <alignment horizontal="centerContinuous"/>
    </xf>
    <xf numFmtId="0" fontId="9" fillId="2" borderId="2" xfId="3" applyFont="1" applyFill="1" applyBorder="1"/>
    <xf numFmtId="164" fontId="10" fillId="2" borderId="3" xfId="3" applyNumberFormat="1" applyFont="1" applyFill="1" applyBorder="1" applyAlignment="1">
      <alignment horizontal="center"/>
    </xf>
    <xf numFmtId="0" fontId="7" fillId="2" borderId="4" xfId="3" applyFont="1" applyFill="1" applyBorder="1" applyAlignment="1">
      <alignment horizontal="centerContinuous"/>
    </xf>
    <xf numFmtId="0" fontId="10" fillId="2" borderId="5" xfId="3" applyFont="1" applyFill="1" applyBorder="1" applyAlignment="1">
      <alignment horizontal="centerContinuous"/>
    </xf>
    <xf numFmtId="165" fontId="10" fillId="2" borderId="6" xfId="3" applyNumberFormat="1" applyFont="1" applyFill="1" applyBorder="1" applyAlignment="1">
      <alignment horizontal="center"/>
    </xf>
    <xf numFmtId="0" fontId="10" fillId="2" borderId="0" xfId="3" applyFont="1" applyFill="1" applyBorder="1" applyAlignment="1">
      <alignment horizontal="centerContinuous"/>
    </xf>
    <xf numFmtId="0" fontId="7" fillId="0" borderId="0" xfId="3" applyFont="1" applyFill="1" applyBorder="1" applyAlignment="1">
      <alignment horizontal="centerContinuous"/>
    </xf>
    <xf numFmtId="0" fontId="10" fillId="0" borderId="0" xfId="3" applyFont="1" applyFill="1" applyBorder="1" applyAlignment="1">
      <alignment horizontal="centerContinuous"/>
    </xf>
    <xf numFmtId="165" fontId="10" fillId="0" borderId="0" xfId="3" applyNumberFormat="1" applyFont="1" applyFill="1" applyBorder="1" applyAlignment="1">
      <alignment horizontal="center"/>
    </xf>
    <xf numFmtId="0" fontId="9" fillId="0" borderId="0" xfId="3" applyFont="1" applyFill="1"/>
    <xf numFmtId="0" fontId="10" fillId="2" borderId="0" xfId="3" applyFont="1" applyFill="1" applyAlignment="1">
      <alignment horizontal="centerContinuous"/>
    </xf>
    <xf numFmtId="0" fontId="0" fillId="0" borderId="0" xfId="0" applyFont="1"/>
    <xf numFmtId="0" fontId="0" fillId="0" borderId="0" xfId="0" applyAlignment="1">
      <alignment horizontal="center"/>
    </xf>
    <xf numFmtId="0" fontId="11" fillId="0" borderId="0" xfId="3" applyFont="1" applyBorder="1" applyAlignment="1">
      <alignment horizontal="centerContinuous"/>
    </xf>
    <xf numFmtId="0" fontId="12" fillId="0" borderId="0" xfId="3" applyFont="1" applyBorder="1" applyAlignment="1">
      <alignment horizontal="centerContinuous"/>
    </xf>
    <xf numFmtId="0" fontId="12" fillId="0" borderId="0" xfId="3" applyFont="1" applyBorder="1" applyAlignment="1">
      <alignment horizontal="center"/>
    </xf>
    <xf numFmtId="168" fontId="5" fillId="0" borderId="0" xfId="1" applyNumberFormat="1" applyFont="1"/>
    <xf numFmtId="168" fontId="5" fillId="0" borderId="0" xfId="1" quotePrefix="1" applyNumberFormat="1" applyFont="1" applyAlignment="1">
      <alignment horizontal="left" indent="2"/>
    </xf>
    <xf numFmtId="166" fontId="0" fillId="0" borderId="0" xfId="0" applyNumberFormat="1" applyAlignment="1">
      <alignment horizontal="center"/>
    </xf>
    <xf numFmtId="5" fontId="5" fillId="0" borderId="0" xfId="1" quotePrefix="1" applyNumberFormat="1" applyFont="1" applyAlignment="1">
      <alignment horizontal="center"/>
    </xf>
    <xf numFmtId="5" fontId="5" fillId="0" borderId="0" xfId="1" applyNumberFormat="1" applyFont="1" applyAlignment="1">
      <alignment horizontal="center"/>
    </xf>
    <xf numFmtId="7" fontId="0" fillId="0" borderId="0" xfId="0" applyNumberFormat="1"/>
    <xf numFmtId="167" fontId="5" fillId="0" borderId="0" xfId="1" quotePrefix="1" applyNumberFormat="1" applyFont="1" applyAlignment="1">
      <alignment horizontal="right"/>
    </xf>
    <xf numFmtId="168" fontId="5" fillId="0" borderId="0" xfId="1" quotePrefix="1" applyNumberFormat="1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167" fontId="5" fillId="0" borderId="0" xfId="1" applyNumberFormat="1" applyFont="1" applyFill="1"/>
    <xf numFmtId="168" fontId="5" fillId="0" borderId="0" xfId="1" applyNumberFormat="1" applyFont="1" applyFill="1" applyAlignment="1">
      <alignment horizontal="left" indent="2"/>
    </xf>
    <xf numFmtId="168" fontId="5" fillId="0" borderId="0" xfId="1" quotePrefix="1" applyNumberFormat="1" applyFont="1" applyFill="1" applyAlignment="1">
      <alignment horizontal="left" indent="2"/>
    </xf>
    <xf numFmtId="168" fontId="5" fillId="0" borderId="0" xfId="1" quotePrefix="1" applyNumberFormat="1" applyFont="1" applyFill="1" applyAlignment="1">
      <alignment horizontal="center"/>
    </xf>
    <xf numFmtId="166" fontId="0" fillId="0" borderId="0" xfId="0" applyNumberFormat="1" applyFill="1" applyAlignment="1">
      <alignment horizontal="center"/>
    </xf>
    <xf numFmtId="168" fontId="5" fillId="0" borderId="0" xfId="1" applyNumberFormat="1" applyFont="1" applyFill="1"/>
    <xf numFmtId="5" fontId="5" fillId="0" borderId="0" xfId="1" quotePrefix="1" applyNumberFormat="1" applyFont="1" applyFill="1" applyAlignment="1">
      <alignment horizontal="center"/>
    </xf>
    <xf numFmtId="5" fontId="5" fillId="0" borderId="0" xfId="1" applyNumberFormat="1" applyFont="1" applyFill="1" applyAlignment="1">
      <alignment horizontal="center"/>
    </xf>
    <xf numFmtId="164" fontId="10" fillId="2" borderId="2" xfId="3" applyNumberFormat="1" applyFont="1" applyFill="1" applyBorder="1" applyAlignment="1">
      <alignment horizontal="center"/>
    </xf>
    <xf numFmtId="165" fontId="10" fillId="2" borderId="5" xfId="3" applyNumberFormat="1" applyFont="1" applyFill="1" applyBorder="1" applyAlignment="1">
      <alignment horizontal="center"/>
    </xf>
    <xf numFmtId="167" fontId="5" fillId="0" borderId="0" xfId="1" applyNumberFormat="1" applyFont="1"/>
    <xf numFmtId="167" fontId="5" fillId="0" borderId="0" xfId="1" quotePrefix="1" applyNumberFormat="1" applyFont="1" applyFill="1" applyAlignment="1">
      <alignment horizontal="right"/>
    </xf>
    <xf numFmtId="0" fontId="0" fillId="0" borderId="0" xfId="0" applyBorder="1"/>
    <xf numFmtId="0" fontId="0" fillId="0" borderId="0" xfId="0" applyFill="1" applyBorder="1"/>
    <xf numFmtId="14" fontId="0" fillId="0" borderId="0" xfId="0" applyNumberFormat="1"/>
    <xf numFmtId="0" fontId="6" fillId="0" borderId="0" xfId="0" applyFont="1" applyAlignment="1">
      <alignment horizontal="center"/>
    </xf>
    <xf numFmtId="10" fontId="0" fillId="0" borderId="0" xfId="4" applyNumberFormat="1" applyFont="1"/>
    <xf numFmtId="0" fontId="6" fillId="0" borderId="0" xfId="0" applyFont="1"/>
    <xf numFmtId="10" fontId="0" fillId="0" borderId="0" xfId="0" applyNumberFormat="1"/>
    <xf numFmtId="0" fontId="14" fillId="0" borderId="7" xfId="0" applyFont="1" applyBorder="1" applyAlignment="1">
      <alignment horizontal="centerContinuous"/>
    </xf>
    <xf numFmtId="10" fontId="6" fillId="0" borderId="0" xfId="4" applyNumberFormat="1" applyFont="1"/>
    <xf numFmtId="0" fontId="0" fillId="0" borderId="5" xfId="0" applyBorder="1"/>
    <xf numFmtId="0" fontId="14" fillId="0" borderId="7" xfId="0" applyFont="1" applyBorder="1" applyAlignment="1">
      <alignment horizontal="center"/>
    </xf>
    <xf numFmtId="10" fontId="0" fillId="0" borderId="8" xfId="4" applyNumberFormat="1" applyFont="1" applyBorder="1"/>
    <xf numFmtId="0" fontId="15" fillId="0" borderId="0" xfId="0" applyFont="1"/>
    <xf numFmtId="0" fontId="16" fillId="0" borderId="0" xfId="0" applyFont="1"/>
    <xf numFmtId="0" fontId="16" fillId="0" borderId="0" xfId="0" applyFont="1" applyAlignment="1">
      <alignment horizontal="center"/>
    </xf>
    <xf numFmtId="10" fontId="16" fillId="3" borderId="0" xfId="4" applyNumberFormat="1" applyFont="1" applyFill="1"/>
    <xf numFmtId="168" fontId="0" fillId="0" borderId="0" xfId="1" applyNumberFormat="1" applyFont="1"/>
    <xf numFmtId="170" fontId="16" fillId="0" borderId="0" xfId="0" applyNumberFormat="1" applyFont="1"/>
    <xf numFmtId="1" fontId="16" fillId="0" borderId="0" xfId="0" applyNumberFormat="1" applyFont="1"/>
    <xf numFmtId="0" fontId="20" fillId="0" borderId="0" xfId="0" applyFont="1" applyAlignment="1">
      <alignment horizontal="center"/>
    </xf>
    <xf numFmtId="2" fontId="15" fillId="0" borderId="0" xfId="0" applyNumberFormat="1" applyFont="1"/>
    <xf numFmtId="0" fontId="21" fillId="0" borderId="0" xfId="0" applyFont="1"/>
    <xf numFmtId="171" fontId="0" fillId="0" borderId="0" xfId="1" applyNumberFormat="1" applyFont="1"/>
    <xf numFmtId="171" fontId="0" fillId="0" borderId="0" xfId="1" applyNumberFormat="1" applyFont="1" applyAlignment="1">
      <alignment horizontal="center"/>
    </xf>
    <xf numFmtId="172" fontId="0" fillId="0" borderId="0" xfId="0" applyNumberFormat="1"/>
    <xf numFmtId="173" fontId="22" fillId="0" borderId="0" xfId="0" applyNumberFormat="1" applyFont="1"/>
    <xf numFmtId="174" fontId="0" fillId="0" borderId="0" xfId="1" applyNumberFormat="1" applyFont="1"/>
    <xf numFmtId="174" fontId="0" fillId="0" borderId="0" xfId="1" applyNumberFormat="1" applyFont="1" applyAlignment="1">
      <alignment horizontal="right"/>
    </xf>
    <xf numFmtId="167" fontId="23" fillId="0" borderId="0" xfId="1" applyNumberFormat="1" applyFont="1"/>
    <xf numFmtId="0" fontId="21" fillId="0" borderId="8" xfId="0" applyFont="1" applyBorder="1"/>
    <xf numFmtId="0" fontId="0" fillId="0" borderId="8" xfId="0" applyBorder="1"/>
    <xf numFmtId="0" fontId="24" fillId="0" borderId="0" xfId="0" applyFont="1"/>
    <xf numFmtId="43" fontId="24" fillId="0" borderId="0" xfId="0" applyNumberFormat="1" applyFont="1"/>
    <xf numFmtId="174" fontId="24" fillId="0" borderId="0" xfId="0" applyNumberFormat="1" applyFont="1"/>
    <xf numFmtId="0" fontId="25" fillId="4" borderId="0" xfId="0" applyFont="1" applyFill="1" applyAlignment="1">
      <alignment horizontal="centerContinuous"/>
    </xf>
    <xf numFmtId="0" fontId="25" fillId="5" borderId="0" xfId="0" applyFont="1" applyFill="1" applyAlignment="1">
      <alignment horizontal="centerContinuous"/>
    </xf>
    <xf numFmtId="0" fontId="25" fillId="5" borderId="0" xfId="0" applyFont="1" applyFill="1" applyAlignment="1">
      <alignment horizontal="left"/>
    </xf>
    <xf numFmtId="0" fontId="25" fillId="0" borderId="0" xfId="0" applyFont="1" applyAlignment="1">
      <alignment horizontal="left"/>
    </xf>
    <xf numFmtId="0" fontId="17" fillId="0" borderId="0" xfId="0" applyFont="1" applyAlignment="1">
      <alignment horizontal="centerContinuous"/>
    </xf>
    <xf numFmtId="0" fontId="0" fillId="0" borderId="0" xfId="0" applyAlignment="1">
      <alignment horizontal="center" wrapText="1"/>
    </xf>
    <xf numFmtId="175" fontId="0" fillId="0" borderId="0" xfId="0" applyNumberFormat="1"/>
    <xf numFmtId="170" fontId="13" fillId="0" borderId="0" xfId="0" applyNumberFormat="1" applyFont="1" applyAlignment="1">
      <alignment horizontal="right" wrapText="1"/>
    </xf>
    <xf numFmtId="4" fontId="0" fillId="0" borderId="0" xfId="0" applyNumberFormat="1"/>
    <xf numFmtId="43" fontId="0" fillId="0" borderId="0" xfId="0" applyNumberFormat="1"/>
    <xf numFmtId="167" fontId="0" fillId="0" borderId="0" xfId="1" applyNumberFormat="1" applyFont="1"/>
    <xf numFmtId="9" fontId="19" fillId="0" borderId="0" xfId="0" applyNumberFormat="1" applyFont="1"/>
    <xf numFmtId="9" fontId="0" fillId="0" borderId="0" xfId="0" applyNumberFormat="1"/>
    <xf numFmtId="0" fontId="16" fillId="6" borderId="0" xfId="0" applyFont="1" applyFill="1" applyAlignment="1">
      <alignment horizontal="center" wrapText="1"/>
    </xf>
    <xf numFmtId="43" fontId="6" fillId="0" borderId="0" xfId="4" applyNumberFormat="1" applyFont="1"/>
    <xf numFmtId="43" fontId="0" fillId="0" borderId="0" xfId="4" applyNumberFormat="1" applyFont="1"/>
    <xf numFmtId="0" fontId="29" fillId="0" borderId="0" xfId="0" applyFont="1"/>
    <xf numFmtId="176" fontId="16" fillId="0" borderId="0" xfId="2" applyNumberFormat="1" applyFont="1" applyAlignment="1">
      <alignment horizontal="center"/>
    </xf>
    <xf numFmtId="174" fontId="6" fillId="0" borderId="0" xfId="4" applyNumberFormat="1" applyFont="1"/>
    <xf numFmtId="174" fontId="0" fillId="0" borderId="0" xfId="4" applyNumberFormat="1" applyFont="1"/>
    <xf numFmtId="0" fontId="16" fillId="0" borderId="0" xfId="0" applyFont="1" applyAlignment="1">
      <alignment wrapText="1"/>
    </xf>
    <xf numFmtId="176" fontId="0" fillId="0" borderId="0" xfId="0" applyNumberFormat="1"/>
    <xf numFmtId="177" fontId="0" fillId="0" borderId="0" xfId="0" applyNumberFormat="1"/>
    <xf numFmtId="0" fontId="16" fillId="0" borderId="0" xfId="0" applyFont="1" applyAlignment="1">
      <alignment horizontal="center" wrapText="1"/>
    </xf>
    <xf numFmtId="0" fontId="16" fillId="0" borderId="0" xfId="0" applyFont="1" applyBorder="1" applyAlignment="1">
      <alignment horizontal="center"/>
    </xf>
    <xf numFmtId="177" fontId="16" fillId="0" borderId="0" xfId="0" applyNumberFormat="1" applyFont="1" applyBorder="1" applyAlignment="1">
      <alignment horizontal="center"/>
    </xf>
    <xf numFmtId="0" fontId="16" fillId="0" borderId="0" xfId="0" applyFont="1" applyBorder="1" applyAlignment="1">
      <alignment horizontal="center" wrapText="1"/>
    </xf>
    <xf numFmtId="176" fontId="0" fillId="0" borderId="0" xfId="0" applyNumberFormat="1" applyBorder="1"/>
    <xf numFmtId="177" fontId="0" fillId="0" borderId="0" xfId="0" applyNumberFormat="1" applyBorder="1"/>
    <xf numFmtId="0" fontId="16" fillId="0" borderId="8" xfId="0" applyFont="1" applyBorder="1" applyAlignment="1">
      <alignment horizontal="center" wrapText="1"/>
    </xf>
    <xf numFmtId="177" fontId="16" fillId="0" borderId="8" xfId="0" applyNumberFormat="1" applyFont="1" applyBorder="1" applyAlignment="1">
      <alignment horizontal="center" wrapText="1"/>
    </xf>
    <xf numFmtId="0" fontId="16" fillId="0" borderId="0" xfId="0" applyFont="1" applyFill="1" applyBorder="1" applyAlignment="1">
      <alignment horizontal="center"/>
    </xf>
    <xf numFmtId="176" fontId="0" fillId="0" borderId="10" xfId="0" applyNumberFormat="1" applyBorder="1"/>
    <xf numFmtId="10" fontId="34" fillId="0" borderId="18" xfId="0" applyNumberFormat="1" applyFont="1" applyBorder="1" applyAlignment="1">
      <alignment horizontal="center"/>
    </xf>
    <xf numFmtId="0" fontId="34" fillId="0" borderId="18" xfId="0" applyFont="1" applyBorder="1" applyAlignment="1">
      <alignment horizontal="center"/>
    </xf>
    <xf numFmtId="0" fontId="34" fillId="0" borderId="10" xfId="0" applyFont="1" applyBorder="1" applyAlignment="1">
      <alignment horizontal="center"/>
    </xf>
    <xf numFmtId="0" fontId="34" fillId="0" borderId="13" xfId="0" applyFont="1" applyBorder="1" applyAlignment="1">
      <alignment horizontal="center"/>
    </xf>
    <xf numFmtId="169" fontId="34" fillId="0" borderId="15" xfId="0" applyNumberFormat="1" applyFont="1" applyBorder="1" applyAlignment="1">
      <alignment horizontal="center"/>
    </xf>
    <xf numFmtId="10" fontId="34" fillId="0" borderId="15" xfId="4" applyNumberFormat="1" applyFont="1" applyBorder="1" applyAlignment="1">
      <alignment horizontal="center"/>
    </xf>
    <xf numFmtId="178" fontId="34" fillId="0" borderId="15" xfId="0" applyNumberFormat="1" applyFont="1" applyBorder="1" applyAlignment="1">
      <alignment horizontal="center"/>
    </xf>
    <xf numFmtId="0" fontId="35" fillId="0" borderId="0" xfId="0" applyFont="1" applyAlignment="1">
      <alignment horizontal="center"/>
    </xf>
    <xf numFmtId="1" fontId="34" fillId="0" borderId="20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9" fillId="0" borderId="0" xfId="0" applyFont="1" applyAlignment="1">
      <alignment horizontal="center"/>
    </xf>
    <xf numFmtId="0" fontId="0" fillId="7" borderId="17" xfId="0" applyFont="1" applyFill="1" applyBorder="1"/>
    <xf numFmtId="0" fontId="0" fillId="7" borderId="0" xfId="0" applyFont="1" applyFill="1" applyBorder="1" applyAlignment="1">
      <alignment horizontal="center"/>
    </xf>
    <xf numFmtId="0" fontId="0" fillId="7" borderId="16" xfId="0" applyFont="1" applyFill="1" applyBorder="1"/>
    <xf numFmtId="0" fontId="0" fillId="7" borderId="8" xfId="0" applyFont="1" applyFill="1" applyBorder="1" applyAlignment="1">
      <alignment horizontal="center"/>
    </xf>
    <xf numFmtId="0" fontId="27" fillId="7" borderId="29" xfId="0" applyFont="1" applyFill="1" applyBorder="1" applyAlignment="1">
      <alignment horizontal="center"/>
    </xf>
    <xf numFmtId="0" fontId="27" fillId="7" borderId="30" xfId="0" applyFont="1" applyFill="1" applyBorder="1" applyAlignment="1">
      <alignment horizontal="center"/>
    </xf>
    <xf numFmtId="0" fontId="27" fillId="7" borderId="31" xfId="0" applyFont="1" applyFill="1" applyBorder="1" applyAlignment="1">
      <alignment horizontal="center"/>
    </xf>
    <xf numFmtId="0" fontId="16" fillId="8" borderId="29" xfId="0" applyFont="1" applyFill="1" applyBorder="1" applyAlignment="1">
      <alignment horizontal="center"/>
    </xf>
    <xf numFmtId="0" fontId="16" fillId="8" borderId="30" xfId="0" applyFont="1" applyFill="1" applyBorder="1" applyAlignment="1">
      <alignment horizontal="center"/>
    </xf>
    <xf numFmtId="0" fontId="16" fillId="8" borderId="3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0" fontId="3" fillId="0" borderId="24" xfId="4" applyNumberFormat="1" applyFont="1" applyBorder="1"/>
    <xf numFmtId="10" fontId="3" fillId="0" borderId="16" xfId="4" applyNumberFormat="1" applyFont="1" applyBorder="1"/>
    <xf numFmtId="10" fontId="6" fillId="0" borderId="0" xfId="4" applyNumberFormat="1" applyFont="1" applyAlignment="1">
      <alignment wrapText="1"/>
    </xf>
    <xf numFmtId="10" fontId="3" fillId="0" borderId="0" xfId="4" applyNumberFormat="1" applyFont="1"/>
    <xf numFmtId="10" fontId="3" fillId="0" borderId="17" xfId="4" applyNumberFormat="1" applyFont="1" applyBorder="1"/>
    <xf numFmtId="0" fontId="34" fillId="0" borderId="24" xfId="0" applyFont="1" applyBorder="1" applyAlignment="1">
      <alignment horizontal="center"/>
    </xf>
    <xf numFmtId="10" fontId="34" fillId="0" borderId="17" xfId="4" applyNumberFormat="1" applyFont="1" applyBorder="1" applyAlignment="1">
      <alignment horizontal="center"/>
    </xf>
    <xf numFmtId="0" fontId="34" fillId="0" borderId="16" xfId="0" applyFont="1" applyBorder="1" applyAlignment="1">
      <alignment horizontal="center"/>
    </xf>
    <xf numFmtId="0" fontId="34" fillId="0" borderId="17" xfId="0" applyFont="1" applyBorder="1" applyAlignment="1">
      <alignment horizontal="center"/>
    </xf>
    <xf numFmtId="176" fontId="0" fillId="7" borderId="0" xfId="0" applyNumberFormat="1" applyFill="1" applyAlignment="1">
      <alignment horizontal="center"/>
    </xf>
    <xf numFmtId="0" fontId="0" fillId="8" borderId="0" xfId="0" applyFill="1"/>
    <xf numFmtId="0" fontId="34" fillId="0" borderId="0" xfId="0" applyFont="1" applyBorder="1" applyAlignment="1">
      <alignment horizontal="center"/>
    </xf>
    <xf numFmtId="0" fontId="35" fillId="0" borderId="13" xfId="0" applyFont="1" applyFill="1" applyBorder="1" applyAlignment="1">
      <alignment horizontal="center"/>
    </xf>
    <xf numFmtId="10" fontId="34" fillId="0" borderId="15" xfId="0" applyNumberFormat="1" applyFont="1" applyFill="1" applyBorder="1" applyAlignment="1">
      <alignment horizontal="center"/>
    </xf>
    <xf numFmtId="179" fontId="0" fillId="0" borderId="0" xfId="4" applyNumberFormat="1" applyFont="1"/>
    <xf numFmtId="0" fontId="40" fillId="0" borderId="19" xfId="0" applyFont="1" applyBorder="1" applyAlignment="1">
      <alignment horizontal="center"/>
    </xf>
    <xf numFmtId="0" fontId="40" fillId="0" borderId="14" xfId="0" applyFont="1" applyBorder="1" applyAlignment="1">
      <alignment horizontal="center"/>
    </xf>
    <xf numFmtId="177" fontId="3" fillId="0" borderId="0" xfId="4" applyNumberFormat="1" applyFont="1" applyBorder="1"/>
    <xf numFmtId="0" fontId="0" fillId="9" borderId="0" xfId="0" applyFill="1"/>
    <xf numFmtId="14" fontId="0" fillId="6" borderId="0" xfId="0" applyNumberFormat="1" applyFill="1"/>
    <xf numFmtId="0" fontId="0" fillId="6" borderId="0" xfId="0" applyFill="1"/>
    <xf numFmtId="0" fontId="16" fillId="6" borderId="0" xfId="0" applyFont="1" applyFill="1"/>
    <xf numFmtId="44" fontId="0" fillId="0" borderId="0" xfId="2" applyFont="1"/>
    <xf numFmtId="0" fontId="0" fillId="0" borderId="0" xfId="0"/>
    <xf numFmtId="10" fontId="0" fillId="0" borderId="0" xfId="4" applyNumberFormat="1" applyFont="1"/>
    <xf numFmtId="10" fontId="1" fillId="0" borderId="24" xfId="4" applyNumberFormat="1" applyFont="1" applyBorder="1"/>
    <xf numFmtId="10" fontId="1" fillId="0" borderId="16" xfId="4" applyNumberFormat="1" applyFont="1" applyBorder="1"/>
    <xf numFmtId="10" fontId="1" fillId="0" borderId="25" xfId="4" applyNumberFormat="1" applyFont="1" applyBorder="1" applyAlignment="1">
      <alignment wrapText="1"/>
    </xf>
    <xf numFmtId="0" fontId="34" fillId="6" borderId="19" xfId="0" applyFont="1" applyFill="1" applyBorder="1" applyAlignment="1">
      <alignment horizontal="center"/>
    </xf>
    <xf numFmtId="10" fontId="3" fillId="0" borderId="0" xfId="4" applyNumberFormat="1" applyFont="1" applyBorder="1"/>
    <xf numFmtId="0" fontId="6" fillId="0" borderId="0" xfId="0" applyFont="1" applyFill="1" applyBorder="1"/>
    <xf numFmtId="10" fontId="1" fillId="0" borderId="17" xfId="4" applyNumberFormat="1" applyFont="1" applyBorder="1"/>
    <xf numFmtId="0" fontId="1" fillId="0" borderId="0" xfId="0" applyFont="1"/>
    <xf numFmtId="10" fontId="1" fillId="0" borderId="0" xfId="4" applyNumberFormat="1" applyFont="1"/>
    <xf numFmtId="0" fontId="7" fillId="0" borderId="1" xfId="3" applyFont="1" applyFill="1" applyBorder="1" applyAlignment="1">
      <alignment horizontal="centerContinuous"/>
    </xf>
    <xf numFmtId="0" fontId="10" fillId="0" borderId="2" xfId="3" applyFont="1" applyFill="1" applyBorder="1" applyAlignment="1">
      <alignment horizontal="centerContinuous"/>
    </xf>
    <xf numFmtId="0" fontId="16" fillId="0" borderId="2" xfId="0" applyFont="1" applyFill="1" applyBorder="1" applyAlignment="1">
      <alignment horizontal="center"/>
    </xf>
    <xf numFmtId="14" fontId="10" fillId="0" borderId="3" xfId="3" applyNumberFormat="1" applyFont="1" applyFill="1" applyBorder="1" applyAlignment="1">
      <alignment horizontal="centerContinuous"/>
    </xf>
    <xf numFmtId="0" fontId="0" fillId="0" borderId="22" xfId="0" applyFont="1" applyFill="1" applyBorder="1"/>
    <xf numFmtId="0" fontId="36" fillId="0" borderId="0" xfId="3" applyFont="1" applyFill="1" applyBorder="1" applyAlignment="1">
      <alignment horizontal="centerContinuous"/>
    </xf>
    <xf numFmtId="0" fontId="17" fillId="0" borderId="0" xfId="3" applyFont="1" applyFill="1" applyBorder="1" applyAlignment="1">
      <alignment horizontal="centerContinuous"/>
    </xf>
    <xf numFmtId="0" fontId="36" fillId="0" borderId="9" xfId="3" applyFont="1" applyFill="1" applyBorder="1" applyAlignment="1">
      <alignment horizontal="centerContinuous"/>
    </xf>
    <xf numFmtId="0" fontId="36" fillId="0" borderId="22" xfId="3" applyFont="1" applyFill="1" applyBorder="1" applyAlignment="1">
      <alignment horizontal="centerContinuous"/>
    </xf>
    <xf numFmtId="0" fontId="36" fillId="0" borderId="0" xfId="3" applyFont="1" applyFill="1" applyBorder="1" applyAlignment="1">
      <alignment horizontal="center"/>
    </xf>
    <xf numFmtId="0" fontId="36" fillId="0" borderId="9" xfId="3" applyFont="1" applyFill="1" applyBorder="1" applyAlignment="1">
      <alignment horizontal="center"/>
    </xf>
    <xf numFmtId="0" fontId="0" fillId="0" borderId="22" xfId="0" applyFill="1" applyBorder="1"/>
    <xf numFmtId="14" fontId="0" fillId="0" borderId="0" xfId="0" applyNumberFormat="1" applyFill="1" applyBorder="1"/>
    <xf numFmtId="168" fontId="0" fillId="0" borderId="0" xfId="1" applyNumberFormat="1" applyFont="1" applyFill="1" applyBorder="1"/>
    <xf numFmtId="5" fontId="5" fillId="0" borderId="0" xfId="1" quotePrefix="1" applyNumberFormat="1" applyFill="1" applyBorder="1" applyAlignment="1">
      <alignment horizontal="center"/>
    </xf>
    <xf numFmtId="5" fontId="5" fillId="0" borderId="9" xfId="1" quotePrefix="1" applyNumberFormat="1" applyFill="1" applyBorder="1" applyAlignment="1">
      <alignment horizontal="center"/>
    </xf>
    <xf numFmtId="0" fontId="1" fillId="0" borderId="22" xfId="0" applyFont="1" applyFill="1" applyBorder="1"/>
    <xf numFmtId="0" fontId="1" fillId="0" borderId="4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15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2" fontId="0" fillId="0" borderId="15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"/>
    </xf>
    <xf numFmtId="2" fontId="0" fillId="0" borderId="9" xfId="0" applyNumberFormat="1" applyFont="1" applyFill="1" applyBorder="1" applyAlignment="1">
      <alignment horizontal="center"/>
    </xf>
    <xf numFmtId="2" fontId="0" fillId="0" borderId="36" xfId="0" applyNumberFormat="1" applyFont="1" applyFill="1" applyBorder="1" applyAlignment="1">
      <alignment horizontal="center"/>
    </xf>
    <xf numFmtId="2" fontId="0" fillId="0" borderId="5" xfId="0" applyNumberFormat="1" applyFont="1" applyFill="1" applyBorder="1" applyAlignment="1">
      <alignment horizontal="center"/>
    </xf>
    <xf numFmtId="2" fontId="0" fillId="0" borderId="6" xfId="0" applyNumberFormat="1" applyFont="1" applyFill="1" applyBorder="1" applyAlignment="1">
      <alignment horizontal="center"/>
    </xf>
    <xf numFmtId="0" fontId="0" fillId="0" borderId="1" xfId="0" applyFont="1" applyFill="1" applyBorder="1"/>
    <xf numFmtId="0" fontId="0" fillId="0" borderId="21" xfId="0" applyFont="1" applyFill="1" applyBorder="1" applyAlignment="1">
      <alignment wrapText="1"/>
    </xf>
    <xf numFmtId="0" fontId="0" fillId="0" borderId="22" xfId="0" applyFont="1" applyFill="1" applyBorder="1" applyAlignment="1">
      <alignment horizontal="left"/>
    </xf>
    <xf numFmtId="0" fontId="0" fillId="0" borderId="4" xfId="0" applyFont="1" applyFill="1" applyBorder="1"/>
    <xf numFmtId="43" fontId="10" fillId="0" borderId="2" xfId="1" applyFont="1" applyFill="1" applyBorder="1" applyAlignment="1">
      <alignment horizontal="centerContinuous"/>
    </xf>
    <xf numFmtId="43" fontId="36" fillId="0" borderId="0" xfId="1" applyFont="1" applyFill="1" applyBorder="1" applyAlignment="1">
      <alignment horizontal="centerContinuous"/>
    </xf>
    <xf numFmtId="43" fontId="0" fillId="0" borderId="0" xfId="1" applyFont="1" applyFill="1" applyBorder="1"/>
    <xf numFmtId="43" fontId="0" fillId="0" borderId="0" xfId="1" applyFont="1" applyFill="1"/>
    <xf numFmtId="43" fontId="0" fillId="0" borderId="0" xfId="1" applyFont="1"/>
    <xf numFmtId="177" fontId="10" fillId="0" borderId="2" xfId="2" applyNumberFormat="1" applyFont="1" applyFill="1" applyBorder="1" applyAlignment="1">
      <alignment horizontal="centerContinuous"/>
    </xf>
    <xf numFmtId="177" fontId="17" fillId="0" borderId="0" xfId="2" applyNumberFormat="1" applyFont="1" applyFill="1" applyBorder="1" applyAlignment="1">
      <alignment horizontal="centerContinuous"/>
    </xf>
    <xf numFmtId="177" fontId="36" fillId="0" borderId="0" xfId="2" applyNumberFormat="1" applyFont="1" applyFill="1" applyBorder="1" applyAlignment="1">
      <alignment horizontal="centerContinuous"/>
    </xf>
    <xf numFmtId="177" fontId="0" fillId="0" borderId="0" xfId="2" applyNumberFormat="1" applyFont="1" applyFill="1" applyBorder="1"/>
    <xf numFmtId="177" fontId="0" fillId="0" borderId="0" xfId="2" applyNumberFormat="1" applyFont="1" applyFill="1"/>
    <xf numFmtId="177" fontId="0" fillId="0" borderId="0" xfId="2" applyNumberFormat="1" applyFont="1"/>
    <xf numFmtId="177" fontId="16" fillId="0" borderId="0" xfId="2" applyNumberFormat="1" applyFont="1" applyBorder="1" applyAlignment="1">
      <alignment horizontal="center"/>
    </xf>
    <xf numFmtId="177" fontId="16" fillId="0" borderId="10" xfId="2" applyNumberFormat="1" applyFont="1" applyBorder="1" applyAlignment="1">
      <alignment horizontal="center"/>
    </xf>
    <xf numFmtId="177" fontId="16" fillId="0" borderId="8" xfId="2" applyNumberFormat="1" applyFont="1" applyBorder="1" applyAlignment="1">
      <alignment horizontal="center" wrapText="1"/>
    </xf>
    <xf numFmtId="177" fontId="16" fillId="0" borderId="13" xfId="2" applyNumberFormat="1" applyFont="1" applyBorder="1" applyAlignment="1">
      <alignment horizontal="center" wrapText="1"/>
    </xf>
    <xf numFmtId="177" fontId="31" fillId="0" borderId="17" xfId="0" applyNumberFormat="1" applyFont="1" applyBorder="1" applyAlignment="1">
      <alignment horizontal="center"/>
    </xf>
    <xf numFmtId="177" fontId="31" fillId="0" borderId="0" xfId="0" applyNumberFormat="1" applyFont="1" applyBorder="1" applyAlignment="1">
      <alignment horizontal="center"/>
    </xf>
    <xf numFmtId="177" fontId="31" fillId="0" borderId="10" xfId="0" applyNumberFormat="1" applyFont="1" applyBorder="1" applyAlignment="1">
      <alignment horizontal="center"/>
    </xf>
    <xf numFmtId="177" fontId="16" fillId="0" borderId="16" xfId="0" applyNumberFormat="1" applyFont="1" applyBorder="1" applyAlignment="1">
      <alignment horizontal="center" wrapText="1"/>
    </xf>
    <xf numFmtId="177" fontId="16" fillId="0" borderId="13" xfId="0" applyNumberFormat="1" applyFont="1" applyBorder="1" applyAlignment="1">
      <alignment horizontal="center" wrapText="1"/>
    </xf>
    <xf numFmtId="177" fontId="16" fillId="0" borderId="17" xfId="0" applyNumberFormat="1" applyFont="1" applyBorder="1" applyAlignment="1">
      <alignment horizontal="center"/>
    </xf>
    <xf numFmtId="177" fontId="16" fillId="0" borderId="10" xfId="0" applyNumberFormat="1" applyFont="1" applyBorder="1" applyAlignment="1">
      <alignment horizontal="center"/>
    </xf>
    <xf numFmtId="177" fontId="16" fillId="0" borderId="17" xfId="0" applyNumberFormat="1" applyFont="1" applyFill="1" applyBorder="1" applyAlignment="1">
      <alignment horizontal="center"/>
    </xf>
    <xf numFmtId="177" fontId="16" fillId="0" borderId="0" xfId="0" applyNumberFormat="1" applyFont="1" applyFill="1" applyBorder="1" applyAlignment="1">
      <alignment horizontal="center"/>
    </xf>
    <xf numFmtId="177" fontId="16" fillId="0" borderId="0" xfId="0" applyNumberFormat="1" applyFont="1" applyFill="1" applyAlignment="1">
      <alignment horizontal="center"/>
    </xf>
    <xf numFmtId="177" fontId="16" fillId="0" borderId="16" xfId="0" applyNumberFormat="1" applyFont="1" applyFill="1" applyBorder="1" applyAlignment="1">
      <alignment horizontal="center" wrapText="1"/>
    </xf>
    <xf numFmtId="177" fontId="16" fillId="0" borderId="8" xfId="0" applyNumberFormat="1" applyFont="1" applyFill="1" applyBorder="1" applyAlignment="1">
      <alignment horizontal="center" wrapText="1"/>
    </xf>
    <xf numFmtId="177" fontId="16" fillId="0" borderId="10" xfId="0" applyNumberFormat="1" applyFont="1" applyFill="1" applyBorder="1" applyAlignment="1">
      <alignment horizontal="center"/>
    </xf>
    <xf numFmtId="177" fontId="10" fillId="0" borderId="25" xfId="0" applyNumberFormat="1" applyFont="1" applyBorder="1" applyAlignment="1">
      <alignment horizontal="center"/>
    </xf>
    <xf numFmtId="177" fontId="10" fillId="0" borderId="34" xfId="0" applyNumberFormat="1" applyFont="1" applyBorder="1" applyAlignment="1">
      <alignment horizontal="center"/>
    </xf>
    <xf numFmtId="177" fontId="16" fillId="0" borderId="25" xfId="0" applyNumberFormat="1" applyFont="1" applyBorder="1" applyAlignment="1">
      <alignment horizontal="center" wrapText="1"/>
    </xf>
    <xf numFmtId="177" fontId="16" fillId="0" borderId="34" xfId="0" applyNumberFormat="1" applyFont="1" applyBorder="1" applyAlignment="1">
      <alignment horizontal="center" wrapText="1"/>
    </xf>
    <xf numFmtId="10" fontId="1" fillId="6" borderId="0" xfId="4" applyNumberFormat="1" applyFont="1" applyFill="1" applyBorder="1" applyAlignment="1">
      <alignment horizontal="center"/>
    </xf>
    <xf numFmtId="10" fontId="1" fillId="6" borderId="0" xfId="0" applyNumberFormat="1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180" fontId="1" fillId="6" borderId="0" xfId="2" applyNumberFormat="1" applyFont="1" applyFill="1" applyBorder="1" applyAlignment="1">
      <alignment horizontal="center"/>
    </xf>
    <xf numFmtId="180" fontId="1" fillId="6" borderId="9" xfId="2" applyNumberFormat="1" applyFont="1" applyFill="1" applyBorder="1" applyAlignment="1">
      <alignment horizontal="center"/>
    </xf>
    <xf numFmtId="0" fontId="1" fillId="0" borderId="2" xfId="0" applyFont="1" applyFill="1" applyBorder="1"/>
    <xf numFmtId="0" fontId="1" fillId="0" borderId="35" xfId="0" applyFont="1" applyFill="1" applyBorder="1" applyAlignment="1">
      <alignment horizontal="center"/>
    </xf>
    <xf numFmtId="0" fontId="1" fillId="0" borderId="8" xfId="0" applyFont="1" applyFill="1" applyBorder="1" applyAlignment="1">
      <alignment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168" fontId="9" fillId="2" borderId="2" xfId="1" applyNumberFormat="1" applyFont="1" applyFill="1" applyBorder="1"/>
    <xf numFmtId="168" fontId="10" fillId="2" borderId="5" xfId="1" applyNumberFormat="1" applyFont="1" applyFill="1" applyBorder="1" applyAlignment="1">
      <alignment horizontal="centerContinuous"/>
    </xf>
    <xf numFmtId="168" fontId="10" fillId="0" borderId="0" xfId="1" applyNumberFormat="1" applyFont="1" applyFill="1" applyBorder="1" applyAlignment="1">
      <alignment horizontal="centerContinuous"/>
    </xf>
    <xf numFmtId="168" fontId="10" fillId="2" borderId="0" xfId="1" applyNumberFormat="1" applyFont="1" applyFill="1" applyBorder="1" applyAlignment="1">
      <alignment horizontal="centerContinuous"/>
    </xf>
    <xf numFmtId="168" fontId="12" fillId="0" borderId="0" xfId="1" applyNumberFormat="1" applyFont="1" applyBorder="1" applyAlignment="1">
      <alignment horizontal="centerContinuous"/>
    </xf>
    <xf numFmtId="0" fontId="1" fillId="0" borderId="18" xfId="0" applyFont="1" applyBorder="1" applyAlignment="1">
      <alignment horizontal="center"/>
    </xf>
    <xf numFmtId="0" fontId="34" fillId="0" borderId="17" xfId="0" applyFont="1" applyFill="1" applyBorder="1" applyAlignment="1">
      <alignment horizontal="center"/>
    </xf>
    <xf numFmtId="0" fontId="40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5" fontId="0" fillId="0" borderId="0" xfId="0" applyNumberFormat="1"/>
    <xf numFmtId="18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9" fontId="0" fillId="0" borderId="0" xfId="4" applyNumberFormat="1" applyFont="1"/>
    <xf numFmtId="10" fontId="0" fillId="6" borderId="0" xfId="4" applyNumberFormat="1" applyFont="1" applyFill="1" applyAlignment="1">
      <alignment horizontal="center"/>
    </xf>
    <xf numFmtId="173" fontId="0" fillId="0" borderId="0" xfId="0" applyNumberFormat="1" applyAlignment="1">
      <alignment horizontal="center"/>
    </xf>
    <xf numFmtId="173" fontId="0" fillId="0" borderId="0" xfId="0" applyNumberFormat="1"/>
    <xf numFmtId="2" fontId="0" fillId="6" borderId="0" xfId="4" applyNumberFormat="1" applyFont="1" applyFill="1" applyAlignment="1">
      <alignment horizontal="center"/>
    </xf>
    <xf numFmtId="183" fontId="0" fillId="0" borderId="0" xfId="0" applyNumberFormat="1" applyBorder="1"/>
    <xf numFmtId="2" fontId="35" fillId="0" borderId="19" xfId="0" applyNumberFormat="1" applyFont="1" applyBorder="1" applyAlignment="1">
      <alignment horizontal="center"/>
    </xf>
    <xf numFmtId="2" fontId="35" fillId="0" borderId="15" xfId="0" applyNumberFormat="1" applyFont="1" applyBorder="1" applyAlignment="1">
      <alignment horizontal="center"/>
    </xf>
    <xf numFmtId="169" fontId="35" fillId="0" borderId="15" xfId="4" applyNumberFormat="1" applyFont="1" applyBorder="1" applyAlignment="1">
      <alignment horizontal="center"/>
    </xf>
    <xf numFmtId="169" fontId="35" fillId="0" borderId="14" xfId="4" applyNumberFormat="1" applyFont="1" applyBorder="1" applyAlignment="1">
      <alignment horizontal="center"/>
    </xf>
    <xf numFmtId="184" fontId="34" fillId="0" borderId="15" xfId="0" applyNumberFormat="1" applyFont="1" applyBorder="1" applyAlignment="1">
      <alignment horizontal="center"/>
    </xf>
    <xf numFmtId="169" fontId="34" fillId="0" borderId="0" xfId="4" applyNumberFormat="1" applyFont="1" applyFill="1" applyBorder="1" applyAlignment="1">
      <alignment horizontal="center"/>
    </xf>
    <xf numFmtId="178" fontId="34" fillId="0" borderId="0" xfId="0" applyNumberFormat="1" applyFont="1" applyBorder="1" applyAlignment="1">
      <alignment horizontal="center"/>
    </xf>
    <xf numFmtId="178" fontId="34" fillId="0" borderId="14" xfId="0" applyNumberFormat="1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17" xfId="0" applyFont="1" applyBorder="1" applyAlignment="1">
      <alignment horizontal="right"/>
    </xf>
    <xf numFmtId="10" fontId="1" fillId="0" borderId="0" xfId="4" applyNumberFormat="1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10" fontId="1" fillId="0" borderId="8" xfId="4" applyNumberFormat="1" applyFont="1" applyBorder="1" applyAlignment="1">
      <alignment horizontal="right"/>
    </xf>
    <xf numFmtId="10" fontId="1" fillId="0" borderId="0" xfId="4" applyNumberFormat="1" applyFont="1" applyAlignment="1">
      <alignment horizontal="right"/>
    </xf>
    <xf numFmtId="2" fontId="1" fillId="6" borderId="0" xfId="0" applyNumberFormat="1" applyFont="1" applyFill="1" applyBorder="1" applyAlignment="1">
      <alignment horizontal="center"/>
    </xf>
    <xf numFmtId="10" fontId="35" fillId="10" borderId="0" xfId="4" applyNumberFormat="1" applyFont="1" applyFill="1" applyAlignment="1">
      <alignment horizontal="center" vertical="center"/>
    </xf>
    <xf numFmtId="10" fontId="35" fillId="10" borderId="0" xfId="4" applyNumberFormat="1" applyFont="1" applyFill="1"/>
    <xf numFmtId="43" fontId="1" fillId="0" borderId="0" xfId="1" applyFont="1" applyBorder="1" applyAlignment="1">
      <alignment horizontal="right"/>
    </xf>
    <xf numFmtId="43" fontId="1" fillId="0" borderId="8" xfId="1" applyFont="1" applyBorder="1" applyAlignment="1">
      <alignment horizontal="right"/>
    </xf>
    <xf numFmtId="43" fontId="1" fillId="0" borderId="0" xfId="1" applyFont="1" applyAlignment="1">
      <alignment horizontal="right"/>
    </xf>
    <xf numFmtId="43" fontId="1" fillId="0" borderId="10" xfId="1" applyFont="1" applyBorder="1" applyAlignment="1">
      <alignment horizontal="right"/>
    </xf>
    <xf numFmtId="43" fontId="1" fillId="0" borderId="13" xfId="1" applyFont="1" applyBorder="1" applyAlignment="1">
      <alignment horizontal="right"/>
    </xf>
    <xf numFmtId="10" fontId="1" fillId="0" borderId="23" xfId="4" applyNumberFormat="1" applyFont="1" applyBorder="1"/>
    <xf numFmtId="177" fontId="0" fillId="0" borderId="0" xfId="1" applyNumberFormat="1" applyFont="1" applyBorder="1"/>
    <xf numFmtId="0" fontId="1" fillId="0" borderId="32" xfId="0" applyFont="1" applyBorder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167" fontId="26" fillId="0" borderId="0" xfId="1" applyNumberFormat="1" applyFont="1" applyFill="1"/>
    <xf numFmtId="168" fontId="26" fillId="0" borderId="0" xfId="1" quotePrefix="1" applyNumberFormat="1" applyFont="1" applyFill="1" applyAlignment="1">
      <alignment horizontal="left" indent="2"/>
    </xf>
    <xf numFmtId="168" fontId="26" fillId="0" borderId="0" xfId="1" quotePrefix="1" applyNumberFormat="1" applyFont="1" applyFill="1" applyAlignment="1">
      <alignment horizontal="center"/>
    </xf>
    <xf numFmtId="166" fontId="26" fillId="0" borderId="0" xfId="0" applyNumberFormat="1" applyFont="1" applyFill="1" applyAlignment="1">
      <alignment horizontal="center"/>
    </xf>
    <xf numFmtId="168" fontId="26" fillId="0" borderId="0" xfId="1" applyNumberFormat="1" applyFont="1" applyFill="1"/>
    <xf numFmtId="5" fontId="26" fillId="0" borderId="0" xfId="1" quotePrefix="1" applyNumberFormat="1" applyFont="1" applyFill="1" applyAlignment="1">
      <alignment horizontal="center"/>
    </xf>
    <xf numFmtId="5" fontId="26" fillId="0" borderId="0" xfId="1" applyNumberFormat="1" applyFont="1" applyFill="1" applyAlignment="1">
      <alignment horizontal="center"/>
    </xf>
    <xf numFmtId="0" fontId="26" fillId="0" borderId="0" xfId="0" applyFont="1"/>
    <xf numFmtId="181" fontId="26" fillId="0" borderId="0" xfId="0" applyNumberFormat="1" applyFont="1"/>
    <xf numFmtId="168" fontId="26" fillId="0" borderId="0" xfId="1" quotePrefix="1" applyNumberFormat="1" applyFont="1" applyFill="1" applyAlignment="1">
      <alignment horizontal="right"/>
    </xf>
    <xf numFmtId="167" fontId="26" fillId="0" borderId="0" xfId="1" quotePrefix="1" applyNumberFormat="1" applyFont="1" applyFill="1" applyAlignment="1">
      <alignment horizontal="right"/>
    </xf>
    <xf numFmtId="0" fontId="26" fillId="0" borderId="22" xfId="0" applyFont="1" applyFill="1" applyBorder="1"/>
    <xf numFmtId="0" fontId="26" fillId="0" borderId="0" xfId="0" applyFont="1" applyFill="1" applyBorder="1"/>
    <xf numFmtId="177" fontId="26" fillId="0" borderId="0" xfId="2" applyNumberFormat="1" applyFont="1" applyFill="1" applyBorder="1"/>
    <xf numFmtId="43" fontId="26" fillId="0" borderId="0" xfId="1" applyFont="1" applyFill="1" applyBorder="1"/>
    <xf numFmtId="14" fontId="26" fillId="0" borderId="0" xfId="0" applyNumberFormat="1" applyFont="1" applyFill="1" applyBorder="1"/>
    <xf numFmtId="0" fontId="26" fillId="0" borderId="0" xfId="0" applyFont="1" applyFill="1" applyBorder="1" applyAlignment="1">
      <alignment horizontal="center"/>
    </xf>
    <xf numFmtId="168" fontId="26" fillId="0" borderId="0" xfId="1" applyNumberFormat="1" applyFont="1" applyFill="1" applyBorder="1"/>
    <xf numFmtId="5" fontId="26" fillId="0" borderId="0" xfId="1" quotePrefix="1" applyNumberFormat="1" applyFont="1" applyFill="1" applyBorder="1" applyAlignment="1">
      <alignment horizontal="center"/>
    </xf>
    <xf numFmtId="5" fontId="26" fillId="0" borderId="9" xfId="1" quotePrefix="1" applyNumberFormat="1" applyFont="1" applyFill="1" applyBorder="1" applyAlignment="1">
      <alignment horizontal="center"/>
    </xf>
    <xf numFmtId="0" fontId="26" fillId="0" borderId="4" xfId="0" applyFont="1" applyFill="1" applyBorder="1"/>
    <xf numFmtId="0" fontId="26" fillId="0" borderId="5" xfId="0" applyFont="1" applyFill="1" applyBorder="1"/>
    <xf numFmtId="177" fontId="26" fillId="0" borderId="5" xfId="2" applyNumberFormat="1" applyFont="1" applyFill="1" applyBorder="1"/>
    <xf numFmtId="43" fontId="26" fillId="0" borderId="5" xfId="1" applyFont="1" applyFill="1" applyBorder="1"/>
    <xf numFmtId="14" fontId="26" fillId="0" borderId="5" xfId="0" applyNumberFormat="1" applyFont="1" applyFill="1" applyBorder="1"/>
    <xf numFmtId="0" fontId="26" fillId="0" borderId="5" xfId="0" applyFont="1" applyFill="1" applyBorder="1" applyAlignment="1">
      <alignment horizontal="center"/>
    </xf>
    <xf numFmtId="168" fontId="26" fillId="0" borderId="5" xfId="1" applyNumberFormat="1" applyFont="1" applyFill="1" applyBorder="1"/>
    <xf numFmtId="5" fontId="26" fillId="0" borderId="5" xfId="1" quotePrefix="1" applyNumberFormat="1" applyFont="1" applyFill="1" applyBorder="1" applyAlignment="1">
      <alignment horizontal="center"/>
    </xf>
    <xf numFmtId="5" fontId="26" fillId="0" borderId="6" xfId="1" quotePrefix="1" applyNumberFormat="1" applyFont="1" applyFill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" fillId="0" borderId="32" xfId="0" applyFont="1" applyFill="1" applyBorder="1"/>
    <xf numFmtId="177" fontId="39" fillId="0" borderId="0" xfId="0" applyNumberFormat="1" applyFont="1" applyBorder="1"/>
    <xf numFmtId="0" fontId="16" fillId="0" borderId="0" xfId="0" applyFont="1" applyBorder="1" applyAlignment="1">
      <alignment wrapText="1"/>
    </xf>
    <xf numFmtId="0" fontId="1" fillId="0" borderId="0" xfId="0" applyFont="1" applyFill="1" applyBorder="1"/>
    <xf numFmtId="0" fontId="1" fillId="0" borderId="32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center" wrapText="1"/>
    </xf>
    <xf numFmtId="10" fontId="1" fillId="0" borderId="8" xfId="0" applyNumberFormat="1" applyFont="1" applyBorder="1" applyAlignment="1">
      <alignment horizontal="right"/>
    </xf>
    <xf numFmtId="2" fontId="1" fillId="0" borderId="8" xfId="1" applyNumberFormat="1" applyFont="1" applyBorder="1" applyAlignment="1">
      <alignment horizontal="right"/>
    </xf>
    <xf numFmtId="2" fontId="1" fillId="0" borderId="13" xfId="1" applyNumberFormat="1" applyFont="1" applyBorder="1" applyAlignment="1">
      <alignment horizontal="right"/>
    </xf>
    <xf numFmtId="177" fontId="16" fillId="0" borderId="0" xfId="1" applyNumberFormat="1" applyFont="1" applyBorder="1" applyAlignment="1">
      <alignment horizontal="center"/>
    </xf>
    <xf numFmtId="177" fontId="16" fillId="0" borderId="38" xfId="1" applyNumberFormat="1" applyFont="1" applyBorder="1" applyAlignment="1">
      <alignment horizontal="center" wrapText="1"/>
    </xf>
    <xf numFmtId="177" fontId="16" fillId="0" borderId="34" xfId="1" applyNumberFormat="1" applyFont="1" applyBorder="1" applyAlignment="1">
      <alignment horizontal="center" wrapText="1"/>
    </xf>
    <xf numFmtId="177" fontId="16" fillId="0" borderId="0" xfId="1" applyNumberFormat="1" applyFont="1" applyBorder="1" applyAlignment="1">
      <alignment horizontal="center" wrapText="1"/>
    </xf>
    <xf numFmtId="177" fontId="16" fillId="0" borderId="16" xfId="1" applyNumberFormat="1" applyFont="1" applyBorder="1" applyAlignment="1">
      <alignment horizontal="center" wrapText="1"/>
    </xf>
    <xf numFmtId="10" fontId="2" fillId="0" borderId="0" xfId="4" applyNumberFormat="1" applyFont="1" applyBorder="1"/>
    <xf numFmtId="9" fontId="6" fillId="0" borderId="0" xfId="4" applyNumberFormat="1" applyFont="1" applyAlignment="1">
      <alignment horizontal="center" wrapText="1"/>
    </xf>
    <xf numFmtId="9" fontId="1" fillId="6" borderId="19" xfId="4" applyNumberFormat="1" applyFont="1" applyFill="1" applyBorder="1" applyAlignment="1">
      <alignment horizontal="center"/>
    </xf>
    <xf numFmtId="0" fontId="1" fillId="6" borderId="14" xfId="4" applyNumberFormat="1" applyFont="1" applyFill="1" applyBorder="1" applyAlignment="1">
      <alignment horizontal="center"/>
    </xf>
    <xf numFmtId="9" fontId="3" fillId="6" borderId="19" xfId="4" applyNumberFormat="1" applyFont="1" applyFill="1" applyBorder="1" applyAlignment="1">
      <alignment horizontal="center"/>
    </xf>
    <xf numFmtId="9" fontId="3" fillId="6" borderId="14" xfId="4" applyNumberFormat="1" applyFont="1" applyFill="1" applyBorder="1" applyAlignment="1">
      <alignment horizontal="center"/>
    </xf>
    <xf numFmtId="9" fontId="3" fillId="0" borderId="14" xfId="4" applyNumberFormat="1" applyFont="1" applyBorder="1" applyAlignment="1">
      <alignment horizontal="center"/>
    </xf>
    <xf numFmtId="9" fontId="3" fillId="0" borderId="0" xfId="4" applyNumberFormat="1" applyFont="1" applyAlignment="1">
      <alignment horizontal="center"/>
    </xf>
    <xf numFmtId="10" fontId="3" fillId="6" borderId="19" xfId="4" applyNumberFormat="1" applyFont="1" applyFill="1" applyBorder="1" applyAlignment="1">
      <alignment horizontal="center"/>
    </xf>
    <xf numFmtId="10" fontId="3" fillId="6" borderId="15" xfId="4" applyNumberFormat="1" applyFont="1" applyFill="1" applyBorder="1" applyAlignment="1">
      <alignment horizontal="center"/>
    </xf>
    <xf numFmtId="10" fontId="3" fillId="6" borderId="14" xfId="4" applyNumberFormat="1" applyFont="1" applyFill="1" applyBorder="1" applyAlignment="1">
      <alignment horizontal="center"/>
    </xf>
    <xf numFmtId="9" fontId="3" fillId="6" borderId="15" xfId="4" applyNumberFormat="1" applyFont="1" applyFill="1" applyBorder="1" applyAlignment="1">
      <alignment horizontal="center"/>
    </xf>
    <xf numFmtId="177" fontId="3" fillId="0" borderId="19" xfId="4" applyNumberFormat="1" applyFont="1" applyBorder="1" applyAlignment="1">
      <alignment horizontal="center"/>
    </xf>
    <xf numFmtId="177" fontId="3" fillId="0" borderId="15" xfId="4" applyNumberFormat="1" applyFont="1" applyBorder="1" applyAlignment="1">
      <alignment horizontal="center"/>
    </xf>
    <xf numFmtId="177" fontId="3" fillId="0" borderId="14" xfId="4" applyNumberFormat="1" applyFont="1" applyBorder="1" applyAlignment="1">
      <alignment horizontal="center"/>
    </xf>
    <xf numFmtId="0" fontId="3" fillId="6" borderId="19" xfId="4" applyNumberFormat="1" applyFont="1" applyFill="1" applyBorder="1" applyAlignment="1">
      <alignment horizontal="center"/>
    </xf>
    <xf numFmtId="0" fontId="3" fillId="6" borderId="15" xfId="4" applyNumberFormat="1" applyFont="1" applyFill="1" applyBorder="1" applyAlignment="1">
      <alignment horizontal="center"/>
    </xf>
    <xf numFmtId="10" fontId="3" fillId="0" borderId="19" xfId="4" applyNumberFormat="1" applyFont="1" applyFill="1" applyBorder="1" applyAlignment="1">
      <alignment horizontal="center"/>
    </xf>
    <xf numFmtId="10" fontId="3" fillId="0" borderId="14" xfId="4" applyNumberFormat="1" applyFont="1" applyFill="1" applyBorder="1" applyAlignment="1">
      <alignment horizontal="center"/>
    </xf>
    <xf numFmtId="9" fontId="3" fillId="0" borderId="19" xfId="4" applyNumberFormat="1" applyFont="1" applyBorder="1" applyAlignment="1">
      <alignment horizontal="center"/>
    </xf>
    <xf numFmtId="9" fontId="3" fillId="0" borderId="0" xfId="4" applyNumberFormat="1" applyFont="1" applyBorder="1" applyAlignment="1">
      <alignment horizontal="center"/>
    </xf>
    <xf numFmtId="9" fontId="0" fillId="0" borderId="0" xfId="4" applyNumberFormat="1" applyFont="1" applyAlignment="1">
      <alignment horizontal="center"/>
    </xf>
    <xf numFmtId="0" fontId="34" fillId="0" borderId="15" xfId="0" applyFont="1" applyBorder="1" applyAlignment="1">
      <alignment horizontal="center"/>
    </xf>
    <xf numFmtId="177" fontId="1" fillId="0" borderId="23" xfId="0" applyNumberFormat="1" applyFont="1" applyBorder="1" applyAlignment="1">
      <alignment horizontal="center"/>
    </xf>
    <xf numFmtId="0" fontId="34" fillId="0" borderId="0" xfId="0" applyFont="1" applyAlignment="1">
      <alignment horizontal="center"/>
    </xf>
    <xf numFmtId="10" fontId="1" fillId="0" borderId="25" xfId="4" applyNumberFormat="1" applyFont="1" applyBorder="1"/>
    <xf numFmtId="10" fontId="3" fillId="0" borderId="23" xfId="4" applyNumberFormat="1" applyFont="1" applyBorder="1" applyAlignment="1">
      <alignment horizontal="center"/>
    </xf>
    <xf numFmtId="10" fontId="1" fillId="0" borderId="0" xfId="4" applyNumberFormat="1" applyFont="1" applyBorder="1"/>
    <xf numFmtId="177" fontId="1" fillId="0" borderId="19" xfId="4" applyNumberFormat="1" applyFont="1" applyBorder="1" applyAlignment="1">
      <alignment horizontal="center"/>
    </xf>
    <xf numFmtId="177" fontId="1" fillId="0" borderId="14" xfId="4" applyNumberFormat="1" applyFont="1" applyBorder="1" applyAlignment="1">
      <alignment horizontal="center"/>
    </xf>
    <xf numFmtId="10" fontId="3" fillId="0" borderId="0" xfId="4" applyNumberFormat="1" applyFont="1" applyFill="1" applyBorder="1" applyAlignment="1">
      <alignment horizontal="center"/>
    </xf>
    <xf numFmtId="9" fontId="3" fillId="0" borderId="14" xfId="4" applyNumberFormat="1" applyFont="1" applyFill="1" applyBorder="1" applyAlignment="1">
      <alignment horizontal="center"/>
    </xf>
    <xf numFmtId="177" fontId="0" fillId="0" borderId="17" xfId="0" applyNumberFormat="1" applyBorder="1" applyAlignment="1">
      <alignment horizontal="center"/>
    </xf>
    <xf numFmtId="177" fontId="39" fillId="0" borderId="10" xfId="0" applyNumberFormat="1" applyFont="1" applyBorder="1" applyAlignment="1">
      <alignment horizontal="center"/>
    </xf>
    <xf numFmtId="177" fontId="0" fillId="0" borderId="17" xfId="1" applyNumberFormat="1" applyFont="1" applyBorder="1" applyAlignment="1">
      <alignment horizontal="center"/>
    </xf>
    <xf numFmtId="177" fontId="0" fillId="0" borderId="0" xfId="1" applyNumberFormat="1" applyFont="1" applyBorder="1" applyAlignment="1">
      <alignment horizontal="center"/>
    </xf>
    <xf numFmtId="177" fontId="0" fillId="0" borderId="10" xfId="1" applyNumberFormat="1" applyFont="1" applyBorder="1" applyAlignment="1">
      <alignment horizontal="center"/>
    </xf>
    <xf numFmtId="177" fontId="0" fillId="0" borderId="0" xfId="0" applyNumberFormat="1" applyBorder="1" applyAlignment="1">
      <alignment horizontal="center"/>
    </xf>
    <xf numFmtId="177" fontId="0" fillId="0" borderId="0" xfId="2" applyNumberFormat="1" applyFont="1" applyBorder="1" applyAlignment="1">
      <alignment horizontal="center"/>
    </xf>
    <xf numFmtId="177" fontId="0" fillId="0" borderId="10" xfId="2" applyNumberFormat="1" applyFont="1" applyBorder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2" applyNumberFormat="1" applyFont="1" applyAlignment="1">
      <alignment horizontal="center"/>
    </xf>
    <xf numFmtId="177" fontId="0" fillId="0" borderId="10" xfId="0" applyNumberFormat="1" applyBorder="1" applyAlignment="1">
      <alignment horizontal="center"/>
    </xf>
    <xf numFmtId="177" fontId="16" fillId="0" borderId="34" xfId="1" applyNumberFormat="1" applyFont="1" applyBorder="1" applyAlignment="1">
      <alignment horizontal="center"/>
    </xf>
    <xf numFmtId="0" fontId="0" fillId="0" borderId="10" xfId="0" applyBorder="1" applyAlignment="1">
      <alignment horizontal="center"/>
    </xf>
    <xf numFmtId="177" fontId="0" fillId="0" borderId="17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Alignment="1">
      <alignment horizontal="center"/>
    </xf>
    <xf numFmtId="177" fontId="0" fillId="0" borderId="10" xfId="0" applyNumberFormat="1" applyFill="1" applyBorder="1" applyAlignment="1">
      <alignment horizontal="center"/>
    </xf>
    <xf numFmtId="0" fontId="39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9" fontId="1" fillId="6" borderId="6" xfId="0" applyNumberFormat="1" applyFont="1" applyFill="1" applyBorder="1" applyAlignment="1">
      <alignment horizontal="center"/>
    </xf>
    <xf numFmtId="10" fontId="1" fillId="6" borderId="37" xfId="4" applyNumberFormat="1" applyFont="1" applyFill="1" applyBorder="1" applyAlignment="1">
      <alignment horizontal="center"/>
    </xf>
    <xf numFmtId="9" fontId="1" fillId="6" borderId="37" xfId="4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177" fontId="1" fillId="6" borderId="37" xfId="2" applyNumberFormat="1" applyFont="1" applyFill="1" applyBorder="1" applyAlignment="1">
      <alignment horizontal="center"/>
    </xf>
    <xf numFmtId="177" fontId="1" fillId="0" borderId="0" xfId="2" applyNumberFormat="1" applyFont="1" applyFill="1" applyBorder="1" applyAlignment="1">
      <alignment horizontal="center"/>
    </xf>
    <xf numFmtId="173" fontId="1" fillId="6" borderId="15" xfId="0" applyNumberFormat="1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6" fillId="0" borderId="8" xfId="0" applyFont="1" applyBorder="1" applyAlignment="1">
      <alignment horizontal="center"/>
    </xf>
    <xf numFmtId="177" fontId="1" fillId="6" borderId="3" xfId="2" applyNumberFormat="1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left" vertical="center" wrapText="1"/>
    </xf>
    <xf numFmtId="177" fontId="1" fillId="0" borderId="23" xfId="4" applyNumberFormat="1" applyFont="1" applyFill="1" applyBorder="1" applyAlignment="1">
      <alignment horizontal="center"/>
    </xf>
    <xf numFmtId="0" fontId="16" fillId="0" borderId="0" xfId="0" applyFont="1" applyFill="1" applyAlignment="1">
      <alignment wrapText="1"/>
    </xf>
    <xf numFmtId="0" fontId="34" fillId="0" borderId="0" xfId="0" applyFont="1" applyFill="1" applyBorder="1" applyAlignment="1">
      <alignment horizontal="center"/>
    </xf>
    <xf numFmtId="0" fontId="34" fillId="0" borderId="0" xfId="0" applyFont="1" applyFill="1" applyBorder="1"/>
    <xf numFmtId="1" fontId="34" fillId="0" borderId="0" xfId="0" applyNumberFormat="1" applyFont="1" applyFill="1" applyBorder="1" applyAlignment="1">
      <alignment horizontal="center"/>
    </xf>
    <xf numFmtId="0" fontId="41" fillId="0" borderId="0" xfId="0" applyFont="1" applyFill="1" applyBorder="1" applyAlignment="1">
      <alignment horizontal="center" vertical="center"/>
    </xf>
    <xf numFmtId="44" fontId="0" fillId="0" borderId="0" xfId="2" applyFont="1" applyFill="1"/>
    <xf numFmtId="177" fontId="0" fillId="0" borderId="0" xfId="0" applyNumberFormat="1" applyFill="1"/>
    <xf numFmtId="177" fontId="0" fillId="0" borderId="0" xfId="1" applyNumberFormat="1" applyFont="1" applyFill="1" applyBorder="1"/>
    <xf numFmtId="176" fontId="0" fillId="0" borderId="0" xfId="0" applyNumberFormat="1" applyFill="1"/>
    <xf numFmtId="0" fontId="34" fillId="6" borderId="10" xfId="0" applyFont="1" applyFill="1" applyBorder="1"/>
    <xf numFmtId="1" fontId="34" fillId="0" borderId="13" xfId="0" applyNumberFormat="1" applyFont="1" applyBorder="1" applyAlignment="1">
      <alignment horizontal="center"/>
    </xf>
    <xf numFmtId="0" fontId="34" fillId="0" borderId="20" xfId="0" applyFont="1" applyBorder="1" applyAlignment="1">
      <alignment horizontal="center"/>
    </xf>
    <xf numFmtId="177" fontId="39" fillId="0" borderId="34" xfId="0" applyNumberFormat="1" applyFont="1" applyBorder="1" applyAlignment="1">
      <alignment horizontal="center"/>
    </xf>
    <xf numFmtId="177" fontId="0" fillId="0" borderId="18" xfId="0" applyNumberFormat="1" applyBorder="1" applyAlignment="1">
      <alignment horizontal="center"/>
    </xf>
    <xf numFmtId="177" fontId="16" fillId="0" borderId="8" xfId="1" applyNumberFormat="1" applyFont="1" applyBorder="1" applyAlignment="1">
      <alignment horizontal="center"/>
    </xf>
    <xf numFmtId="177" fontId="16" fillId="0" borderId="24" xfId="1" applyNumberFormat="1" applyFont="1" applyBorder="1" applyAlignment="1">
      <alignment horizontal="center"/>
    </xf>
    <xf numFmtId="177" fontId="0" fillId="0" borderId="24" xfId="1" applyNumberFormat="1" applyFont="1" applyBorder="1" applyAlignment="1">
      <alignment horizontal="center"/>
    </xf>
    <xf numFmtId="0" fontId="16" fillId="0" borderId="38" xfId="0" applyFont="1" applyBorder="1" applyAlignment="1">
      <alignment horizontal="center" wrapText="1"/>
    </xf>
    <xf numFmtId="0" fontId="16" fillId="0" borderId="33" xfId="0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5" xfId="0" applyBorder="1" applyAlignment="1">
      <alignment horizontal="center"/>
    </xf>
    <xf numFmtId="0" fontId="16" fillId="0" borderId="14" xfId="0" applyFont="1" applyBorder="1" applyAlignment="1">
      <alignment horizontal="center" wrapText="1"/>
    </xf>
    <xf numFmtId="177" fontId="0" fillId="0" borderId="24" xfId="0" applyNumberFormat="1" applyBorder="1" applyAlignment="1">
      <alignment horizontal="center"/>
    </xf>
    <xf numFmtId="177" fontId="16" fillId="0" borderId="24" xfId="0" applyNumberFormat="1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0" fillId="0" borderId="24" xfId="0" applyBorder="1"/>
    <xf numFmtId="0" fontId="0" fillId="0" borderId="18" xfId="0" applyBorder="1"/>
    <xf numFmtId="177" fontId="0" fillId="6" borderId="10" xfId="0" applyNumberFormat="1" applyFill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6" borderId="0" xfId="0" applyNumberFormat="1" applyFill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1" fillId="6" borderId="37" xfId="0" applyFont="1" applyFill="1" applyBorder="1" applyAlignment="1">
      <alignment horizontal="center" vertical="center"/>
    </xf>
    <xf numFmtId="170" fontId="1" fillId="6" borderId="6" xfId="0" applyNumberFormat="1" applyFont="1" applyFill="1" applyBorder="1" applyAlignment="1">
      <alignment horizontal="center" vertical="center"/>
    </xf>
    <xf numFmtId="177" fontId="0" fillId="6" borderId="16" xfId="0" applyNumberFormat="1" applyFill="1" applyBorder="1" applyAlignment="1">
      <alignment horizontal="center"/>
    </xf>
    <xf numFmtId="177" fontId="0" fillId="6" borderId="13" xfId="0" applyNumberFormat="1" applyFill="1" applyBorder="1" applyAlignment="1">
      <alignment horizontal="center"/>
    </xf>
    <xf numFmtId="170" fontId="1" fillId="6" borderId="37" xfId="0" applyNumberFormat="1" applyFont="1" applyFill="1" applyBorder="1" applyAlignment="1">
      <alignment horizontal="center" vertical="center"/>
    </xf>
    <xf numFmtId="0" fontId="1" fillId="6" borderId="37" xfId="0" applyFont="1" applyFill="1" applyBorder="1" applyAlignment="1">
      <alignment horizontal="center"/>
    </xf>
    <xf numFmtId="0" fontId="1" fillId="6" borderId="37" xfId="1" applyNumberFormat="1" applyFont="1" applyFill="1" applyBorder="1" applyAlignment="1">
      <alignment horizontal="center"/>
    </xf>
    <xf numFmtId="170" fontId="34" fillId="6" borderId="18" xfId="0" applyNumberFormat="1" applyFont="1" applyFill="1" applyBorder="1" applyAlignment="1">
      <alignment horizontal="center"/>
    </xf>
    <xf numFmtId="170" fontId="34" fillId="6" borderId="10" xfId="0" applyNumberFormat="1" applyFont="1" applyFill="1" applyBorder="1" applyAlignment="1">
      <alignment horizontal="center"/>
    </xf>
    <xf numFmtId="0" fontId="34" fillId="6" borderId="10" xfId="0" applyFont="1" applyFill="1" applyBorder="1" applyAlignment="1">
      <alignment horizontal="center"/>
    </xf>
    <xf numFmtId="2" fontId="34" fillId="6" borderId="10" xfId="0" applyNumberFormat="1" applyFont="1" applyFill="1" applyBorder="1" applyAlignment="1">
      <alignment horizontal="center"/>
    </xf>
    <xf numFmtId="0" fontId="34" fillId="6" borderId="11" xfId="0" applyFont="1" applyFill="1" applyBorder="1" applyAlignment="1">
      <alignment horizontal="center"/>
    </xf>
    <xf numFmtId="0" fontId="1" fillId="0" borderId="24" xfId="0" applyFont="1" applyFill="1" applyBorder="1" applyAlignment="1">
      <alignment horizontal="center" vertical="center" wrapText="1"/>
    </xf>
    <xf numFmtId="0" fontId="0" fillId="0" borderId="25" xfId="0" applyFont="1" applyBorder="1" applyAlignment="1">
      <alignment horizontal="center" wrapText="1"/>
    </xf>
    <xf numFmtId="0" fontId="0" fillId="0" borderId="34" xfId="0" applyFont="1" applyBorder="1" applyAlignment="1">
      <alignment horizontal="center" wrapText="1"/>
    </xf>
    <xf numFmtId="177" fontId="16" fillId="0" borderId="24" xfId="0" applyNumberFormat="1" applyFont="1" applyFill="1" applyBorder="1" applyAlignment="1">
      <alignment horizontal="center" vertical="center"/>
    </xf>
    <xf numFmtId="177" fontId="0" fillId="0" borderId="17" xfId="1" applyNumberFormat="1" applyFont="1" applyFill="1" applyBorder="1" applyAlignment="1">
      <alignment horizontal="center" vertical="center"/>
    </xf>
    <xf numFmtId="177" fontId="0" fillId="0" borderId="17" xfId="0" applyNumberFormat="1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0" fontId="1" fillId="0" borderId="32" xfId="0" applyFont="1" applyBorder="1" applyAlignment="1">
      <alignment horizontal="center"/>
    </xf>
    <xf numFmtId="0" fontId="1" fillId="0" borderId="42" xfId="0" applyFont="1" applyBorder="1" applyAlignment="1">
      <alignment horizontal="center"/>
    </xf>
    <xf numFmtId="177" fontId="1" fillId="0" borderId="42" xfId="1" applyNumberFormat="1" applyFont="1" applyBorder="1" applyAlignment="1">
      <alignment horizontal="center"/>
    </xf>
    <xf numFmtId="177" fontId="1" fillId="0" borderId="42" xfId="0" applyNumberFormat="1" applyFont="1" applyBorder="1" applyAlignment="1">
      <alignment horizontal="center"/>
    </xf>
    <xf numFmtId="177" fontId="1" fillId="0" borderId="37" xfId="1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177" fontId="1" fillId="0" borderId="39" xfId="0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177" fontId="1" fillId="0" borderId="0" xfId="1" applyNumberFormat="1" applyFont="1" applyBorder="1" applyAlignment="1">
      <alignment horizontal="center"/>
    </xf>
    <xf numFmtId="177" fontId="1" fillId="0" borderId="0" xfId="0" applyNumberFormat="1" applyFont="1" applyBorder="1" applyAlignment="1">
      <alignment horizontal="center"/>
    </xf>
    <xf numFmtId="177" fontId="1" fillId="0" borderId="9" xfId="1" applyNumberFormat="1" applyFont="1" applyBorder="1" applyAlignment="1">
      <alignment horizontal="center"/>
    </xf>
    <xf numFmtId="177" fontId="1" fillId="0" borderId="40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/>
    </xf>
    <xf numFmtId="177" fontId="1" fillId="0" borderId="40" xfId="0" applyNumberFormat="1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77" fontId="1" fillId="0" borderId="5" xfId="1" applyNumberFormat="1" applyFont="1" applyBorder="1" applyAlignment="1">
      <alignment horizontal="center"/>
    </xf>
    <xf numFmtId="177" fontId="1" fillId="0" borderId="5" xfId="0" applyNumberFormat="1" applyFont="1" applyBorder="1" applyAlignment="1">
      <alignment horizontal="center"/>
    </xf>
    <xf numFmtId="177" fontId="1" fillId="0" borderId="6" xfId="1" applyNumberFormat="1" applyFont="1" applyBorder="1" applyAlignment="1">
      <alignment horizontal="center"/>
    </xf>
    <xf numFmtId="177" fontId="1" fillId="0" borderId="0" xfId="1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77" fontId="1" fillId="0" borderId="41" xfId="0" applyNumberFormat="1" applyFont="1" applyBorder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177" fontId="16" fillId="0" borderId="16" xfId="0" applyNumberFormat="1" applyFont="1" applyBorder="1" applyAlignment="1">
      <alignment horizontal="center"/>
    </xf>
    <xf numFmtId="177" fontId="16" fillId="0" borderId="13" xfId="0" applyNumberFormat="1" applyFont="1" applyBorder="1" applyAlignment="1">
      <alignment horizontal="center"/>
    </xf>
    <xf numFmtId="0" fontId="1" fillId="0" borderId="24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41" fillId="6" borderId="18" xfId="0" applyFont="1" applyFill="1" applyBorder="1" applyAlignment="1">
      <alignment horizontal="center" vertical="center"/>
    </xf>
    <xf numFmtId="0" fontId="41" fillId="6" borderId="13" xfId="0" applyFont="1" applyFill="1" applyBorder="1" applyAlignment="1">
      <alignment horizontal="center" vertical="center"/>
    </xf>
    <xf numFmtId="0" fontId="16" fillId="0" borderId="16" xfId="0" applyFont="1" applyBorder="1" applyAlignment="1">
      <alignment horizontal="center"/>
    </xf>
    <xf numFmtId="0" fontId="16" fillId="0" borderId="8" xfId="0" applyFont="1" applyBorder="1" applyAlignment="1">
      <alignment horizontal="center"/>
    </xf>
    <xf numFmtId="176" fontId="16" fillId="0" borderId="8" xfId="0" applyNumberFormat="1" applyFont="1" applyBorder="1" applyAlignment="1">
      <alignment horizontal="center"/>
    </xf>
    <xf numFmtId="176" fontId="16" fillId="0" borderId="13" xfId="0" applyNumberFormat="1" applyFont="1" applyBorder="1" applyAlignment="1">
      <alignment horizontal="center"/>
    </xf>
    <xf numFmtId="177" fontId="16" fillId="0" borderId="8" xfId="0" applyNumberFormat="1" applyFont="1" applyBorder="1" applyAlignment="1">
      <alignment horizontal="center"/>
    </xf>
    <xf numFmtId="177" fontId="16" fillId="0" borderId="16" xfId="0" applyNumberFormat="1" applyFont="1" applyBorder="1" applyAlignment="1">
      <alignment horizontal="center" vertical="center"/>
    </xf>
    <xf numFmtId="177" fontId="16" fillId="0" borderId="8" xfId="0" applyNumberFormat="1" applyFont="1" applyBorder="1" applyAlignment="1">
      <alignment horizontal="center" vertical="center"/>
    </xf>
    <xf numFmtId="177" fontId="16" fillId="0" borderId="13" xfId="0" applyNumberFormat="1" applyFont="1" applyBorder="1" applyAlignment="1">
      <alignment horizontal="center" vertical="center"/>
    </xf>
    <xf numFmtId="177" fontId="16" fillId="0" borderId="16" xfId="0" applyNumberFormat="1" applyFont="1" applyFill="1" applyBorder="1" applyAlignment="1">
      <alignment horizontal="center"/>
    </xf>
    <xf numFmtId="177" fontId="16" fillId="0" borderId="8" xfId="0" applyNumberFormat="1" applyFont="1" applyFill="1" applyBorder="1" applyAlignment="1">
      <alignment horizontal="center"/>
    </xf>
    <xf numFmtId="177" fontId="16" fillId="0" borderId="13" xfId="0" applyNumberFormat="1" applyFont="1" applyFill="1" applyBorder="1" applyAlignment="1">
      <alignment horizontal="center"/>
    </xf>
    <xf numFmtId="0" fontId="16" fillId="0" borderId="34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10" fontId="1" fillId="0" borderId="24" xfId="4" applyNumberFormat="1" applyFont="1" applyBorder="1" applyAlignment="1">
      <alignment horizontal="right"/>
    </xf>
    <xf numFmtId="10" fontId="1" fillId="0" borderId="33" xfId="4" applyNumberFormat="1" applyFont="1" applyBorder="1" applyAlignment="1">
      <alignment horizontal="right"/>
    </xf>
    <xf numFmtId="10" fontId="1" fillId="0" borderId="18" xfId="4" applyNumberFormat="1" applyFont="1" applyBorder="1" applyAlignment="1">
      <alignment horizontal="right"/>
    </xf>
    <xf numFmtId="0" fontId="1" fillId="0" borderId="24" xfId="0" applyFont="1" applyBorder="1" applyAlignment="1">
      <alignment horizontal="right" vertical="center" wrapText="1"/>
    </xf>
    <xf numFmtId="0" fontId="1" fillId="0" borderId="17" xfId="0" applyFont="1" applyBorder="1" applyAlignment="1">
      <alignment horizontal="right" vertical="center" wrapText="1"/>
    </xf>
    <xf numFmtId="0" fontId="1" fillId="0" borderId="33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28" fillId="0" borderId="26" xfId="0" applyFont="1" applyBorder="1" applyAlignment="1">
      <alignment horizontal="center"/>
    </xf>
    <xf numFmtId="0" fontId="28" fillId="0" borderId="27" xfId="0" applyFont="1" applyBorder="1" applyAlignment="1">
      <alignment horizontal="center"/>
    </xf>
    <xf numFmtId="0" fontId="28" fillId="0" borderId="28" xfId="0" applyFont="1" applyBorder="1" applyAlignment="1">
      <alignment horizontal="center"/>
    </xf>
  </cellXfs>
  <cellStyles count="6">
    <cellStyle name="Comma" xfId="1" builtinId="3"/>
    <cellStyle name="Currency" xfId="2" builtinId="4"/>
    <cellStyle name="Interval" xfId="5" xr:uid="{00000000-0005-0000-0000-000002000000}"/>
    <cellStyle name="Normal" xfId="0" builtinId="0"/>
    <cellStyle name="Normal 2 2 2" xfId="3" xr:uid="{00000000-0005-0000-0000-000004000000}"/>
    <cellStyle name="Percent" xfId="4" builtinId="5"/>
  </cellStyles>
  <dxfs count="6">
    <dxf>
      <font>
        <b/>
        <i val="0"/>
        <color rgb="FF00B050"/>
      </font>
    </dxf>
    <dxf>
      <font>
        <b val="0"/>
        <i val="0"/>
        <color rgb="FFED4031"/>
      </font>
    </dxf>
    <dxf>
      <font>
        <b/>
        <i val="0"/>
        <color rgb="FF00B050"/>
      </font>
    </dxf>
    <dxf>
      <font>
        <b val="0"/>
        <i val="0"/>
        <color rgb="FFED4031"/>
      </font>
    </dxf>
    <dxf>
      <font>
        <b/>
        <i val="0"/>
        <color rgb="FF00B05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D40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Operation</a:t>
            </a:r>
            <a:r>
              <a:rPr lang="en-US" baseline="0"/>
              <a:t> Cost Inflation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Beta_Dis!$J$5:$J$55</c:f>
              <c:numCache>
                <c:formatCode>0.000</c:formatCode>
                <c:ptCount val="51"/>
                <c:pt idx="0">
                  <c:v>0</c:v>
                </c:pt>
                <c:pt idx="1">
                  <c:v>5.0000000000000001E-4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2.5000000000000001E-3</c:v>
                </c:pt>
                <c:pt idx="6">
                  <c:v>3.0000000000000001E-3</c:v>
                </c:pt>
                <c:pt idx="7">
                  <c:v>3.5000000000000001E-3</c:v>
                </c:pt>
                <c:pt idx="8">
                  <c:v>4.0000000000000001E-3</c:v>
                </c:pt>
                <c:pt idx="9">
                  <c:v>4.5000000000000005E-3</c:v>
                </c:pt>
                <c:pt idx="10">
                  <c:v>5.000000000000001E-3</c:v>
                </c:pt>
                <c:pt idx="11">
                  <c:v>5.5000000000000014E-3</c:v>
                </c:pt>
                <c:pt idx="12">
                  <c:v>6.0000000000000019E-3</c:v>
                </c:pt>
                <c:pt idx="13">
                  <c:v>6.5000000000000023E-3</c:v>
                </c:pt>
                <c:pt idx="14">
                  <c:v>7.0000000000000027E-3</c:v>
                </c:pt>
                <c:pt idx="15">
                  <c:v>7.5000000000000032E-3</c:v>
                </c:pt>
                <c:pt idx="16">
                  <c:v>8.0000000000000036E-3</c:v>
                </c:pt>
                <c:pt idx="17">
                  <c:v>8.5000000000000041E-3</c:v>
                </c:pt>
                <c:pt idx="18">
                  <c:v>9.0000000000000045E-3</c:v>
                </c:pt>
                <c:pt idx="19">
                  <c:v>9.500000000000005E-3</c:v>
                </c:pt>
                <c:pt idx="20">
                  <c:v>1.0000000000000005E-2</c:v>
                </c:pt>
                <c:pt idx="21">
                  <c:v>1.0500000000000006E-2</c:v>
                </c:pt>
                <c:pt idx="22">
                  <c:v>1.1000000000000006E-2</c:v>
                </c:pt>
                <c:pt idx="23">
                  <c:v>1.1500000000000007E-2</c:v>
                </c:pt>
                <c:pt idx="24">
                  <c:v>1.2000000000000007E-2</c:v>
                </c:pt>
                <c:pt idx="25">
                  <c:v>1.2500000000000008E-2</c:v>
                </c:pt>
                <c:pt idx="26">
                  <c:v>1.3000000000000008E-2</c:v>
                </c:pt>
                <c:pt idx="27">
                  <c:v>1.3500000000000009E-2</c:v>
                </c:pt>
                <c:pt idx="28">
                  <c:v>1.4000000000000009E-2</c:v>
                </c:pt>
                <c:pt idx="29">
                  <c:v>1.4500000000000009E-2</c:v>
                </c:pt>
                <c:pt idx="30">
                  <c:v>1.500000000000001E-2</c:v>
                </c:pt>
                <c:pt idx="31">
                  <c:v>1.550000000000001E-2</c:v>
                </c:pt>
                <c:pt idx="32">
                  <c:v>1.6000000000000011E-2</c:v>
                </c:pt>
                <c:pt idx="33">
                  <c:v>1.6500000000000011E-2</c:v>
                </c:pt>
                <c:pt idx="34">
                  <c:v>1.7000000000000012E-2</c:v>
                </c:pt>
                <c:pt idx="35">
                  <c:v>1.7500000000000012E-2</c:v>
                </c:pt>
                <c:pt idx="36">
                  <c:v>1.8000000000000013E-2</c:v>
                </c:pt>
                <c:pt idx="37">
                  <c:v>1.8500000000000013E-2</c:v>
                </c:pt>
                <c:pt idx="38">
                  <c:v>1.9000000000000013E-2</c:v>
                </c:pt>
                <c:pt idx="39">
                  <c:v>1.9500000000000014E-2</c:v>
                </c:pt>
                <c:pt idx="40">
                  <c:v>2.0000000000000014E-2</c:v>
                </c:pt>
                <c:pt idx="41">
                  <c:v>2.0500000000000015E-2</c:v>
                </c:pt>
                <c:pt idx="42">
                  <c:v>2.1000000000000015E-2</c:v>
                </c:pt>
                <c:pt idx="43">
                  <c:v>2.1500000000000016E-2</c:v>
                </c:pt>
                <c:pt idx="44">
                  <c:v>2.2000000000000016E-2</c:v>
                </c:pt>
                <c:pt idx="45">
                  <c:v>2.2500000000000017E-2</c:v>
                </c:pt>
                <c:pt idx="46">
                  <c:v>2.3000000000000017E-2</c:v>
                </c:pt>
                <c:pt idx="47">
                  <c:v>2.3500000000000017E-2</c:v>
                </c:pt>
                <c:pt idx="48">
                  <c:v>2.4000000000000018E-2</c:v>
                </c:pt>
                <c:pt idx="49">
                  <c:v>2.4500000000000018E-2</c:v>
                </c:pt>
                <c:pt idx="50">
                  <c:v>2.5000000000000019E-2</c:v>
                </c:pt>
              </c:numCache>
            </c:numRef>
          </c:xVal>
          <c:yVal>
            <c:numRef>
              <c:f>Beta_Dis!$K$5:$K$55</c:f>
              <c:numCache>
                <c:formatCode>0.0000</c:formatCode>
                <c:ptCount val="51"/>
                <c:pt idx="0">
                  <c:v>0</c:v>
                </c:pt>
                <c:pt idx="1">
                  <c:v>0.57665620131003226</c:v>
                </c:pt>
                <c:pt idx="2">
                  <c:v>2.7057907943357367</c:v>
                </c:pt>
                <c:pt idx="3">
                  <c:v>6.4462414950448208</c:v>
                </c:pt>
                <c:pt idx="4">
                  <c:v>11.623020312408832</c:v>
                </c:pt>
                <c:pt idx="5">
                  <c:v>17.973705553670882</c:v>
                </c:pt>
                <c:pt idx="6">
                  <c:v>25.201721381428211</c:v>
                </c:pt>
                <c:pt idx="7">
                  <c:v>33.00415912814055</c:v>
                </c:pt>
                <c:pt idx="8">
                  <c:v>41.088246538396056</c:v>
                </c:pt>
                <c:pt idx="9">
                  <c:v>49.181601336767237</c:v>
                </c:pt>
                <c:pt idx="10">
                  <c:v>57.038646285909493</c:v>
                </c:pt>
                <c:pt idx="11">
                  <c:v>64.44446134874606</c:v>
                </c:pt>
                <c:pt idx="12">
                  <c:v>71.216831764391415</c:v>
                </c:pt>
                <c:pt idx="13">
                  <c:v>77.206979439523622</c:v>
                </c:pt>
                <c:pt idx="14">
                  <c:v>82.299309996648901</c:v>
                </c:pt>
                <c:pt idx="15">
                  <c:v>86.41041321327252</c:v>
                </c:pt>
                <c:pt idx="16">
                  <c:v>89.487493725635517</c:v>
                </c:pt>
                <c:pt idx="17">
                  <c:v>91.506367973536811</c:v>
                </c:pt>
                <c:pt idx="18">
                  <c:v>92.469134854697643</c:v>
                </c:pt>
                <c:pt idx="19">
                  <c:v>92.401607054230055</c:v>
                </c:pt>
                <c:pt idx="20">
                  <c:v>91.350574865749223</c:v>
                </c:pt>
                <c:pt idx="21">
                  <c:v>89.380962860588809</c:v>
                </c:pt>
                <c:pt idx="22">
                  <c:v>86.572930910197243</c:v>
                </c:pt>
                <c:pt idx="23">
                  <c:v>83.018964102858774</c:v>
                </c:pt>
                <c:pt idx="24">
                  <c:v>78.82099052546863</c:v>
                </c:pt>
                <c:pt idx="25">
                  <c:v>74.087561358193767</c:v>
                </c:pt>
                <c:pt idx="26">
                  <c:v>68.931124007092833</c:v>
                </c:pt>
                <c:pt idx="27">
                  <c:v>63.465415896976758</c:v>
                </c:pt>
                <c:pt idx="28">
                  <c:v>57.803003930470759</c:v>
                </c:pt>
                <c:pt idx="29">
                  <c:v>52.052992388898723</c:v>
                </c:pt>
                <c:pt idx="30">
                  <c:v>46.318920129437231</c:v>
                </c:pt>
                <c:pt idx="31">
                  <c:v>40.696866261381764</c:v>
                </c:pt>
                <c:pt idx="32">
                  <c:v>35.273782015381471</c:v>
                </c:pt>
                <c:pt idx="33">
                  <c:v>30.126065215516292</c:v>
                </c:pt>
                <c:pt idx="34">
                  <c:v>25.31839259440315</c:v>
                </c:pt>
                <c:pt idx="35">
                  <c:v>20.902824130448234</c:v>
                </c:pt>
                <c:pt idx="36">
                  <c:v>16.918192611778487</c:v>
                </c:pt>
                <c:pt idx="37">
                  <c:v>13.389790723405298</c:v>
                </c:pt>
                <c:pt idx="38">
                  <c:v>10.32936709395198</c:v>
                </c:pt>
                <c:pt idx="39">
                  <c:v>7.735441906655379</c:v>
                </c:pt>
                <c:pt idx="40">
                  <c:v>5.5939518551852219</c:v>
                </c:pt>
                <c:pt idx="41">
                  <c:v>3.8792333825555336</c:v>
                </c:pt>
                <c:pt idx="42">
                  <c:v>2.5553522472174697</c:v>
                </c:pt>
                <c:pt idx="43">
                  <c:v>1.5777864655523568</c:v>
                </c:pt>
                <c:pt idx="44">
                  <c:v>0.8954685081439403</c:v>
                </c:pt>
                <c:pt idx="45">
                  <c:v>0.45319114913579955</c:v>
                </c:pt>
                <c:pt idx="46">
                  <c:v>0.19437934492652037</c:v>
                </c:pt>
                <c:pt idx="47">
                  <c:v>6.4227462026391499E-2</c:v>
                </c:pt>
                <c:pt idx="48">
                  <c:v>1.3195941604759934E-2</c:v>
                </c:pt>
                <c:pt idx="49">
                  <c:v>8.508216505510633E-4</c:v>
                </c:pt>
                <c:pt idx="50">
                  <c:v>3.879818280854756E-29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AE-4B85-90A9-618E3AF2E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2880"/>
        <c:axId val="193050136"/>
      </c:scatterChart>
      <c:valAx>
        <c:axId val="19305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50136"/>
        <c:crosses val="autoZero"/>
        <c:crossBetween val="midCat"/>
      </c:valAx>
      <c:valAx>
        <c:axId val="19305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5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Lease</a:t>
            </a:r>
            <a:r>
              <a:rPr lang="en-US" baseline="0"/>
              <a:t> Rate Inflation</a:t>
            </a:r>
            <a:endParaRPr lang="en-US"/>
          </a:p>
        </c:rich>
      </c:tx>
      <c:layout>
        <c:manualLayout>
          <c:xMode val="edge"/>
          <c:yMode val="edge"/>
          <c:x val="0.33942399641905224"/>
          <c:y val="3.8154894817252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887983478809337E-2"/>
          <c:y val="0.17955223880597018"/>
          <c:w val="0.87297325479663879"/>
          <c:h val="0.7000583695694754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Beta_Dis!$D$5:$D$55</c:f>
              <c:numCache>
                <c:formatCode>General</c:formatCode>
                <c:ptCount val="51"/>
                <c:pt idx="0">
                  <c:v>-5.0000000000000001E-3</c:v>
                </c:pt>
                <c:pt idx="1">
                  <c:v>-4.5000000000000005E-3</c:v>
                </c:pt>
                <c:pt idx="2">
                  <c:v>-4.0000000000000001E-3</c:v>
                </c:pt>
                <c:pt idx="3">
                  <c:v>-3.5000000000000001E-3</c:v>
                </c:pt>
                <c:pt idx="4">
                  <c:v>-3.0000000000000001E-3</c:v>
                </c:pt>
                <c:pt idx="5">
                  <c:v>-2.5000000000000001E-3</c:v>
                </c:pt>
                <c:pt idx="6">
                  <c:v>-2E-3</c:v>
                </c:pt>
                <c:pt idx="7">
                  <c:v>-1.5E-3</c:v>
                </c:pt>
                <c:pt idx="8">
                  <c:v>-1E-3</c:v>
                </c:pt>
                <c:pt idx="9">
                  <c:v>-5.0000000000000001E-4</c:v>
                </c:pt>
                <c:pt idx="10">
                  <c:v>0</c:v>
                </c:pt>
                <c:pt idx="11">
                  <c:v>5.0000000000000001E-4</c:v>
                </c:pt>
                <c:pt idx="12">
                  <c:v>1E-3</c:v>
                </c:pt>
                <c:pt idx="13">
                  <c:v>1.5E-3</c:v>
                </c:pt>
                <c:pt idx="14">
                  <c:v>2E-3</c:v>
                </c:pt>
                <c:pt idx="15">
                  <c:v>2.5000000000000001E-3</c:v>
                </c:pt>
                <c:pt idx="16">
                  <c:v>3.0000000000000001E-3</c:v>
                </c:pt>
                <c:pt idx="17">
                  <c:v>3.5000000000000001E-3</c:v>
                </c:pt>
                <c:pt idx="18">
                  <c:v>4.0000000000000001E-3</c:v>
                </c:pt>
                <c:pt idx="19">
                  <c:v>4.5000000000000005E-3</c:v>
                </c:pt>
                <c:pt idx="20">
                  <c:v>5.000000000000001E-3</c:v>
                </c:pt>
                <c:pt idx="21">
                  <c:v>5.5000000000000014E-3</c:v>
                </c:pt>
                <c:pt idx="22">
                  <c:v>6.0000000000000019E-3</c:v>
                </c:pt>
                <c:pt idx="23">
                  <c:v>6.5000000000000023E-3</c:v>
                </c:pt>
                <c:pt idx="24">
                  <c:v>7.0000000000000027E-3</c:v>
                </c:pt>
                <c:pt idx="25">
                  <c:v>7.5000000000000032E-3</c:v>
                </c:pt>
                <c:pt idx="26">
                  <c:v>8.0000000000000036E-3</c:v>
                </c:pt>
                <c:pt idx="27">
                  <c:v>8.5000000000000041E-3</c:v>
                </c:pt>
                <c:pt idx="28">
                  <c:v>9.0000000000000045E-3</c:v>
                </c:pt>
                <c:pt idx="29">
                  <c:v>9.500000000000005E-3</c:v>
                </c:pt>
                <c:pt idx="30">
                  <c:v>1.0000000000000005E-2</c:v>
                </c:pt>
                <c:pt idx="31">
                  <c:v>1.0500000000000006E-2</c:v>
                </c:pt>
                <c:pt idx="32">
                  <c:v>1.1000000000000006E-2</c:v>
                </c:pt>
                <c:pt idx="33">
                  <c:v>1.1500000000000007E-2</c:v>
                </c:pt>
                <c:pt idx="34">
                  <c:v>1.2000000000000007E-2</c:v>
                </c:pt>
                <c:pt idx="35">
                  <c:v>1.2500000000000008E-2</c:v>
                </c:pt>
                <c:pt idx="36">
                  <c:v>1.3000000000000008E-2</c:v>
                </c:pt>
                <c:pt idx="37">
                  <c:v>1.3500000000000009E-2</c:v>
                </c:pt>
                <c:pt idx="38">
                  <c:v>1.4000000000000009E-2</c:v>
                </c:pt>
                <c:pt idx="39">
                  <c:v>1.4500000000000009E-2</c:v>
                </c:pt>
                <c:pt idx="40">
                  <c:v>1.500000000000001E-2</c:v>
                </c:pt>
                <c:pt idx="41">
                  <c:v>1.550000000000001E-2</c:v>
                </c:pt>
                <c:pt idx="42">
                  <c:v>1.6000000000000011E-2</c:v>
                </c:pt>
                <c:pt idx="43">
                  <c:v>1.6500000000000011E-2</c:v>
                </c:pt>
                <c:pt idx="44">
                  <c:v>1.7000000000000012E-2</c:v>
                </c:pt>
                <c:pt idx="45">
                  <c:v>1.7500000000000012E-2</c:v>
                </c:pt>
                <c:pt idx="46">
                  <c:v>1.8000000000000013E-2</c:v>
                </c:pt>
                <c:pt idx="47">
                  <c:v>1.8500000000000013E-2</c:v>
                </c:pt>
                <c:pt idx="48">
                  <c:v>1.9000000000000013E-2</c:v>
                </c:pt>
                <c:pt idx="49">
                  <c:v>1.9500000000000014E-2</c:v>
                </c:pt>
                <c:pt idx="50">
                  <c:v>2.0000000000000014E-2</c:v>
                </c:pt>
              </c:numCache>
            </c:numRef>
          </c:xVal>
          <c:yVal>
            <c:numRef>
              <c:f>Beta_Dis!$E$5:$E$55</c:f>
              <c:numCache>
                <c:formatCode>0.0000</c:formatCode>
                <c:ptCount val="51"/>
                <c:pt idx="0">
                  <c:v>0</c:v>
                </c:pt>
                <c:pt idx="1">
                  <c:v>0.45038339259533133</c:v>
                </c:pt>
                <c:pt idx="2">
                  <c:v>1.4058296785815043</c:v>
                </c:pt>
                <c:pt idx="3">
                  <c:v>2.7169105193378504</c:v>
                </c:pt>
                <c:pt idx="4">
                  <c:v>4.31400441382167</c:v>
                </c:pt>
                <c:pt idx="5">
                  <c:v>6.149643567191128</c:v>
                </c:pt>
                <c:pt idx="6">
                  <c:v>8.1870760873144217</c:v>
                </c:pt>
                <c:pt idx="7">
                  <c:v>10.395832562502058</c:v>
                </c:pt>
                <c:pt idx="8">
                  <c:v>12.749543936027754</c:v>
                </c:pt>
                <c:pt idx="9">
                  <c:v>15.224707912961284</c:v>
                </c:pt>
                <c:pt idx="10">
                  <c:v>17.799923723317541</c:v>
                </c:pt>
                <c:pt idx="11">
                  <c:v>20.455384194049373</c:v>
                </c:pt>
                <c:pt idx="12">
                  <c:v>23.172520533252559</c:v>
                </c:pt>
                <c:pt idx="13">
                  <c:v>25.933743198256671</c:v>
                </c:pt>
                <c:pt idx="14">
                  <c:v>28.722246018846633</c:v>
                </c:pt>
                <c:pt idx="15">
                  <c:v>31.521853466885478</c:v>
                </c:pt>
                <c:pt idx="16">
                  <c:v>34.31689817662771</c:v>
                </c:pt>
                <c:pt idx="17">
                  <c:v>37.09212011111719</c:v>
                </c:pt>
                <c:pt idx="18">
                  <c:v>39.832581424372414</c:v>
                </c:pt>
                <c:pt idx="19">
                  <c:v>42.523592762842455</c:v>
                </c:pt>
                <c:pt idx="20">
                  <c:v>45.150647855938658</c:v>
                </c:pt>
                <c:pt idx="21">
                  <c:v>47.699363978276224</c:v>
                </c:pt>
                <c:pt idx="22">
                  <c:v>50.155426352103987</c:v>
                </c:pt>
                <c:pt idx="23">
                  <c:v>52.504534873562058</c:v>
                </c:pt>
                <c:pt idx="24">
                  <c:v>54.732351737052575</c:v>
                </c:pt>
                <c:pt idx="25">
                  <c:v>56.824448625218132</c:v>
                </c:pt>
                <c:pt idx="26">
                  <c:v>58.766252141870595</c:v>
                </c:pt>
                <c:pt idx="27">
                  <c:v>60.542986095890406</c:v>
                </c:pt>
                <c:pt idx="28">
                  <c:v>62.1396090911146</c:v>
                </c:pt>
                <c:pt idx="29">
                  <c:v>63.540745626961858</c:v>
                </c:pt>
                <c:pt idx="30">
                  <c:v>64.730608542412256</c:v>
                </c:pt>
                <c:pt idx="31">
                  <c:v>65.692910102466556</c:v>
                </c:pt>
                <c:pt idx="32">
                  <c:v>66.410758270174554</c:v>
                </c:pt>
                <c:pt idx="33">
                  <c:v>66.866533634488334</c:v>
                </c:pt>
                <c:pt idx="34">
                  <c:v>67.041740928070553</c:v>
                </c:pt>
                <c:pt idx="35">
                  <c:v>66.916826838245683</c:v>
                </c:pt>
                <c:pt idx="36">
                  <c:v>66.470952514487337</c:v>
                </c:pt>
                <c:pt idx="37">
                  <c:v>65.681704186895999</c:v>
                </c:pt>
                <c:pt idx="38">
                  <c:v>64.524717571716252</c:v>
                </c:pt>
                <c:pt idx="39">
                  <c:v>62.973179375509382</c:v>
                </c:pt>
                <c:pt idx="40">
                  <c:v>60.997148762656366</c:v>
                </c:pt>
                <c:pt idx="41">
                  <c:v>58.56260645337882</c:v>
                </c:pt>
                <c:pt idx="42">
                  <c:v>55.630075591035357</c:v>
                </c:pt>
                <c:pt idx="43">
                  <c:v>52.152537156562389</c:v>
                </c:pt>
                <c:pt idx="44">
                  <c:v>48.072114210928056</c:v>
                </c:pt>
                <c:pt idx="45">
                  <c:v>43.314444172449285</c:v>
                </c:pt>
                <c:pt idx="46">
                  <c:v>37.778270138877623</c:v>
                </c:pt>
                <c:pt idx="47">
                  <c:v>31.313731318103887</c:v>
                </c:pt>
                <c:pt idx="48">
                  <c:v>23.667980262791126</c:v>
                </c:pt>
                <c:pt idx="49">
                  <c:v>14.295928082915612</c:v>
                </c:pt>
                <c:pt idx="50">
                  <c:v>4.4229025702119237E-6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8D-40C5-9D2D-42D8A48FE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2296"/>
        <c:axId val="154461904"/>
      </c:scatterChart>
      <c:valAx>
        <c:axId val="154462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61904"/>
        <c:crosses val="autoZero"/>
        <c:crossBetween val="midCat"/>
      </c:valAx>
      <c:valAx>
        <c:axId val="15446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62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Scrap Value Inflation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Beta_Dis!$P$5:$P$55</c:f>
              <c:numCache>
                <c:formatCode>0.000</c:formatCode>
                <c:ptCount val="51"/>
                <c:pt idx="0">
                  <c:v>0.99</c:v>
                </c:pt>
                <c:pt idx="1">
                  <c:v>0.99029999999999996</c:v>
                </c:pt>
                <c:pt idx="2">
                  <c:v>0.99059999999999993</c:v>
                </c:pt>
                <c:pt idx="3">
                  <c:v>0.99089999999999989</c:v>
                </c:pt>
                <c:pt idx="4">
                  <c:v>0.99119999999999986</c:v>
                </c:pt>
                <c:pt idx="5">
                  <c:v>0.99149999999999983</c:v>
                </c:pt>
                <c:pt idx="6">
                  <c:v>0.99179999999999979</c:v>
                </c:pt>
                <c:pt idx="7">
                  <c:v>0.99209999999999976</c:v>
                </c:pt>
                <c:pt idx="8">
                  <c:v>0.99239999999999973</c:v>
                </c:pt>
                <c:pt idx="9">
                  <c:v>0.99269999999999969</c:v>
                </c:pt>
                <c:pt idx="10">
                  <c:v>0.99299999999999966</c:v>
                </c:pt>
                <c:pt idx="11">
                  <c:v>0.99329999999999963</c:v>
                </c:pt>
                <c:pt idx="12">
                  <c:v>0.99359999999999959</c:v>
                </c:pt>
                <c:pt idx="13">
                  <c:v>0.99389999999999956</c:v>
                </c:pt>
                <c:pt idx="14">
                  <c:v>0.99419999999999953</c:v>
                </c:pt>
                <c:pt idx="15">
                  <c:v>0.9944999999999995</c:v>
                </c:pt>
                <c:pt idx="16">
                  <c:v>0.99479999999999946</c:v>
                </c:pt>
                <c:pt idx="17">
                  <c:v>0.99509999999999943</c:v>
                </c:pt>
                <c:pt idx="18">
                  <c:v>0.9953999999999994</c:v>
                </c:pt>
                <c:pt idx="19">
                  <c:v>0.99569999999999936</c:v>
                </c:pt>
                <c:pt idx="20">
                  <c:v>0.99599999999999933</c:v>
                </c:pt>
                <c:pt idx="21">
                  <c:v>0.9962999999999993</c:v>
                </c:pt>
                <c:pt idx="22">
                  <c:v>0.99659999999999926</c:v>
                </c:pt>
                <c:pt idx="23">
                  <c:v>0.99689999999999923</c:v>
                </c:pt>
                <c:pt idx="24">
                  <c:v>0.9971999999999992</c:v>
                </c:pt>
                <c:pt idx="25">
                  <c:v>0.99749999999999917</c:v>
                </c:pt>
                <c:pt idx="26">
                  <c:v>0.99779999999999913</c:v>
                </c:pt>
                <c:pt idx="27">
                  <c:v>0.9980999999999991</c:v>
                </c:pt>
                <c:pt idx="28">
                  <c:v>0.99839999999999907</c:v>
                </c:pt>
                <c:pt idx="29">
                  <c:v>0.99869999999999903</c:v>
                </c:pt>
                <c:pt idx="30">
                  <c:v>0.998999999999999</c:v>
                </c:pt>
                <c:pt idx="31">
                  <c:v>0.99929999999999897</c:v>
                </c:pt>
                <c:pt idx="32">
                  <c:v>0.99959999999999893</c:v>
                </c:pt>
                <c:pt idx="33">
                  <c:v>0.9998999999999989</c:v>
                </c:pt>
                <c:pt idx="34">
                  <c:v>1.0001999999999989</c:v>
                </c:pt>
                <c:pt idx="35">
                  <c:v>1.0004999999999988</c:v>
                </c:pt>
                <c:pt idx="36">
                  <c:v>1.0007999999999988</c:v>
                </c:pt>
                <c:pt idx="37">
                  <c:v>1.0010999999999988</c:v>
                </c:pt>
                <c:pt idx="38">
                  <c:v>1.0013999999999987</c:v>
                </c:pt>
                <c:pt idx="39">
                  <c:v>1.0016999999999987</c:v>
                </c:pt>
                <c:pt idx="40">
                  <c:v>1.0019999999999987</c:v>
                </c:pt>
                <c:pt idx="41">
                  <c:v>1.0022999999999986</c:v>
                </c:pt>
                <c:pt idx="42">
                  <c:v>1.0025999999999986</c:v>
                </c:pt>
                <c:pt idx="43">
                  <c:v>1.0028999999999986</c:v>
                </c:pt>
                <c:pt idx="44">
                  <c:v>1.0031999999999985</c:v>
                </c:pt>
                <c:pt idx="45">
                  <c:v>1.0034999999999985</c:v>
                </c:pt>
                <c:pt idx="46">
                  <c:v>1.0037999999999985</c:v>
                </c:pt>
                <c:pt idx="47">
                  <c:v>1.0040999999999984</c:v>
                </c:pt>
                <c:pt idx="48">
                  <c:v>1.0043999999999984</c:v>
                </c:pt>
                <c:pt idx="49">
                  <c:v>1.0046999999999984</c:v>
                </c:pt>
                <c:pt idx="50">
                  <c:v>1.0049999999999983</c:v>
                </c:pt>
              </c:numCache>
            </c:numRef>
          </c:xVal>
          <c:yVal>
            <c:numRef>
              <c:f>Beta_Dis!$Q$5:$Q$55</c:f>
              <c:numCache>
                <c:formatCode>0.0000</c:formatCode>
                <c:ptCount val="51"/>
                <c:pt idx="0">
                  <c:v>0</c:v>
                </c:pt>
                <c:pt idx="1">
                  <c:v>7.1890754865567727E-25</c:v>
                </c:pt>
                <c:pt idx="2">
                  <c:v>2.1150360244246269E-19</c:v>
                </c:pt>
                <c:pt idx="3">
                  <c:v>3.2311132439313887E-16</c:v>
                </c:pt>
                <c:pt idx="4">
                  <c:v>5.7222021029936833E-14</c:v>
                </c:pt>
                <c:pt idx="5">
                  <c:v>3.1090140015522737E-12</c:v>
                </c:pt>
                <c:pt idx="6">
                  <c:v>7.9942811254978655E-11</c:v>
                </c:pt>
                <c:pt idx="7">
                  <c:v>1.2258354121127688E-9</c:v>
                </c:pt>
                <c:pt idx="8">
                  <c:v>1.2867440771793836E-8</c:v>
                </c:pt>
                <c:pt idx="9">
                  <c:v>1.0106161042399335E-7</c:v>
                </c:pt>
                <c:pt idx="10">
                  <c:v>6.310611176064439E-7</c:v>
                </c:pt>
                <c:pt idx="11">
                  <c:v>3.2713757529242411E-6</c:v>
                </c:pt>
                <c:pt idx="12">
                  <c:v>1.453498745164546E-5</c:v>
                </c:pt>
                <c:pt idx="13">
                  <c:v>5.6705575155683239E-5</c:v>
                </c:pt>
                <c:pt idx="14">
                  <c:v>1.9792883826469206E-4</c:v>
                </c:pt>
                <c:pt idx="15">
                  <c:v>6.2734050297498501E-4</c:v>
                </c:pt>
                <c:pt idx="16">
                  <c:v>1.827174053175727E-3</c:v>
                </c:pt>
                <c:pt idx="17">
                  <c:v>4.9379712096630189E-3</c:v>
                </c:pt>
                <c:pt idx="18">
                  <c:v>1.2481737633082393E-2</c:v>
                </c:pt>
                <c:pt idx="19">
                  <c:v>2.9705703200655915E-2</c:v>
                </c:pt>
                <c:pt idx="20">
                  <c:v>6.6935321354487237E-2</c:v>
                </c:pt>
                <c:pt idx="21">
                  <c:v>0.14346775398146908</c:v>
                </c:pt>
                <c:pt idx="22">
                  <c:v>0.29366814253668311</c:v>
                </c:pt>
                <c:pt idx="23">
                  <c:v>0.57599962564266438</c:v>
                </c:pt>
                <c:pt idx="24">
                  <c:v>1.0856469541846341</c:v>
                </c:pt>
                <c:pt idx="25">
                  <c:v>1.9710797663891007</c:v>
                </c:pt>
                <c:pt idx="26">
                  <c:v>3.4542260932134212</c:v>
                </c:pt>
                <c:pt idx="27">
                  <c:v>5.8527759638837802</c:v>
                </c:pt>
                <c:pt idx="28">
                  <c:v>9.6014381566024394</c:v>
                </c:pt>
                <c:pt idx="29">
                  <c:v>15.266755764889762</c:v>
                </c:pt>
                <c:pt idx="30">
                  <c:v>23.547538963454929</c:v>
                </c:pt>
                <c:pt idx="31">
                  <c:v>35.250527241499746</c:v>
                </c:pt>
                <c:pt idx="32">
                  <c:v>51.229286211775452</c:v>
                </c:pt>
                <c:pt idx="33">
                  <c:v>72.274651278547367</c:v>
                </c:pt>
                <c:pt idx="34">
                  <c:v>98.948622397935438</c:v>
                </c:pt>
                <c:pt idx="35">
                  <c:v>131.36199085127362</c:v>
                </c:pt>
                <c:pt idx="36">
                  <c:v>168.91042367235713</c:v>
                </c:pt>
                <c:pt idx="37">
                  <c:v>210.00472726546261</c:v>
                </c:pt>
                <c:pt idx="38">
                  <c:v>251.85738309477347</c:v>
                </c:pt>
                <c:pt idx="39">
                  <c:v>290.41523868065383</c:v>
                </c:pt>
                <c:pt idx="40">
                  <c:v>320.54943847952876</c:v>
                </c:pt>
                <c:pt idx="41">
                  <c:v>336.61511148200611</c:v>
                </c:pt>
                <c:pt idx="42">
                  <c:v>333.45629057769008</c:v>
                </c:pt>
                <c:pt idx="43">
                  <c:v>307.83335417502263</c:v>
                </c:pt>
                <c:pt idx="44">
                  <c:v>260.06981937695326</c:v>
                </c:pt>
                <c:pt idx="45">
                  <c:v>195.4459245607556</c:v>
                </c:pt>
                <c:pt idx="46">
                  <c:v>124.54250766919719</c:v>
                </c:pt>
                <c:pt idx="47">
                  <c:v>61.487319479254339</c:v>
                </c:pt>
                <c:pt idx="48">
                  <c:v>19.197962399209949</c:v>
                </c:pt>
                <c:pt idx="49">
                  <c:v>1.9815716159717969</c:v>
                </c:pt>
                <c:pt idx="50">
                  <c:v>1.0057442328252431E-9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72-4A62-BE3E-DBE2E1675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3080"/>
        <c:axId val="154460728"/>
      </c:scatterChart>
      <c:valAx>
        <c:axId val="154463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60728"/>
        <c:crosses val="autoZero"/>
        <c:crossBetween val="midCat"/>
      </c:valAx>
      <c:valAx>
        <c:axId val="1544607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63080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Release</a:t>
            </a:r>
            <a:r>
              <a:rPr lang="en-US" baseline="0"/>
              <a:t> Interval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Beta_Dis!$V$5:$V$55</c:f>
              <c:numCache>
                <c:formatCode>0.000</c:formatCode>
                <c:ptCount val="51"/>
                <c:pt idx="0">
                  <c:v>1</c:v>
                </c:pt>
                <c:pt idx="1">
                  <c:v>1.08</c:v>
                </c:pt>
                <c:pt idx="2">
                  <c:v>1.1600000000000001</c:v>
                </c:pt>
                <c:pt idx="3">
                  <c:v>1.2400000000000002</c:v>
                </c:pt>
                <c:pt idx="4">
                  <c:v>1.3200000000000003</c:v>
                </c:pt>
                <c:pt idx="5">
                  <c:v>1.4000000000000004</c:v>
                </c:pt>
                <c:pt idx="6">
                  <c:v>1.4800000000000004</c:v>
                </c:pt>
                <c:pt idx="7">
                  <c:v>1.5600000000000005</c:v>
                </c:pt>
                <c:pt idx="8">
                  <c:v>1.6400000000000006</c:v>
                </c:pt>
                <c:pt idx="9">
                  <c:v>1.7200000000000006</c:v>
                </c:pt>
                <c:pt idx="10">
                  <c:v>1.8000000000000007</c:v>
                </c:pt>
                <c:pt idx="11">
                  <c:v>1.8800000000000008</c:v>
                </c:pt>
                <c:pt idx="12">
                  <c:v>1.9600000000000009</c:v>
                </c:pt>
                <c:pt idx="13">
                  <c:v>2.0400000000000009</c:v>
                </c:pt>
                <c:pt idx="14">
                  <c:v>2.120000000000001</c:v>
                </c:pt>
                <c:pt idx="15">
                  <c:v>2.2000000000000011</c:v>
                </c:pt>
                <c:pt idx="16">
                  <c:v>2.2800000000000011</c:v>
                </c:pt>
                <c:pt idx="17">
                  <c:v>2.3600000000000012</c:v>
                </c:pt>
                <c:pt idx="18">
                  <c:v>2.4400000000000013</c:v>
                </c:pt>
                <c:pt idx="19">
                  <c:v>2.5200000000000014</c:v>
                </c:pt>
                <c:pt idx="20">
                  <c:v>2.6000000000000014</c:v>
                </c:pt>
                <c:pt idx="21">
                  <c:v>2.6800000000000015</c:v>
                </c:pt>
                <c:pt idx="22">
                  <c:v>2.7600000000000016</c:v>
                </c:pt>
                <c:pt idx="23">
                  <c:v>2.8400000000000016</c:v>
                </c:pt>
                <c:pt idx="24">
                  <c:v>2.9200000000000017</c:v>
                </c:pt>
                <c:pt idx="25">
                  <c:v>3.0000000000000018</c:v>
                </c:pt>
                <c:pt idx="26">
                  <c:v>3.0800000000000018</c:v>
                </c:pt>
                <c:pt idx="27">
                  <c:v>3.1600000000000019</c:v>
                </c:pt>
                <c:pt idx="28">
                  <c:v>3.240000000000002</c:v>
                </c:pt>
                <c:pt idx="29">
                  <c:v>3.3200000000000021</c:v>
                </c:pt>
                <c:pt idx="30">
                  <c:v>3.4000000000000021</c:v>
                </c:pt>
                <c:pt idx="31">
                  <c:v>3.4800000000000022</c:v>
                </c:pt>
                <c:pt idx="32">
                  <c:v>3.5600000000000023</c:v>
                </c:pt>
                <c:pt idx="33">
                  <c:v>3.6400000000000023</c:v>
                </c:pt>
                <c:pt idx="34">
                  <c:v>3.7200000000000024</c:v>
                </c:pt>
                <c:pt idx="35">
                  <c:v>3.8000000000000025</c:v>
                </c:pt>
                <c:pt idx="36">
                  <c:v>3.8800000000000026</c:v>
                </c:pt>
                <c:pt idx="37">
                  <c:v>3.9600000000000026</c:v>
                </c:pt>
                <c:pt idx="38">
                  <c:v>4.0400000000000027</c:v>
                </c:pt>
                <c:pt idx="39">
                  <c:v>4.1200000000000028</c:v>
                </c:pt>
                <c:pt idx="40">
                  <c:v>4.2000000000000028</c:v>
                </c:pt>
                <c:pt idx="41">
                  <c:v>4.2800000000000029</c:v>
                </c:pt>
                <c:pt idx="42">
                  <c:v>4.360000000000003</c:v>
                </c:pt>
                <c:pt idx="43">
                  <c:v>4.4400000000000031</c:v>
                </c:pt>
                <c:pt idx="44">
                  <c:v>4.5200000000000031</c:v>
                </c:pt>
                <c:pt idx="45">
                  <c:v>4.6000000000000032</c:v>
                </c:pt>
                <c:pt idx="46">
                  <c:v>4.6800000000000033</c:v>
                </c:pt>
                <c:pt idx="47">
                  <c:v>4.7600000000000033</c:v>
                </c:pt>
                <c:pt idx="48">
                  <c:v>4.8400000000000034</c:v>
                </c:pt>
                <c:pt idx="49">
                  <c:v>4.9200000000000035</c:v>
                </c:pt>
                <c:pt idx="50">
                  <c:v>5.0000000000000036</c:v>
                </c:pt>
              </c:numCache>
            </c:numRef>
          </c:xVal>
          <c:yVal>
            <c:numRef>
              <c:f>Beta_Dis!$W$5:$W$55</c:f>
              <c:numCache>
                <c:formatCode>0.0000</c:formatCode>
                <c:ptCount val="51"/>
                <c:pt idx="0">
                  <c:v>0</c:v>
                </c:pt>
                <c:pt idx="1">
                  <c:v>6.1865459361733897E-2</c:v>
                </c:pt>
                <c:pt idx="2">
                  <c:v>0.17919592326172534</c:v>
                </c:pt>
                <c:pt idx="3">
                  <c:v>0.31275072676444204</c:v>
                </c:pt>
                <c:pt idx="4">
                  <c:v>0.44271672212720919</c:v>
                </c:pt>
                <c:pt idx="5">
                  <c:v>0.55784673330673562</c:v>
                </c:pt>
                <c:pt idx="6">
                  <c:v>0.65211359526710255</c:v>
                </c:pt>
                <c:pt idx="7">
                  <c:v>0.72292714915177292</c:v>
                </c:pt>
                <c:pt idx="8">
                  <c:v>0.77000136383351714</c:v>
                </c:pt>
                <c:pt idx="9">
                  <c:v>0.79457338621541151</c:v>
                </c:pt>
                <c:pt idx="10">
                  <c:v>0.79884330339347853</c:v>
                </c:pt>
                <c:pt idx="11">
                  <c:v>0.78556524610852696</c:v>
                </c:pt>
                <c:pt idx="12">
                  <c:v>0.75774820775042961</c:v>
                </c:pt>
                <c:pt idx="13">
                  <c:v>0.71843921192020554</c:v>
                </c:pt>
                <c:pt idx="14">
                  <c:v>0.67056959043186692</c:v>
                </c:pt>
                <c:pt idx="15">
                  <c:v>0.61685016702698259</c:v>
                </c:pt>
                <c:pt idx="16">
                  <c:v>0.55970447596894246</c:v>
                </c:pt>
                <c:pt idx="17">
                  <c:v>0.50123147899125642</c:v>
                </c:pt>
                <c:pt idx="18">
                  <c:v>0.44319095515483892</c:v>
                </c:pt>
                <c:pt idx="19">
                  <c:v>0.38700604057270455</c:v>
                </c:pt>
                <c:pt idx="20">
                  <c:v>0.3337784172254144</c:v>
                </c:pt>
                <c:pt idx="21">
                  <c:v>0.28431247260708575</c:v>
                </c:pt>
                <c:pt idx="22">
                  <c:v>0.23914542691826299</c:v>
                </c:pt>
                <c:pt idx="23">
                  <c:v>0.19858098701779917</c:v>
                </c:pt>
                <c:pt idx="24">
                  <c:v>0.16272456062203353</c:v>
                </c:pt>
                <c:pt idx="25">
                  <c:v>0.1315184675471365</c:v>
                </c:pt>
                <c:pt idx="26">
                  <c:v>0.10477592970554118</c:v>
                </c:pt>
                <c:pt idx="27">
                  <c:v>8.2212917470447691E-2</c:v>
                </c:pt>
                <c:pt idx="28">
                  <c:v>6.3477184061763545E-2</c:v>
                </c:pt>
                <c:pt idx="29">
                  <c:v>4.8174037339919137E-2</c:v>
                </c:pt>
                <c:pt idx="30">
                  <c:v>3.588858422413399E-2</c:v>
                </c:pt>
                <c:pt idx="31">
                  <c:v>2.6204340431489098E-2</c:v>
                </c:pt>
                <c:pt idx="32">
                  <c:v>1.8718230279162786E-2</c:v>
                </c:pt>
                <c:pt idx="33">
                  <c:v>1.3052110339558101E-2</c:v>
                </c:pt>
                <c:pt idx="34">
                  <c:v>8.8610388539389195E-3</c:v>
                </c:pt>
                <c:pt idx="35">
                  <c:v>5.8385817782716934E-3</c:v>
                </c:pt>
                <c:pt idx="36">
                  <c:v>3.7194977196642635E-3</c:v>
                </c:pt>
                <c:pt idx="37">
                  <c:v>2.2801792180564416E-3</c:v>
                </c:pt>
                <c:pt idx="38">
                  <c:v>1.337248100597291E-3</c:v>
                </c:pt>
                <c:pt idx="39">
                  <c:v>7.4470915267614525E-4</c:v>
                </c:pt>
                <c:pt idx="40">
                  <c:v>3.9006020673508816E-4</c:v>
                </c:pt>
                <c:pt idx="41">
                  <c:v>1.897389987450214E-4</c:v>
                </c:pt>
                <c:pt idx="42">
                  <c:v>8.4258810861362801E-5</c:v>
                </c:pt>
                <c:pt idx="43">
                  <c:v>3.3347036827389795E-5</c:v>
                </c:pt>
                <c:pt idx="44">
                  <c:v>1.1354431926391373E-5</c:v>
                </c:pt>
                <c:pt idx="45">
                  <c:v>3.1490611373983444E-6</c:v>
                </c:pt>
                <c:pt idx="46">
                  <c:v>6.490644221581354E-7</c:v>
                </c:pt>
                <c:pt idx="47">
                  <c:v>8.3719574015905043E-8</c:v>
                </c:pt>
                <c:pt idx="48">
                  <c:v>4.5937387806884916E-9</c:v>
                </c:pt>
                <c:pt idx="49">
                  <c:v>3.1287423578690905E-11</c:v>
                </c:pt>
                <c:pt idx="50">
                  <c:v>1.0736267971928075E-41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4B-44F7-8B68-9474720EA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8195744"/>
        <c:axId val="1442170528"/>
      </c:scatterChart>
      <c:valAx>
        <c:axId val="134819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170528"/>
        <c:crosses val="autoZero"/>
        <c:crossBetween val="midCat"/>
      </c:valAx>
      <c:valAx>
        <c:axId val="144217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19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22860</xdr:rowOff>
        </xdr:from>
        <xdr:to>
          <xdr:col>4</xdr:col>
          <xdr:colOff>746760</xdr:colOff>
          <xdr:row>3</xdr:row>
          <xdr:rowOff>137160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60960</xdr:colOff>
      <xdr:row>13</xdr:row>
      <xdr:rowOff>57150</xdr:rowOff>
    </xdr:from>
    <xdr:to>
      <xdr:col>28</xdr:col>
      <xdr:colOff>609600</xdr:colOff>
      <xdr:row>27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762000</xdr:colOff>
      <xdr:row>13</xdr:row>
      <xdr:rowOff>76200</xdr:rowOff>
    </xdr:from>
    <xdr:to>
      <xdr:col>23</xdr:col>
      <xdr:colOff>541020</xdr:colOff>
      <xdr:row>27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754380</xdr:colOff>
      <xdr:row>28</xdr:row>
      <xdr:rowOff>26670</xdr:rowOff>
    </xdr:from>
    <xdr:to>
      <xdr:col>23</xdr:col>
      <xdr:colOff>556260</xdr:colOff>
      <xdr:row>40</xdr:row>
      <xdr:rowOff>22860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792480</xdr:colOff>
      <xdr:row>28</xdr:row>
      <xdr:rowOff>34290</xdr:rowOff>
    </xdr:from>
    <xdr:to>
      <xdr:col>28</xdr:col>
      <xdr:colOff>655320</xdr:colOff>
      <xdr:row>40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</xdr:colOff>
      <xdr:row>0</xdr:row>
      <xdr:rowOff>0</xdr:rowOff>
    </xdr:from>
    <xdr:to>
      <xdr:col>1</xdr:col>
      <xdr:colOff>546100</xdr:colOff>
      <xdr:row>1</xdr:row>
      <xdr:rowOff>175260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027" t="29636" r="15572"/>
        <a:stretch>
          <a:fillRect/>
        </a:stretch>
      </xdr:blipFill>
      <xdr:spPr bwMode="auto">
        <a:xfrm>
          <a:off x="15240" y="0"/>
          <a:ext cx="1140460" cy="358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K364"/>
  <sheetViews>
    <sheetView tabSelected="1" workbookViewId="0">
      <selection activeCell="L3" sqref="L3"/>
    </sheetView>
  </sheetViews>
  <sheetFormatPr defaultColWidth="11.5546875" defaultRowHeight="14.4"/>
  <cols>
    <col min="1" max="1" width="32.5546875" style="45" customWidth="1"/>
    <col min="2" max="2" width="16" style="354" customWidth="1"/>
    <col min="3" max="3" width="13.88671875" customWidth="1"/>
    <col min="4" max="4" width="18.109375" bestFit="1" customWidth="1"/>
    <col min="5" max="5" width="14.6640625" bestFit="1" customWidth="1"/>
    <col min="6" max="6" width="14.6640625" style="27" customWidth="1"/>
    <col min="7" max="7" width="11.109375" style="251" bestFit="1" customWidth="1"/>
    <col min="8" max="9" width="11.109375" style="251" customWidth="1"/>
    <col min="10" max="10" width="13.6640625" style="368" customWidth="1"/>
    <col min="11" max="11" width="15.6640625" style="368" bestFit="1" customWidth="1"/>
    <col min="12" max="12" width="14.6640625" style="368" bestFit="1" customWidth="1"/>
    <col min="13" max="13" width="14.6640625" style="368" customWidth="1"/>
    <col min="14" max="14" width="16.6640625" style="368" customWidth="1"/>
    <col min="15" max="15" width="15" style="15" bestFit="1" customWidth="1"/>
    <col min="16" max="16" width="14.109375" style="15" bestFit="1" customWidth="1"/>
    <col min="17" max="17" width="15" style="373" bestFit="1" customWidth="1"/>
    <col min="18" max="18" width="14.109375" style="373" bestFit="1" customWidth="1"/>
    <col min="19" max="19" width="17.6640625" style="373" bestFit="1" customWidth="1"/>
    <col min="20" max="20" width="17.6640625" style="380" customWidth="1"/>
    <col min="21" max="21" width="14.109375" style="374" bestFit="1" customWidth="1"/>
    <col min="22" max="22" width="12.109375" style="374" customWidth="1"/>
    <col min="23" max="23" width="14.6640625" style="374" bestFit="1" customWidth="1"/>
    <col min="24" max="24" width="12.6640625" customWidth="1"/>
    <col min="25" max="27" width="12.6640625" style="373" customWidth="1"/>
    <col min="28" max="28" width="18.33203125" style="373" customWidth="1"/>
    <col min="29" max="29" width="12.6640625" customWidth="1"/>
    <col min="30" max="30" width="16.21875" style="451" customWidth="1"/>
    <col min="31" max="31" width="21.44140625" style="373" customWidth="1"/>
    <col min="32" max="32" width="23.5546875" style="373" customWidth="1"/>
    <col min="34" max="35" width="16" style="373" bestFit="1" customWidth="1"/>
    <col min="36" max="36" width="13.77734375" style="373" customWidth="1"/>
    <col min="37" max="37" width="17.6640625" style="373" bestFit="1" customWidth="1"/>
    <col min="39" max="40" width="14.109375" style="373" bestFit="1" customWidth="1"/>
    <col min="41" max="41" width="13.5546875" style="373" customWidth="1"/>
    <col min="42" max="42" width="17.6640625" style="373" bestFit="1" customWidth="1"/>
    <col min="43" max="43" width="10.6640625" style="96"/>
    <col min="44" max="44" width="14.33203125" style="373" customWidth="1"/>
    <col min="45" max="45" width="18.44140625" style="373" customWidth="1"/>
    <col min="46" max="46" width="11.5546875" style="15"/>
    <col min="47" max="47" width="12.6640625" style="380" customWidth="1"/>
    <col min="48" max="48" width="13" style="380" customWidth="1"/>
    <col min="49" max="49" width="12.33203125" style="380" customWidth="1"/>
    <col min="50" max="50" width="16.109375" style="380" customWidth="1"/>
    <col min="51" max="51" width="10.6640625" style="96"/>
    <col min="52" max="53" width="17.6640625" style="373" bestFit="1" customWidth="1"/>
    <col min="54" max="54" width="19.6640625" style="373" customWidth="1"/>
    <col min="55" max="55" width="17.6640625" style="373" bestFit="1" customWidth="1"/>
    <col min="56" max="56" width="12.44140625" bestFit="1" customWidth="1"/>
    <col min="57" max="57" width="16" style="373" bestFit="1" customWidth="1"/>
    <col min="58" max="58" width="13.33203125" style="373" bestFit="1" customWidth="1"/>
    <col min="59" max="59" width="16" style="373" bestFit="1" customWidth="1"/>
    <col min="60" max="60" width="17.6640625" style="373" bestFit="1" customWidth="1"/>
    <col min="61" max="61" width="10.6640625" style="96"/>
    <col min="62" max="63" width="15" style="373" bestFit="1" customWidth="1"/>
    <col min="64" max="64" width="15.33203125" style="373" customWidth="1"/>
    <col min="65" max="65" width="17.6640625" style="373" bestFit="1" customWidth="1"/>
    <col min="67" max="67" width="13.6640625" style="373" bestFit="1" customWidth="1"/>
    <col min="68" max="68" width="13.44140625" style="373" bestFit="1" customWidth="1"/>
    <col min="69" max="69" width="15" style="373" customWidth="1"/>
    <col min="70" max="70" width="17.6640625" style="373" bestFit="1" customWidth="1"/>
    <col min="71" max="71" width="10.6640625" style="96"/>
    <col min="72" max="74" width="16.109375" style="373" bestFit="1" customWidth="1"/>
    <col min="75" max="75" width="17.6640625" style="373" bestFit="1" customWidth="1"/>
    <col min="77" max="77" width="17.6640625" style="373" bestFit="1" customWidth="1"/>
    <col min="78" max="78" width="19.44140625" style="373" customWidth="1"/>
    <col min="79" max="79" width="11.33203125" style="373" bestFit="1" customWidth="1"/>
    <col min="80" max="80" width="11.5546875" style="15"/>
    <col min="81" max="81" width="15.109375" style="373" bestFit="1" customWidth="1"/>
    <col min="82" max="82" width="17.33203125" style="373" customWidth="1"/>
    <col min="84" max="84" width="17.109375" style="373" customWidth="1"/>
    <col min="85" max="85" width="15.44140625" style="373" customWidth="1"/>
    <col min="86" max="86" width="11.5546875" style="15"/>
    <col min="87" max="87" width="17.109375" style="373" customWidth="1"/>
    <col min="88" max="88" width="16.33203125" style="370" customWidth="1"/>
    <col min="89" max="89" width="16.33203125" style="103" customWidth="1"/>
  </cols>
  <sheetData>
    <row r="1" spans="1:89" ht="15.6">
      <c r="A1" s="333"/>
      <c r="B1" s="333"/>
      <c r="G1" s="391"/>
      <c r="H1" s="494" t="s">
        <v>400</v>
      </c>
      <c r="I1" s="495"/>
      <c r="J1" s="495"/>
      <c r="K1" s="496"/>
      <c r="L1" s="496"/>
      <c r="M1" s="251"/>
      <c r="N1" s="483" t="s">
        <v>202</v>
      </c>
      <c r="O1" s="484"/>
      <c r="P1" s="484"/>
      <c r="Q1" s="484"/>
      <c r="R1" s="484"/>
      <c r="S1" s="484"/>
      <c r="T1" s="484"/>
      <c r="U1" s="485"/>
      <c r="V1" s="485"/>
      <c r="W1" s="486"/>
      <c r="X1" s="99"/>
      <c r="Y1" s="477" t="s">
        <v>429</v>
      </c>
      <c r="Z1" s="487"/>
      <c r="AA1" s="487"/>
      <c r="AB1" s="478"/>
      <c r="AC1" s="421"/>
      <c r="AD1" s="488" t="s">
        <v>430</v>
      </c>
      <c r="AE1" s="489"/>
      <c r="AF1" s="490"/>
      <c r="AG1" s="55"/>
      <c r="AH1" s="477" t="s">
        <v>214</v>
      </c>
      <c r="AI1" s="487"/>
      <c r="AJ1" s="487"/>
      <c r="AK1" s="478"/>
      <c r="AL1" s="55"/>
      <c r="AM1" s="477" t="s">
        <v>223</v>
      </c>
      <c r="AN1" s="487"/>
      <c r="AO1" s="487"/>
      <c r="AP1" s="478"/>
      <c r="AQ1" s="55"/>
      <c r="AR1" s="477" t="s">
        <v>406</v>
      </c>
      <c r="AS1" s="478"/>
      <c r="AT1" s="55"/>
      <c r="AU1" s="491" t="s">
        <v>431</v>
      </c>
      <c r="AV1" s="492"/>
      <c r="AW1" s="492"/>
      <c r="AX1" s="493"/>
      <c r="AY1" s="55"/>
      <c r="AZ1" s="477" t="s">
        <v>230</v>
      </c>
      <c r="BA1" s="487"/>
      <c r="BB1" s="487"/>
      <c r="BC1" s="478"/>
      <c r="BE1" s="477" t="s">
        <v>435</v>
      </c>
      <c r="BF1" s="487"/>
      <c r="BG1" s="487"/>
      <c r="BH1" s="478"/>
      <c r="BI1"/>
      <c r="BJ1" s="477" t="s">
        <v>245</v>
      </c>
      <c r="BK1" s="487"/>
      <c r="BL1" s="487"/>
      <c r="BM1" s="478"/>
      <c r="BO1" s="477" t="s">
        <v>255</v>
      </c>
      <c r="BP1" s="487"/>
      <c r="BQ1" s="487"/>
      <c r="BR1" s="478"/>
      <c r="BS1"/>
      <c r="BT1" s="477" t="s">
        <v>407</v>
      </c>
      <c r="BU1" s="487"/>
      <c r="BV1" s="487"/>
      <c r="BW1" s="478"/>
      <c r="BY1" s="477" t="s">
        <v>415</v>
      </c>
      <c r="BZ1" s="487"/>
      <c r="CA1" s="478"/>
      <c r="CC1" s="477" t="s">
        <v>336</v>
      </c>
      <c r="CD1" s="478"/>
      <c r="CF1" s="477" t="s">
        <v>341</v>
      </c>
      <c r="CG1" s="478"/>
      <c r="CI1" s="477" t="s">
        <v>416</v>
      </c>
      <c r="CJ1" s="478"/>
      <c r="CK1" s="100"/>
    </row>
    <row r="2" spans="1:89" ht="15.6">
      <c r="A2" s="164"/>
      <c r="B2" s="164"/>
      <c r="C2" s="152"/>
      <c r="G2" s="417" t="s">
        <v>287</v>
      </c>
      <c r="H2" s="392"/>
      <c r="I2" s="99"/>
      <c r="J2" s="410"/>
      <c r="K2" s="410"/>
      <c r="L2" s="376"/>
      <c r="M2" s="328"/>
      <c r="N2" s="411" t="s">
        <v>206</v>
      </c>
      <c r="O2" s="99" t="s">
        <v>266</v>
      </c>
      <c r="P2" s="99" t="s">
        <v>267</v>
      </c>
      <c r="Q2" s="100" t="s">
        <v>203</v>
      </c>
      <c r="R2" s="100" t="s">
        <v>204</v>
      </c>
      <c r="S2" s="100" t="s">
        <v>205</v>
      </c>
      <c r="T2" s="223"/>
      <c r="U2" s="211" t="s">
        <v>209</v>
      </c>
      <c r="V2" s="211" t="s">
        <v>213</v>
      </c>
      <c r="W2" s="212" t="s">
        <v>196</v>
      </c>
      <c r="X2" s="99"/>
      <c r="Y2" s="215" t="s">
        <v>210</v>
      </c>
      <c r="Z2" s="216" t="s">
        <v>211</v>
      </c>
      <c r="AA2" s="216" t="s">
        <v>212</v>
      </c>
      <c r="AB2" s="217" t="s">
        <v>413</v>
      </c>
      <c r="AC2" s="99"/>
      <c r="AD2" s="448" t="s">
        <v>420</v>
      </c>
      <c r="AE2" s="420"/>
      <c r="AF2" s="221" t="s">
        <v>192</v>
      </c>
      <c r="AG2" s="55"/>
      <c r="AH2" s="220" t="s">
        <v>218</v>
      </c>
      <c r="AI2" s="100" t="s">
        <v>217</v>
      </c>
      <c r="AJ2" s="100" t="s">
        <v>216</v>
      </c>
      <c r="AK2" s="221" t="s">
        <v>215</v>
      </c>
      <c r="AL2" s="55"/>
      <c r="AM2" s="220" t="s">
        <v>222</v>
      </c>
      <c r="AN2" s="100" t="s">
        <v>221</v>
      </c>
      <c r="AO2" s="100" t="s">
        <v>220</v>
      </c>
      <c r="AP2" s="221" t="s">
        <v>219</v>
      </c>
      <c r="AQ2" s="55"/>
      <c r="AR2" s="220" t="s">
        <v>225</v>
      </c>
      <c r="AS2" s="221" t="s">
        <v>226</v>
      </c>
      <c r="AT2" s="55"/>
      <c r="AU2" s="222" t="s">
        <v>228</v>
      </c>
      <c r="AV2" s="223" t="s">
        <v>227</v>
      </c>
      <c r="AW2" s="224" t="s">
        <v>265</v>
      </c>
      <c r="AX2" s="221" t="s">
        <v>229</v>
      </c>
      <c r="AY2" s="55"/>
      <c r="AZ2" s="220" t="s">
        <v>232</v>
      </c>
      <c r="BA2" s="100" t="s">
        <v>233</v>
      </c>
      <c r="BB2" s="100" t="s">
        <v>234</v>
      </c>
      <c r="BC2" s="221" t="s">
        <v>235</v>
      </c>
      <c r="BE2" s="222" t="s">
        <v>241</v>
      </c>
      <c r="BF2" s="223" t="s">
        <v>242</v>
      </c>
      <c r="BG2" s="223" t="s">
        <v>243</v>
      </c>
      <c r="BH2" s="221" t="s">
        <v>244</v>
      </c>
      <c r="BI2"/>
      <c r="BJ2" s="220" t="s">
        <v>249</v>
      </c>
      <c r="BK2" s="100" t="s">
        <v>250</v>
      </c>
      <c r="BL2" s="100" t="s">
        <v>251</v>
      </c>
      <c r="BM2" s="221" t="s">
        <v>252</v>
      </c>
      <c r="BO2" s="220" t="s">
        <v>256</v>
      </c>
      <c r="BP2" s="100" t="s">
        <v>257</v>
      </c>
      <c r="BQ2" s="100" t="s">
        <v>258</v>
      </c>
      <c r="BR2" s="221" t="s">
        <v>259</v>
      </c>
      <c r="BS2"/>
      <c r="BT2" s="220" t="s">
        <v>274</v>
      </c>
      <c r="BU2" s="100" t="s">
        <v>275</v>
      </c>
      <c r="BV2" s="100" t="s">
        <v>276</v>
      </c>
      <c r="BW2" s="221" t="s">
        <v>264</v>
      </c>
      <c r="BY2" s="222" t="s">
        <v>263</v>
      </c>
      <c r="BZ2" s="223" t="s">
        <v>319</v>
      </c>
      <c r="CA2" s="227" t="s">
        <v>280</v>
      </c>
      <c r="CC2" s="228" t="s">
        <v>339</v>
      </c>
      <c r="CD2" s="229" t="s">
        <v>340</v>
      </c>
      <c r="CF2" s="365"/>
      <c r="CG2" s="366"/>
      <c r="CH2" s="382"/>
      <c r="CI2" s="365"/>
      <c r="CJ2" s="408"/>
      <c r="CK2" s="320"/>
    </row>
    <row r="3" spans="1:89" s="95" customFormat="1" ht="57.6">
      <c r="A3" s="137"/>
      <c r="B3" s="334"/>
      <c r="F3" s="396"/>
      <c r="G3" s="418" t="s">
        <v>104</v>
      </c>
      <c r="H3" s="414" t="s">
        <v>417</v>
      </c>
      <c r="I3" s="413" t="s">
        <v>408</v>
      </c>
      <c r="J3" s="329" t="s">
        <v>403</v>
      </c>
      <c r="K3" s="329" t="s">
        <v>401</v>
      </c>
      <c r="L3" s="330" t="s">
        <v>402</v>
      </c>
      <c r="M3" s="331"/>
      <c r="N3" s="332" t="s">
        <v>418</v>
      </c>
      <c r="O3" s="104" t="s">
        <v>253</v>
      </c>
      <c r="P3" s="104" t="s">
        <v>254</v>
      </c>
      <c r="Q3" s="105" t="s">
        <v>268</v>
      </c>
      <c r="R3" s="105" t="s">
        <v>269</v>
      </c>
      <c r="S3" s="105" t="s">
        <v>270</v>
      </c>
      <c r="T3" s="226" t="s">
        <v>446</v>
      </c>
      <c r="U3" s="213" t="s">
        <v>239</v>
      </c>
      <c r="V3" s="213" t="s">
        <v>240</v>
      </c>
      <c r="W3" s="214" t="s">
        <v>419</v>
      </c>
      <c r="X3" s="101"/>
      <c r="Y3" s="218" t="s">
        <v>426</v>
      </c>
      <c r="Z3" s="105" t="s">
        <v>427</v>
      </c>
      <c r="AA3" s="105" t="s">
        <v>428</v>
      </c>
      <c r="AB3" s="219" t="s">
        <v>191</v>
      </c>
      <c r="AC3" s="101"/>
      <c r="AD3" s="225" t="s">
        <v>421</v>
      </c>
      <c r="AE3" s="218" t="s">
        <v>414</v>
      </c>
      <c r="AF3" s="219" t="s">
        <v>191</v>
      </c>
      <c r="AG3" s="101"/>
      <c r="AH3" s="218" t="s">
        <v>188</v>
      </c>
      <c r="AI3" s="105" t="s">
        <v>189</v>
      </c>
      <c r="AJ3" s="105" t="s">
        <v>190</v>
      </c>
      <c r="AK3" s="219" t="s">
        <v>191</v>
      </c>
      <c r="AL3" s="98"/>
      <c r="AM3" s="218" t="s">
        <v>193</v>
      </c>
      <c r="AN3" s="105" t="s">
        <v>194</v>
      </c>
      <c r="AO3" s="105" t="s">
        <v>195</v>
      </c>
      <c r="AP3" s="219" t="s">
        <v>191</v>
      </c>
      <c r="AQ3" s="98"/>
      <c r="AR3" s="218" t="s">
        <v>224</v>
      </c>
      <c r="AS3" s="219" t="s">
        <v>191</v>
      </c>
      <c r="AT3" s="98"/>
      <c r="AU3" s="225" t="s">
        <v>432</v>
      </c>
      <c r="AV3" s="226" t="s">
        <v>433</v>
      </c>
      <c r="AW3" s="226" t="s">
        <v>434</v>
      </c>
      <c r="AX3" s="219" t="s">
        <v>191</v>
      </c>
      <c r="AY3" s="98"/>
      <c r="AZ3" s="218" t="s">
        <v>231</v>
      </c>
      <c r="BA3" s="105" t="s">
        <v>236</v>
      </c>
      <c r="BB3" s="105" t="s">
        <v>195</v>
      </c>
      <c r="BC3" s="219" t="s">
        <v>191</v>
      </c>
      <c r="BE3" s="218" t="s">
        <v>238</v>
      </c>
      <c r="BF3" s="105" t="s">
        <v>237</v>
      </c>
      <c r="BG3" s="105" t="s">
        <v>436</v>
      </c>
      <c r="BH3" s="219" t="s">
        <v>191</v>
      </c>
      <c r="BJ3" s="218" t="s">
        <v>246</v>
      </c>
      <c r="BK3" s="105" t="s">
        <v>247</v>
      </c>
      <c r="BL3" s="105" t="s">
        <v>248</v>
      </c>
      <c r="BM3" s="219" t="s">
        <v>191</v>
      </c>
      <c r="BO3" s="218" t="s">
        <v>260</v>
      </c>
      <c r="BP3" s="105" t="s">
        <v>261</v>
      </c>
      <c r="BQ3" s="105" t="s">
        <v>262</v>
      </c>
      <c r="BR3" s="219" t="s">
        <v>191</v>
      </c>
      <c r="BT3" s="218" t="s">
        <v>273</v>
      </c>
      <c r="BU3" s="105" t="s">
        <v>271</v>
      </c>
      <c r="BV3" s="105" t="s">
        <v>272</v>
      </c>
      <c r="BW3" s="219" t="s">
        <v>191</v>
      </c>
      <c r="BY3" s="218" t="s">
        <v>423</v>
      </c>
      <c r="BZ3" s="105" t="s">
        <v>437</v>
      </c>
      <c r="CA3" s="219" t="s">
        <v>191</v>
      </c>
      <c r="CB3" s="98"/>
      <c r="CC3" s="230" t="s">
        <v>337</v>
      </c>
      <c r="CD3" s="231" t="s">
        <v>338</v>
      </c>
      <c r="CF3" s="230" t="s">
        <v>342</v>
      </c>
      <c r="CG3" s="231" t="s">
        <v>343</v>
      </c>
      <c r="CH3" s="98"/>
      <c r="CI3" s="230" t="s">
        <v>438</v>
      </c>
      <c r="CJ3" s="231" t="s">
        <v>439</v>
      </c>
      <c r="CK3" s="321"/>
    </row>
    <row r="4" spans="1:89" ht="15.6">
      <c r="A4" s="160" t="s">
        <v>409</v>
      </c>
      <c r="B4" s="335">
        <v>0.01</v>
      </c>
      <c r="C4" s="158"/>
      <c r="D4" s="158"/>
      <c r="G4" s="391">
        <v>0</v>
      </c>
      <c r="H4" s="415"/>
      <c r="I4" s="416"/>
      <c r="L4" s="369"/>
      <c r="N4" s="412"/>
      <c r="O4" s="370">
        <v>107902000</v>
      </c>
      <c r="P4" s="370">
        <v>16185300</v>
      </c>
      <c r="Q4" s="370">
        <v>107902000</v>
      </c>
      <c r="R4" s="370">
        <v>16185300</v>
      </c>
      <c r="S4" s="370">
        <v>10790200</v>
      </c>
      <c r="T4" s="379"/>
      <c r="U4" s="371">
        <v>1327500</v>
      </c>
      <c r="V4" s="371">
        <v>750000</v>
      </c>
      <c r="W4" s="372"/>
      <c r="X4" s="260"/>
      <c r="Y4" s="365"/>
      <c r="Z4" s="370"/>
      <c r="AA4" s="370"/>
      <c r="AB4" s="375"/>
      <c r="AC4" s="103"/>
      <c r="AD4" s="449"/>
      <c r="AE4" s="419"/>
      <c r="AF4" s="375"/>
      <c r="AH4" s="365"/>
      <c r="AI4" s="370"/>
      <c r="AJ4" s="370"/>
      <c r="AK4" s="375"/>
      <c r="AM4" s="365"/>
      <c r="AN4" s="370"/>
      <c r="AO4" s="370"/>
      <c r="AP4" s="375"/>
      <c r="AR4" s="365"/>
      <c r="AS4" s="375"/>
      <c r="AU4" s="378"/>
      <c r="AV4" s="379"/>
      <c r="AX4" s="381"/>
      <c r="AZ4" s="365"/>
      <c r="BA4" s="370"/>
      <c r="BB4" s="370"/>
      <c r="BC4" s="375"/>
      <c r="BE4" s="365"/>
      <c r="BF4" s="370"/>
      <c r="BG4" s="370"/>
      <c r="BH4" s="375"/>
      <c r="BJ4" s="365"/>
      <c r="BK4" s="370"/>
      <c r="BL4" s="370"/>
      <c r="BM4" s="375"/>
      <c r="BO4" s="365"/>
      <c r="BP4" s="370"/>
      <c r="BQ4" s="370"/>
      <c r="BR4" s="375"/>
      <c r="BT4" s="365"/>
      <c r="BU4" s="370"/>
      <c r="BV4" s="370"/>
      <c r="BW4" s="375">
        <f>-B39</f>
        <v>-10790200</v>
      </c>
      <c r="BY4" s="365"/>
      <c r="CA4" s="375"/>
      <c r="CC4" s="365">
        <f>-Class_A_Bal</f>
        <v>-107902000</v>
      </c>
      <c r="CD4" s="375">
        <f>-Class_B_Bal</f>
        <v>-16185300</v>
      </c>
      <c r="CF4" s="365"/>
      <c r="CG4" s="375"/>
      <c r="CI4" s="365"/>
      <c r="CJ4" s="409"/>
    </row>
    <row r="5" spans="1:89" ht="15.6">
      <c r="A5" s="161" t="s">
        <v>410</v>
      </c>
      <c r="B5" s="336">
        <v>6</v>
      </c>
      <c r="C5" s="158"/>
      <c r="D5" s="158"/>
      <c r="G5" s="417">
        <v>1</v>
      </c>
      <c r="H5" s="251">
        <v>0</v>
      </c>
      <c r="I5" s="377">
        <v>0</v>
      </c>
      <c r="J5" s="368">
        <v>0</v>
      </c>
      <c r="K5" s="368">
        <v>5035500</v>
      </c>
      <c r="L5" s="369">
        <v>2508000</v>
      </c>
      <c r="N5" s="367">
        <v>2527500</v>
      </c>
      <c r="O5" s="370">
        <v>107600542.8145</v>
      </c>
      <c r="P5" s="370">
        <v>16201320.351500001</v>
      </c>
      <c r="Q5" s="373">
        <v>107600542.8145</v>
      </c>
      <c r="R5" s="373">
        <v>16201320.351500001</v>
      </c>
      <c r="S5" s="373">
        <v>9793334.5839999951</v>
      </c>
      <c r="T5" s="380">
        <v>63626400</v>
      </c>
      <c r="U5" s="374">
        <v>1329712.5</v>
      </c>
      <c r="V5" s="374">
        <v>751250</v>
      </c>
      <c r="W5" s="372">
        <v>4608462.5</v>
      </c>
      <c r="X5" s="103"/>
      <c r="Y5" s="365">
        <v>0</v>
      </c>
      <c r="Z5" s="370">
        <v>0</v>
      </c>
      <c r="AA5" s="370">
        <v>0</v>
      </c>
      <c r="AB5" s="375">
        <v>4608462.5</v>
      </c>
      <c r="AC5" s="103"/>
      <c r="AD5" s="449">
        <v>0</v>
      </c>
      <c r="AE5" s="365">
        <v>168596.875</v>
      </c>
      <c r="AF5" s="375">
        <v>3688615.625</v>
      </c>
      <c r="AH5" s="365">
        <v>269755</v>
      </c>
      <c r="AI5" s="370">
        <v>269755</v>
      </c>
      <c r="AJ5" s="370">
        <v>0</v>
      </c>
      <c r="AK5" s="375">
        <v>3418860.625</v>
      </c>
      <c r="AM5" s="365">
        <v>74182.625</v>
      </c>
      <c r="AN5" s="370">
        <v>74182.625</v>
      </c>
      <c r="AO5" s="370">
        <v>0</v>
      </c>
      <c r="AP5" s="375">
        <v>3344678</v>
      </c>
      <c r="AR5" s="365">
        <v>0</v>
      </c>
      <c r="AS5" s="375">
        <v>2014965.5</v>
      </c>
      <c r="AT5" s="373" t="s">
        <v>287</v>
      </c>
      <c r="AU5" s="378">
        <v>750000</v>
      </c>
      <c r="AV5" s="379">
        <v>-1250</v>
      </c>
      <c r="AW5" s="380">
        <v>750000</v>
      </c>
      <c r="AX5" s="381">
        <v>2016215.5</v>
      </c>
      <c r="AZ5" s="365">
        <v>0</v>
      </c>
      <c r="BA5" s="370">
        <v>0</v>
      </c>
      <c r="BB5" s="370">
        <v>0</v>
      </c>
      <c r="BC5" s="375">
        <v>2016215.5</v>
      </c>
      <c r="BE5" s="365">
        <v>2063625.75</v>
      </c>
      <c r="BF5" s="370">
        <v>733913.25</v>
      </c>
      <c r="BG5" s="370">
        <v>2063625.75</v>
      </c>
      <c r="BH5" s="375">
        <v>1282302.25</v>
      </c>
      <c r="BJ5" s="365">
        <v>301457.18549999595</v>
      </c>
      <c r="BK5" s="370">
        <v>301457.18549999595</v>
      </c>
      <c r="BL5" s="370">
        <v>0</v>
      </c>
      <c r="BM5" s="375">
        <v>980845.06450000405</v>
      </c>
      <c r="BO5" s="365">
        <v>-16020.351500000805</v>
      </c>
      <c r="BP5" s="370">
        <v>-16020.351500000805</v>
      </c>
      <c r="BQ5" s="370">
        <v>0</v>
      </c>
      <c r="BR5" s="375">
        <v>996865.41600000486</v>
      </c>
      <c r="BT5" s="365">
        <v>10790200</v>
      </c>
      <c r="BU5" s="370">
        <v>996865.41600000486</v>
      </c>
      <c r="BV5" s="370">
        <v>9793334.5839999951</v>
      </c>
      <c r="BW5" s="375">
        <v>0</v>
      </c>
      <c r="BY5" s="365">
        <v>0</v>
      </c>
      <c r="BZ5" s="373">
        <v>0</v>
      </c>
      <c r="CA5" s="375">
        <v>0</v>
      </c>
      <c r="CC5" s="365">
        <v>571212.18549999595</v>
      </c>
      <c r="CD5" s="375">
        <v>58162.273499999195</v>
      </c>
      <c r="CF5" s="365">
        <v>301457.18549999595</v>
      </c>
      <c r="CG5" s="375">
        <v>-16020.351500000805</v>
      </c>
      <c r="CH5" s="373"/>
      <c r="CI5" s="365">
        <v>0</v>
      </c>
      <c r="CJ5" s="375">
        <v>1626239.875</v>
      </c>
    </row>
    <row r="6" spans="1:89" ht="16.2" thickBot="1">
      <c r="A6" s="162"/>
      <c r="B6" s="395"/>
      <c r="C6" s="158"/>
      <c r="D6" s="158"/>
      <c r="G6" s="417">
        <v>2</v>
      </c>
      <c r="H6" s="251">
        <v>0</v>
      </c>
      <c r="I6" s="377">
        <v>0</v>
      </c>
      <c r="J6" s="368">
        <v>0</v>
      </c>
      <c r="K6" s="368">
        <v>5035500</v>
      </c>
      <c r="L6" s="369">
        <v>2510796.2635076148</v>
      </c>
      <c r="N6" s="367">
        <v>2524703.7364923852</v>
      </c>
      <c r="O6" s="370">
        <v>106094706.37890001</v>
      </c>
      <c r="P6" s="370">
        <v>16036452.479900001</v>
      </c>
      <c r="Q6" s="370">
        <v>106094706.37890001</v>
      </c>
      <c r="R6" s="370">
        <v>16036452.479900001</v>
      </c>
      <c r="S6" s="370">
        <v>9440815.8861761503</v>
      </c>
      <c r="T6" s="379">
        <v>63626400</v>
      </c>
      <c r="U6" s="371">
        <v>2067065.12625</v>
      </c>
      <c r="V6" s="371">
        <v>751250</v>
      </c>
      <c r="W6" s="372">
        <v>5343018.8627423849</v>
      </c>
      <c r="X6" s="41"/>
      <c r="Y6" s="365">
        <v>0</v>
      </c>
      <c r="Z6" s="370">
        <v>0</v>
      </c>
      <c r="AA6" s="370">
        <v>0</v>
      </c>
      <c r="AB6" s="375">
        <v>5343018.8627423849</v>
      </c>
      <c r="AC6" s="41"/>
      <c r="AD6" s="449">
        <v>0</v>
      </c>
      <c r="AE6" s="365">
        <v>166993.9971875</v>
      </c>
      <c r="AF6" s="375">
        <v>4424774.865554885</v>
      </c>
      <c r="AH6" s="365">
        <v>269001.35703625</v>
      </c>
      <c r="AI6" s="370">
        <v>269001.35703625</v>
      </c>
      <c r="AJ6" s="370">
        <v>0</v>
      </c>
      <c r="AK6" s="375">
        <v>4155773.5085186348</v>
      </c>
      <c r="AM6" s="365">
        <v>74256.051611041665</v>
      </c>
      <c r="AN6" s="370">
        <v>74256.051611041665</v>
      </c>
      <c r="AO6" s="370">
        <v>0</v>
      </c>
      <c r="AP6" s="375">
        <v>4081517.4569075932</v>
      </c>
      <c r="AR6" s="365">
        <v>0</v>
      </c>
      <c r="AS6" s="375">
        <v>2014452.3306575932</v>
      </c>
      <c r="AU6" s="378">
        <v>750000</v>
      </c>
      <c r="AV6" s="379">
        <v>-1250</v>
      </c>
      <c r="AW6" s="380">
        <v>750000</v>
      </c>
      <c r="AX6" s="381">
        <v>2015702.3306575932</v>
      </c>
      <c r="AZ6" s="365">
        <v>0</v>
      </c>
      <c r="BA6" s="370">
        <v>0</v>
      </c>
      <c r="BB6" s="370">
        <v>0</v>
      </c>
      <c r="BC6" s="375">
        <v>2015702.3306575932</v>
      </c>
      <c r="BE6" s="365">
        <v>2059544.45188375</v>
      </c>
      <c r="BF6" s="370">
        <v>-7520.6743662499357</v>
      </c>
      <c r="BG6" s="370">
        <v>2059544.45188375</v>
      </c>
      <c r="BH6" s="375">
        <v>2023223.0050238431</v>
      </c>
      <c r="BJ6" s="365">
        <v>1505836.4355999976</v>
      </c>
      <c r="BK6" s="370">
        <v>1505836.4355999976</v>
      </c>
      <c r="BL6" s="370">
        <v>0</v>
      </c>
      <c r="BM6" s="375">
        <v>517386.5694238455</v>
      </c>
      <c r="BO6" s="365">
        <v>164867.87160000019</v>
      </c>
      <c r="BP6" s="370">
        <v>164867.87160000019</v>
      </c>
      <c r="BQ6" s="370">
        <v>0</v>
      </c>
      <c r="BR6" s="375">
        <v>352518.69782384532</v>
      </c>
      <c r="BT6" s="365">
        <v>9793334.5839999951</v>
      </c>
      <c r="BU6" s="370">
        <v>352518.69782384532</v>
      </c>
      <c r="BV6" s="370">
        <v>9440815.8861761503</v>
      </c>
      <c r="BW6" s="375">
        <v>0</v>
      </c>
      <c r="BY6" s="365">
        <v>0</v>
      </c>
      <c r="BZ6" s="373">
        <v>0</v>
      </c>
      <c r="CA6" s="375">
        <v>0</v>
      </c>
      <c r="CC6" s="365">
        <v>1774837.7926362476</v>
      </c>
      <c r="CD6" s="375">
        <v>239123.92321104184</v>
      </c>
      <c r="CF6" s="365">
        <v>1505836.4355999976</v>
      </c>
      <c r="CG6" s="375">
        <v>164867.87160000019</v>
      </c>
      <c r="CI6" s="365">
        <v>0</v>
      </c>
      <c r="CJ6" s="375">
        <v>2366480.413671135</v>
      </c>
    </row>
    <row r="7" spans="1:89" ht="16.2" thickBot="1">
      <c r="A7" s="160" t="s">
        <v>411</v>
      </c>
      <c r="B7" s="337">
        <v>0.02</v>
      </c>
      <c r="D7" s="140" t="s">
        <v>317</v>
      </c>
      <c r="E7" s="407">
        <v>1</v>
      </c>
      <c r="F7" s="397"/>
      <c r="G7" s="417">
        <v>3</v>
      </c>
      <c r="H7" s="251">
        <v>0</v>
      </c>
      <c r="I7" s="377">
        <v>0</v>
      </c>
      <c r="J7" s="368">
        <v>0</v>
      </c>
      <c r="K7" s="368">
        <v>5035500</v>
      </c>
      <c r="L7" s="369">
        <v>2512195.5641665128</v>
      </c>
      <c r="N7" s="367">
        <v>2523304.4358334872</v>
      </c>
      <c r="O7" s="370">
        <v>104584477.92039999</v>
      </c>
      <c r="P7" s="370">
        <v>15870691.573999999</v>
      </c>
      <c r="Q7" s="370">
        <v>104584477.92039999</v>
      </c>
      <c r="R7" s="370">
        <v>15870691.573999999</v>
      </c>
      <c r="S7" s="370">
        <v>9064898.9692312162</v>
      </c>
      <c r="T7" s="379">
        <v>63626400</v>
      </c>
      <c r="U7" s="371">
        <v>2062977.0259702229</v>
      </c>
      <c r="V7" s="371">
        <v>751250</v>
      </c>
      <c r="W7" s="372">
        <v>5337531.4618037101</v>
      </c>
      <c r="X7" s="41"/>
      <c r="Y7" s="365">
        <v>750000</v>
      </c>
      <c r="Z7" s="370">
        <v>750000</v>
      </c>
      <c r="AA7" s="370">
        <v>0</v>
      </c>
      <c r="AB7" s="375">
        <v>4587531.4618037101</v>
      </c>
      <c r="AC7" s="41"/>
      <c r="AD7" s="449">
        <v>750000</v>
      </c>
      <c r="AE7" s="365">
        <v>164464.96843122019</v>
      </c>
      <c r="AF7" s="375">
        <v>3671816.4933724897</v>
      </c>
      <c r="AH7" s="365">
        <v>265236.76594725001</v>
      </c>
      <c r="AI7" s="370">
        <v>265236.76594725001</v>
      </c>
      <c r="AJ7" s="370">
        <v>0</v>
      </c>
      <c r="AK7" s="375">
        <v>3406579.7274252395</v>
      </c>
      <c r="AM7" s="365">
        <v>73500.407199541674</v>
      </c>
      <c r="AN7" s="370">
        <v>73500.407199541674</v>
      </c>
      <c r="AO7" s="370">
        <v>0</v>
      </c>
      <c r="AP7" s="375">
        <v>3333079.3202256979</v>
      </c>
      <c r="AR7" s="365">
        <v>0</v>
      </c>
      <c r="AS7" s="375">
        <v>1270102.294255475</v>
      </c>
      <c r="AU7" s="378">
        <v>0</v>
      </c>
      <c r="AV7" s="379">
        <v>-751250</v>
      </c>
      <c r="AW7" s="380">
        <v>0</v>
      </c>
      <c r="AX7" s="381">
        <v>2021352.294255475</v>
      </c>
      <c r="AZ7" s="365">
        <v>0</v>
      </c>
      <c r="BA7" s="370">
        <v>0</v>
      </c>
      <c r="BB7" s="370">
        <v>0</v>
      </c>
      <c r="BC7" s="375">
        <v>2021352.294255475</v>
      </c>
      <c r="BE7" s="365">
        <v>2032423.0388807501</v>
      </c>
      <c r="BF7" s="370">
        <v>-30553.987089472823</v>
      </c>
      <c r="BG7" s="370">
        <v>2032423.0388807501</v>
      </c>
      <c r="BH7" s="375">
        <v>2051906.2813449479</v>
      </c>
      <c r="BJ7" s="365">
        <v>1510228.4585000128</v>
      </c>
      <c r="BK7" s="370">
        <v>1510228.4585000128</v>
      </c>
      <c r="BL7" s="370">
        <v>0</v>
      </c>
      <c r="BM7" s="375">
        <v>541677.82284493512</v>
      </c>
      <c r="BO7" s="365">
        <v>165760.90590000153</v>
      </c>
      <c r="BP7" s="370">
        <v>165760.90590000153</v>
      </c>
      <c r="BQ7" s="370">
        <v>0</v>
      </c>
      <c r="BR7" s="375">
        <v>375916.91694493359</v>
      </c>
      <c r="BT7" s="365">
        <v>9440815.8861761503</v>
      </c>
      <c r="BU7" s="370">
        <v>375916.91694493359</v>
      </c>
      <c r="BV7" s="370">
        <v>9064898.9692312162</v>
      </c>
      <c r="BW7" s="375">
        <v>0</v>
      </c>
      <c r="BY7" s="365">
        <v>0</v>
      </c>
      <c r="BZ7" s="373">
        <v>0</v>
      </c>
      <c r="CA7" s="375">
        <v>0</v>
      </c>
      <c r="CC7" s="365">
        <v>1775465.2244472627</v>
      </c>
      <c r="CD7" s="375">
        <v>239261.31309954321</v>
      </c>
      <c r="CF7" s="365">
        <v>1510228.4585000128</v>
      </c>
      <c r="CG7" s="375">
        <v>165760.90590000153</v>
      </c>
      <c r="CI7" s="365">
        <v>0</v>
      </c>
      <c r="CJ7" s="375">
        <v>2390643.4544917396</v>
      </c>
    </row>
    <row r="8" spans="1:89" ht="15.6">
      <c r="A8" s="161"/>
      <c r="B8" s="364"/>
      <c r="D8" s="141" t="s">
        <v>391</v>
      </c>
      <c r="E8" s="405" t="b">
        <v>0</v>
      </c>
      <c r="F8" s="398"/>
      <c r="G8" s="417">
        <v>4</v>
      </c>
      <c r="H8" s="251">
        <v>0</v>
      </c>
      <c r="I8" s="377">
        <v>0</v>
      </c>
      <c r="J8" s="368">
        <v>0</v>
      </c>
      <c r="K8" s="368">
        <v>5035500</v>
      </c>
      <c r="L8" s="369">
        <v>2513595.6446745619</v>
      </c>
      <c r="N8" s="367">
        <v>2521904.3553254381</v>
      </c>
      <c r="O8" s="370">
        <v>103069844.62890001</v>
      </c>
      <c r="P8" s="370">
        <v>15704032.796499999</v>
      </c>
      <c r="Q8" s="370">
        <v>103278076.29164805</v>
      </c>
      <c r="R8" s="370">
        <v>15870691.573999999</v>
      </c>
      <c r="S8" s="370">
        <v>9064898.9692312162</v>
      </c>
      <c r="T8" s="379">
        <v>63626400</v>
      </c>
      <c r="U8" s="371">
        <v>2035810.4106122181</v>
      </c>
      <c r="V8" s="371">
        <v>0</v>
      </c>
      <c r="W8" s="372">
        <v>4557714.7659376562</v>
      </c>
      <c r="X8" s="41"/>
      <c r="Y8" s="365">
        <v>0</v>
      </c>
      <c r="Z8" s="370">
        <v>0</v>
      </c>
      <c r="AA8" s="370">
        <v>0</v>
      </c>
      <c r="AB8" s="375">
        <v>4557714.7659376562</v>
      </c>
      <c r="AC8" s="41"/>
      <c r="AD8" s="449">
        <v>0</v>
      </c>
      <c r="AE8" s="365">
        <v>161900.08557953901</v>
      </c>
      <c r="AF8" s="375">
        <v>4395814.6803581174</v>
      </c>
      <c r="AH8" s="365">
        <v>261461.19480099998</v>
      </c>
      <c r="AI8" s="370">
        <v>261461.19480099998</v>
      </c>
      <c r="AJ8" s="370">
        <v>0</v>
      </c>
      <c r="AK8" s="375">
        <v>4134353.4855571175</v>
      </c>
      <c r="AM8" s="365">
        <v>72740.669714166666</v>
      </c>
      <c r="AN8" s="370">
        <v>72740.669714166666</v>
      </c>
      <c r="AO8" s="370">
        <v>0</v>
      </c>
      <c r="AP8" s="375">
        <v>4061612.8158429507</v>
      </c>
      <c r="AR8" s="365">
        <v>0</v>
      </c>
      <c r="AS8" s="375">
        <v>2025802.4052307326</v>
      </c>
      <c r="AU8" s="378">
        <v>750000</v>
      </c>
      <c r="AV8" s="379">
        <v>750000</v>
      </c>
      <c r="AW8" s="380">
        <v>750000</v>
      </c>
      <c r="AX8" s="381">
        <v>1275802.4052307326</v>
      </c>
      <c r="AZ8" s="365">
        <v>0</v>
      </c>
      <c r="BA8" s="370">
        <v>0</v>
      </c>
      <c r="BB8" s="370">
        <v>0</v>
      </c>
      <c r="BC8" s="375">
        <v>1275802.4052307326</v>
      </c>
      <c r="BE8" s="365">
        <v>2005211.1870909999</v>
      </c>
      <c r="BF8" s="370">
        <v>-30599.223521218169</v>
      </c>
      <c r="BG8" s="370">
        <v>2005211.1870909999</v>
      </c>
      <c r="BH8" s="375">
        <v>1306401.6287519508</v>
      </c>
      <c r="BJ8" s="365">
        <v>1514633.2914999872</v>
      </c>
      <c r="BK8" s="370">
        <v>1306401.6287519508</v>
      </c>
      <c r="BL8" s="370">
        <v>208231.66274803644</v>
      </c>
      <c r="BM8" s="375">
        <v>0</v>
      </c>
      <c r="BO8" s="365">
        <v>166658.77749999985</v>
      </c>
      <c r="BP8" s="370">
        <v>0</v>
      </c>
      <c r="BQ8" s="370">
        <v>166658.77749999985</v>
      </c>
      <c r="BR8" s="375">
        <v>0</v>
      </c>
      <c r="BT8" s="365">
        <v>9064898.9692312162</v>
      </c>
      <c r="BU8" s="370">
        <v>0</v>
      </c>
      <c r="BV8" s="370">
        <v>9064898.9692312162</v>
      </c>
      <c r="BW8" s="375">
        <v>0</v>
      </c>
      <c r="BY8" s="365">
        <v>0</v>
      </c>
      <c r="BZ8" s="373">
        <v>0</v>
      </c>
      <c r="CA8" s="375">
        <v>0</v>
      </c>
      <c r="CC8" s="365">
        <v>1567862.8235529508</v>
      </c>
      <c r="CD8" s="375">
        <v>72740.669714166666</v>
      </c>
      <c r="CF8" s="365">
        <v>1306401.6287519485</v>
      </c>
      <c r="CG8" s="375">
        <v>0</v>
      </c>
      <c r="CI8" s="365">
        <v>0</v>
      </c>
      <c r="CJ8" s="375">
        <v>1640603.4932671175</v>
      </c>
    </row>
    <row r="9" spans="1:89" ht="15.6">
      <c r="A9" s="358" t="s">
        <v>453</v>
      </c>
      <c r="B9" s="359">
        <f>B12*B15+B13*B16</f>
        <v>3.0600000000000002E-2</v>
      </c>
      <c r="D9" s="142" t="s">
        <v>318</v>
      </c>
      <c r="E9" s="406">
        <v>1.0000002337619662</v>
      </c>
      <c r="F9" s="399"/>
      <c r="G9" s="417">
        <v>5</v>
      </c>
      <c r="H9" s="251">
        <v>0</v>
      </c>
      <c r="I9" s="377">
        <v>0</v>
      </c>
      <c r="J9" s="368">
        <v>0</v>
      </c>
      <c r="K9" s="368">
        <v>5035500</v>
      </c>
      <c r="L9" s="369">
        <v>2514996.505466382</v>
      </c>
      <c r="N9" s="367">
        <v>2520503.494533618</v>
      </c>
      <c r="O9" s="370">
        <v>101550793.6569</v>
      </c>
      <c r="P9" s="370">
        <v>15536471.284</v>
      </c>
      <c r="Q9" s="370">
        <v>101550793.6569</v>
      </c>
      <c r="R9" s="370">
        <v>15544485.615124878</v>
      </c>
      <c r="S9" s="370">
        <v>9064898.9692312162</v>
      </c>
      <c r="T9" s="379">
        <v>63626400</v>
      </c>
      <c r="U9" s="371">
        <v>2008553.2057361517</v>
      </c>
      <c r="V9" s="371">
        <v>751250</v>
      </c>
      <c r="W9" s="372">
        <v>5280306.7002697699</v>
      </c>
      <c r="X9" s="41"/>
      <c r="Y9" s="365">
        <v>0</v>
      </c>
      <c r="Z9" s="370">
        <v>0</v>
      </c>
      <c r="AA9" s="370">
        <v>0</v>
      </c>
      <c r="AB9" s="375">
        <v>5280306.7002697699</v>
      </c>
      <c r="AC9" s="41"/>
      <c r="AD9" s="449">
        <v>0</v>
      </c>
      <c r="AE9" s="365">
        <v>160267.08354359906</v>
      </c>
      <c r="AF9" s="375">
        <v>4368789.6167261712</v>
      </c>
      <c r="AH9" s="365">
        <v>258195.19072912011</v>
      </c>
      <c r="AI9" s="370">
        <v>258195.19072912011</v>
      </c>
      <c r="AJ9" s="370">
        <v>0</v>
      </c>
      <c r="AK9" s="375">
        <v>4110594.4259970509</v>
      </c>
      <c r="AM9" s="365">
        <v>72740.669714166666</v>
      </c>
      <c r="AN9" s="370">
        <v>72740.669714166666</v>
      </c>
      <c r="AO9" s="370">
        <v>0</v>
      </c>
      <c r="AP9" s="375">
        <v>4037853.7562828842</v>
      </c>
      <c r="AR9" s="365">
        <v>0</v>
      </c>
      <c r="AS9" s="375">
        <v>2029300.5505467325</v>
      </c>
      <c r="AU9" s="378">
        <v>750000</v>
      </c>
      <c r="AV9" s="379">
        <v>-1250</v>
      </c>
      <c r="AW9" s="380">
        <v>750000</v>
      </c>
      <c r="AX9" s="381">
        <v>2030550.5505467325</v>
      </c>
      <c r="AZ9" s="365">
        <v>0</v>
      </c>
      <c r="BA9" s="370">
        <v>0</v>
      </c>
      <c r="BB9" s="370">
        <v>0</v>
      </c>
      <c r="BC9" s="375">
        <v>2030550.5505467325</v>
      </c>
      <c r="BE9" s="365">
        <v>1985615.1626597205</v>
      </c>
      <c r="BF9" s="370">
        <v>-22938.043076431146</v>
      </c>
      <c r="BG9" s="370">
        <v>1985615.1626597205</v>
      </c>
      <c r="BH9" s="375">
        <v>2053488.5936231636</v>
      </c>
      <c r="BJ9" s="365">
        <v>1727282.6347480416</v>
      </c>
      <c r="BK9" s="370">
        <v>1727282.6347480416</v>
      </c>
      <c r="BL9" s="370">
        <v>0</v>
      </c>
      <c r="BM9" s="375">
        <v>326205.95887512201</v>
      </c>
      <c r="BO9" s="365">
        <v>334220.28999999911</v>
      </c>
      <c r="BP9" s="370">
        <v>326205.95887512201</v>
      </c>
      <c r="BQ9" s="370">
        <v>8014.3311248770915</v>
      </c>
      <c r="BR9" s="375">
        <v>0</v>
      </c>
      <c r="BT9" s="365">
        <v>9064898.9692312162</v>
      </c>
      <c r="BU9" s="370">
        <v>0</v>
      </c>
      <c r="BV9" s="370">
        <v>9064898.9692312162</v>
      </c>
      <c r="BW9" s="375">
        <v>0</v>
      </c>
      <c r="BY9" s="365">
        <v>0</v>
      </c>
      <c r="BZ9" s="373">
        <v>0</v>
      </c>
      <c r="CA9" s="375">
        <v>0</v>
      </c>
      <c r="CC9" s="365">
        <v>1985477.8254771617</v>
      </c>
      <c r="CD9" s="375">
        <v>398946.62858928868</v>
      </c>
      <c r="CF9" s="365">
        <v>1727282.6347480416</v>
      </c>
      <c r="CG9" s="375">
        <v>326205.95887512155</v>
      </c>
      <c r="CI9" s="365">
        <v>0</v>
      </c>
      <c r="CJ9" s="375">
        <v>2384424.4540664502</v>
      </c>
    </row>
    <row r="10" spans="1:89" ht="15.6">
      <c r="A10" s="360"/>
      <c r="B10" s="353"/>
      <c r="G10" s="417">
        <v>6</v>
      </c>
      <c r="H10" s="251">
        <v>0</v>
      </c>
      <c r="I10" s="377">
        <v>0</v>
      </c>
      <c r="J10" s="368">
        <v>0</v>
      </c>
      <c r="K10" s="368">
        <v>5035500</v>
      </c>
      <c r="L10" s="369">
        <v>2516398.1469768356</v>
      </c>
      <c r="N10" s="367">
        <v>2519101.8530231644</v>
      </c>
      <c r="O10" s="370">
        <v>100027312.1196</v>
      </c>
      <c r="P10" s="370">
        <v>15368002.146600001</v>
      </c>
      <c r="Q10" s="370">
        <v>100027312.1196</v>
      </c>
      <c r="R10" s="370">
        <v>15368002.146600001</v>
      </c>
      <c r="S10" s="370">
        <v>8689145.626051357</v>
      </c>
      <c r="T10" s="379">
        <v>63626400</v>
      </c>
      <c r="U10" s="371">
        <v>1988924.5212641533</v>
      </c>
      <c r="V10" s="371">
        <v>751250</v>
      </c>
      <c r="W10" s="372">
        <v>5259276.3742873175</v>
      </c>
      <c r="X10" s="41"/>
      <c r="Y10" s="365">
        <v>0</v>
      </c>
      <c r="Z10" s="370">
        <v>0</v>
      </c>
      <c r="AA10" s="370">
        <v>0</v>
      </c>
      <c r="AB10" s="375">
        <v>5259276.3742873175</v>
      </c>
      <c r="AC10" s="41"/>
      <c r="AD10" s="449">
        <v>0</v>
      </c>
      <c r="AE10" s="365">
        <v>157700.22280157011</v>
      </c>
      <c r="AF10" s="375">
        <v>4350326.1514857477</v>
      </c>
      <c r="AH10" s="365">
        <v>253876.98414225</v>
      </c>
      <c r="AI10" s="370">
        <v>253876.98414225</v>
      </c>
      <c r="AJ10" s="370">
        <v>0</v>
      </c>
      <c r="AK10" s="375">
        <v>4096449.1673434977</v>
      </c>
      <c r="AM10" s="365">
        <v>71245.559069322349</v>
      </c>
      <c r="AN10" s="370">
        <v>71245.559069322349</v>
      </c>
      <c r="AO10" s="370">
        <v>0</v>
      </c>
      <c r="AP10" s="375">
        <v>4025203.6082741753</v>
      </c>
      <c r="AR10" s="365">
        <v>0</v>
      </c>
      <c r="AS10" s="375">
        <v>2036279.087010022</v>
      </c>
      <c r="AU10" s="378">
        <v>750000</v>
      </c>
      <c r="AV10" s="379">
        <v>-1250</v>
      </c>
      <c r="AW10" s="380">
        <v>750000</v>
      </c>
      <c r="AX10" s="381">
        <v>2037529.087010022</v>
      </c>
      <c r="AZ10" s="365">
        <v>0</v>
      </c>
      <c r="BA10" s="370">
        <v>0</v>
      </c>
      <c r="BB10" s="370">
        <v>0</v>
      </c>
      <c r="BC10" s="375">
        <v>2037529.087010022</v>
      </c>
      <c r="BE10" s="365">
        <v>1950735.259269434</v>
      </c>
      <c r="BF10" s="370">
        <v>-38189.261994719272</v>
      </c>
      <c r="BG10" s="370">
        <v>1950735.259269434</v>
      </c>
      <c r="BH10" s="375">
        <v>2075718.3490047413</v>
      </c>
      <c r="BJ10" s="365">
        <v>1523481.5373000056</v>
      </c>
      <c r="BK10" s="370">
        <v>1523481.5373000056</v>
      </c>
      <c r="BL10" s="370">
        <v>0</v>
      </c>
      <c r="BM10" s="375">
        <v>552236.81170473574</v>
      </c>
      <c r="BO10" s="365">
        <v>176483.46852487698</v>
      </c>
      <c r="BP10" s="370">
        <v>176483.46852487698</v>
      </c>
      <c r="BQ10" s="370">
        <v>0</v>
      </c>
      <c r="BR10" s="375">
        <v>375753.34317985876</v>
      </c>
      <c r="BT10" s="365">
        <v>9064898.9692312162</v>
      </c>
      <c r="BU10" s="370">
        <v>375753.34317985876</v>
      </c>
      <c r="BV10" s="370">
        <v>8689145.626051357</v>
      </c>
      <c r="BW10" s="375">
        <v>0</v>
      </c>
      <c r="BY10" s="365">
        <v>0</v>
      </c>
      <c r="BZ10" s="373">
        <v>0</v>
      </c>
      <c r="CA10" s="375">
        <v>0</v>
      </c>
      <c r="CC10" s="365">
        <v>1777358.5214422555</v>
      </c>
      <c r="CD10" s="375">
        <v>247729.02759419935</v>
      </c>
      <c r="CF10" s="365">
        <v>1523481.5373000056</v>
      </c>
      <c r="CG10" s="375">
        <v>176483.46852487698</v>
      </c>
      <c r="CI10" s="365">
        <v>0</v>
      </c>
      <c r="CJ10" s="375">
        <v>2400840.8922163136</v>
      </c>
    </row>
    <row r="11" spans="1:89" ht="18">
      <c r="A11" s="138"/>
      <c r="B11" s="340"/>
      <c r="D11" s="479" t="s">
        <v>353</v>
      </c>
      <c r="E11" s="481" t="s">
        <v>394</v>
      </c>
      <c r="F11" s="400"/>
      <c r="G11" s="417">
        <v>7</v>
      </c>
      <c r="H11" s="251">
        <v>0</v>
      </c>
      <c r="I11" s="377">
        <v>0</v>
      </c>
      <c r="J11" s="368">
        <v>0</v>
      </c>
      <c r="K11" s="368">
        <v>5035500</v>
      </c>
      <c r="L11" s="369">
        <v>2517800.5696410285</v>
      </c>
      <c r="N11" s="367">
        <v>2517699.4303589715</v>
      </c>
      <c r="O11" s="370">
        <v>98499387.094500005</v>
      </c>
      <c r="P11" s="370">
        <v>15198620.468</v>
      </c>
      <c r="Q11" s="370">
        <v>98703016.477034539</v>
      </c>
      <c r="R11" s="370">
        <v>15368002.146600001</v>
      </c>
      <c r="S11" s="370">
        <v>8689145.626051357</v>
      </c>
      <c r="T11" s="379">
        <v>63626400</v>
      </c>
      <c r="U11" s="371">
        <v>1953986.4847015496</v>
      </c>
      <c r="V11" s="371">
        <v>751250</v>
      </c>
      <c r="W11" s="372">
        <v>5222935.9150605211</v>
      </c>
      <c r="X11" s="41"/>
      <c r="Y11" s="365">
        <v>0</v>
      </c>
      <c r="Z11" s="370">
        <v>0</v>
      </c>
      <c r="AA11" s="370">
        <v>0</v>
      </c>
      <c r="AB11" s="375">
        <v>5222935.9150605211</v>
      </c>
      <c r="AC11" s="41"/>
      <c r="AD11" s="449">
        <v>0</v>
      </c>
      <c r="AE11" s="365">
        <v>155105.57486531418</v>
      </c>
      <c r="AF11" s="375">
        <v>4316580.3401952069</v>
      </c>
      <c r="AH11" s="365">
        <v>250068.28029899998</v>
      </c>
      <c r="AI11" s="370">
        <v>250068.28029899998</v>
      </c>
      <c r="AJ11" s="370">
        <v>0</v>
      </c>
      <c r="AK11" s="375">
        <v>4066512.0598962069</v>
      </c>
      <c r="AM11" s="365">
        <v>70436.676505249998</v>
      </c>
      <c r="AN11" s="370">
        <v>70436.676505249998</v>
      </c>
      <c r="AO11" s="370">
        <v>0</v>
      </c>
      <c r="AP11" s="375">
        <v>3996075.383390957</v>
      </c>
      <c r="AR11" s="365">
        <v>0</v>
      </c>
      <c r="AS11" s="375">
        <v>2042088.8986894074</v>
      </c>
      <c r="AU11" s="378">
        <v>1500000</v>
      </c>
      <c r="AV11" s="379">
        <v>748750</v>
      </c>
      <c r="AW11" s="380">
        <v>1500000</v>
      </c>
      <c r="AX11" s="381">
        <v>1293338.8986894074</v>
      </c>
      <c r="AZ11" s="365">
        <v>0</v>
      </c>
      <c r="BA11" s="370">
        <v>0</v>
      </c>
      <c r="BB11" s="370">
        <v>0</v>
      </c>
      <c r="BC11" s="375">
        <v>1293338.8986894074</v>
      </c>
      <c r="BE11" s="365">
        <v>1923029.7408254999</v>
      </c>
      <c r="BF11" s="370">
        <v>-30956.743876049761</v>
      </c>
      <c r="BG11" s="370">
        <v>1923029.7408254999</v>
      </c>
      <c r="BH11" s="375">
        <v>1324295.6425654572</v>
      </c>
      <c r="BJ11" s="365">
        <v>1527925.0250999928</v>
      </c>
      <c r="BK11" s="370">
        <v>1324295.6425654572</v>
      </c>
      <c r="BL11" s="370">
        <v>203629.3825345356</v>
      </c>
      <c r="BM11" s="375">
        <v>0</v>
      </c>
      <c r="BO11" s="365">
        <v>169381.67860000022</v>
      </c>
      <c r="BP11" s="370">
        <v>0</v>
      </c>
      <c r="BQ11" s="370">
        <v>169381.67860000022</v>
      </c>
      <c r="BR11" s="375">
        <v>0</v>
      </c>
      <c r="BT11" s="365">
        <v>8689145.626051357</v>
      </c>
      <c r="BU11" s="370">
        <v>0</v>
      </c>
      <c r="BV11" s="370">
        <v>8689145.626051357</v>
      </c>
      <c r="BW11" s="375">
        <v>0</v>
      </c>
      <c r="BY11" s="365">
        <v>0</v>
      </c>
      <c r="BZ11" s="373">
        <v>0</v>
      </c>
      <c r="CA11" s="375">
        <v>0</v>
      </c>
      <c r="CC11" s="365">
        <v>1574363.9228644571</v>
      </c>
      <c r="CD11" s="375">
        <v>70436.676505249998</v>
      </c>
      <c r="CF11" s="365">
        <v>1324295.642565459</v>
      </c>
      <c r="CG11" s="375">
        <v>0</v>
      </c>
      <c r="CI11" s="365">
        <v>0</v>
      </c>
      <c r="CJ11" s="375">
        <v>1644800.5993697071</v>
      </c>
    </row>
    <row r="12" spans="1:89" ht="29.4" customHeight="1">
      <c r="A12" s="160" t="s">
        <v>197</v>
      </c>
      <c r="B12" s="341">
        <v>0.03</v>
      </c>
      <c r="C12" s="47"/>
      <c r="D12" s="480"/>
      <c r="E12" s="482"/>
      <c r="F12" s="400"/>
      <c r="G12" s="417">
        <v>8</v>
      </c>
      <c r="H12" s="251">
        <v>0</v>
      </c>
      <c r="I12" s="377">
        <v>0</v>
      </c>
      <c r="J12" s="368">
        <v>0</v>
      </c>
      <c r="K12" s="368">
        <v>5035500</v>
      </c>
      <c r="L12" s="369">
        <v>2519203.7738943077</v>
      </c>
      <c r="N12" s="367">
        <v>2516296.2261056923</v>
      </c>
      <c r="O12" s="370">
        <v>96967005.621299997</v>
      </c>
      <c r="P12" s="370">
        <v>15028321.305400001</v>
      </c>
      <c r="Q12" s="370">
        <v>96967005.621299997</v>
      </c>
      <c r="R12" s="370">
        <v>15032791.71503227</v>
      </c>
      <c r="S12" s="370">
        <v>8689145.626051357</v>
      </c>
      <c r="T12" s="379">
        <v>63626400</v>
      </c>
      <c r="U12" s="371">
        <v>1926234.7903935423</v>
      </c>
      <c r="V12" s="371">
        <v>1502500</v>
      </c>
      <c r="W12" s="372">
        <v>5945031.0164992344</v>
      </c>
      <c r="X12" s="41"/>
      <c r="Y12" s="365">
        <v>750000</v>
      </c>
      <c r="Z12" s="370">
        <v>750000</v>
      </c>
      <c r="AA12" s="370">
        <v>0</v>
      </c>
      <c r="AB12" s="375">
        <v>5195031.0164992344</v>
      </c>
      <c r="AC12" s="41"/>
      <c r="AD12" s="449">
        <v>750000</v>
      </c>
      <c r="AE12" s="365">
        <v>153450.20531210737</v>
      </c>
      <c r="AF12" s="375">
        <v>3539080.8111871271</v>
      </c>
      <c r="AH12" s="365">
        <v>246757.54119258633</v>
      </c>
      <c r="AI12" s="370">
        <v>246757.54119258633</v>
      </c>
      <c r="AJ12" s="370">
        <v>0</v>
      </c>
      <c r="AK12" s="375">
        <v>3292323.2699945406</v>
      </c>
      <c r="AM12" s="365">
        <v>70436.676505249998</v>
      </c>
      <c r="AN12" s="370">
        <v>70436.676505249998</v>
      </c>
      <c r="AO12" s="370">
        <v>0</v>
      </c>
      <c r="AP12" s="375">
        <v>3221886.5934892907</v>
      </c>
      <c r="AR12" s="365">
        <v>0</v>
      </c>
      <c r="AS12" s="375">
        <v>1295651.8030957484</v>
      </c>
      <c r="AU12" s="378">
        <v>750000</v>
      </c>
      <c r="AV12" s="379">
        <v>-752500</v>
      </c>
      <c r="AW12" s="380">
        <v>750000</v>
      </c>
      <c r="AX12" s="381">
        <v>2048151.8030957484</v>
      </c>
      <c r="AZ12" s="365">
        <v>0</v>
      </c>
      <c r="BA12" s="370">
        <v>0</v>
      </c>
      <c r="BB12" s="370">
        <v>0</v>
      </c>
      <c r="BC12" s="375">
        <v>2048151.8030957484</v>
      </c>
      <c r="BE12" s="365">
        <v>1903165.3061870181</v>
      </c>
      <c r="BF12" s="370">
        <v>-23069.484206524212</v>
      </c>
      <c r="BG12" s="370">
        <v>1903165.3061870181</v>
      </c>
      <c r="BH12" s="375">
        <v>2071221.2873022726</v>
      </c>
      <c r="BJ12" s="365">
        <v>1736010.855734542</v>
      </c>
      <c r="BK12" s="370">
        <v>1736010.855734542</v>
      </c>
      <c r="BL12" s="370">
        <v>0</v>
      </c>
      <c r="BM12" s="375">
        <v>335210.43156773061</v>
      </c>
      <c r="BO12" s="365">
        <v>339680.84119999968</v>
      </c>
      <c r="BP12" s="370">
        <v>335210.43156773061</v>
      </c>
      <c r="BQ12" s="370">
        <v>4470.4096322690602</v>
      </c>
      <c r="BR12" s="375">
        <v>0</v>
      </c>
      <c r="BT12" s="365">
        <v>8689145.626051357</v>
      </c>
      <c r="BU12" s="370">
        <v>0</v>
      </c>
      <c r="BV12" s="370">
        <v>8689145.626051357</v>
      </c>
      <c r="BW12" s="375">
        <v>0</v>
      </c>
      <c r="BY12" s="365">
        <v>0</v>
      </c>
      <c r="BZ12" s="373">
        <v>0</v>
      </c>
      <c r="CA12" s="375">
        <v>0</v>
      </c>
      <c r="CC12" s="365">
        <v>1982768.3969271283</v>
      </c>
      <c r="CD12" s="375">
        <v>405647.1080729806</v>
      </c>
      <c r="CF12" s="365">
        <v>1736010.855734542</v>
      </c>
      <c r="CG12" s="375">
        <v>335210.43156773038</v>
      </c>
      <c r="CI12" s="365">
        <v>0</v>
      </c>
      <c r="CJ12" s="375">
        <v>2388415.5050001089</v>
      </c>
    </row>
    <row r="13" spans="1:89" ht="15.6">
      <c r="A13" s="139" t="s">
        <v>207</v>
      </c>
      <c r="B13" s="342">
        <v>5.5E-2</v>
      </c>
      <c r="C13" s="47"/>
      <c r="D13" s="149"/>
      <c r="G13" s="417">
        <v>9</v>
      </c>
      <c r="H13" s="251">
        <v>0</v>
      </c>
      <c r="I13" s="377">
        <v>1</v>
      </c>
      <c r="J13" s="368">
        <v>0</v>
      </c>
      <c r="K13" s="368">
        <v>4683000</v>
      </c>
      <c r="L13" s="369">
        <v>2520607.7601722642</v>
      </c>
      <c r="N13" s="367">
        <v>2162392.2398277358</v>
      </c>
      <c r="O13" s="370">
        <v>95430154.702299997</v>
      </c>
      <c r="P13" s="370">
        <v>14857099.688999999</v>
      </c>
      <c r="Q13" s="370">
        <v>95430154.702299997</v>
      </c>
      <c r="R13" s="370">
        <v>14857099.688999999</v>
      </c>
      <c r="S13" s="370">
        <v>8661794.9274915773</v>
      </c>
      <c r="T13" s="379">
        <v>63626400</v>
      </c>
      <c r="U13" s="371">
        <v>1906337.2483639964</v>
      </c>
      <c r="V13" s="371">
        <v>751250</v>
      </c>
      <c r="W13" s="372">
        <v>4819979.4881917322</v>
      </c>
      <c r="X13" s="41"/>
      <c r="Y13" s="365">
        <v>0</v>
      </c>
      <c r="Z13" s="370">
        <v>0</v>
      </c>
      <c r="AA13" s="370">
        <v>0</v>
      </c>
      <c r="AB13" s="375">
        <v>4819979.4881917322</v>
      </c>
      <c r="AC13" s="41"/>
      <c r="AD13" s="449">
        <v>0</v>
      </c>
      <c r="AE13" s="365">
        <v>150861.17870297952</v>
      </c>
      <c r="AF13" s="375">
        <v>3917868.3094887529</v>
      </c>
      <c r="AH13" s="365">
        <v>242417.51405324999</v>
      </c>
      <c r="AI13" s="370">
        <v>242417.51405324999</v>
      </c>
      <c r="AJ13" s="370">
        <v>0</v>
      </c>
      <c r="AK13" s="375">
        <v>3675450.7954355027</v>
      </c>
      <c r="AM13" s="365">
        <v>68900.295360564574</v>
      </c>
      <c r="AN13" s="370">
        <v>68900.295360564574</v>
      </c>
      <c r="AO13" s="370">
        <v>0</v>
      </c>
      <c r="AP13" s="375">
        <v>3606550.5000749379</v>
      </c>
      <c r="AR13" s="365">
        <v>0</v>
      </c>
      <c r="AS13" s="375">
        <v>1700213.2517109415</v>
      </c>
      <c r="AU13" s="378">
        <v>750000</v>
      </c>
      <c r="AV13" s="379">
        <v>-1250</v>
      </c>
      <c r="AW13" s="380">
        <v>750000</v>
      </c>
      <c r="AX13" s="381">
        <v>1701463.2517109415</v>
      </c>
      <c r="AZ13" s="365">
        <v>0</v>
      </c>
      <c r="BA13" s="370">
        <v>0</v>
      </c>
      <c r="BB13" s="370">
        <v>0</v>
      </c>
      <c r="BC13" s="375">
        <v>1701463.2517109415</v>
      </c>
      <c r="BE13" s="365">
        <v>1867906.8564828874</v>
      </c>
      <c r="BF13" s="370">
        <v>-38430.391881108982</v>
      </c>
      <c r="BG13" s="370">
        <v>1867906.8564828874</v>
      </c>
      <c r="BH13" s="375">
        <v>1739893.6435920505</v>
      </c>
      <c r="BJ13" s="365">
        <v>1536850.9189999998</v>
      </c>
      <c r="BK13" s="370">
        <v>1536850.9189999998</v>
      </c>
      <c r="BL13" s="370">
        <v>0</v>
      </c>
      <c r="BM13" s="375">
        <v>203042.72459205077</v>
      </c>
      <c r="BO13" s="365">
        <v>175692.02603227086</v>
      </c>
      <c r="BP13" s="370">
        <v>175692.02603227086</v>
      </c>
      <c r="BQ13" s="370">
        <v>0</v>
      </c>
      <c r="BR13" s="375">
        <v>27350.698559779907</v>
      </c>
      <c r="BT13" s="365">
        <v>8689145.626051357</v>
      </c>
      <c r="BU13" s="370">
        <v>27350.698559779907</v>
      </c>
      <c r="BV13" s="370">
        <v>8661794.9274915773</v>
      </c>
      <c r="BW13" s="375">
        <v>0</v>
      </c>
      <c r="BY13" s="365">
        <v>0</v>
      </c>
      <c r="BZ13" s="373">
        <v>0</v>
      </c>
      <c r="CA13" s="375">
        <v>0</v>
      </c>
      <c r="CC13" s="365">
        <v>1779268.4330532497</v>
      </c>
      <c r="CD13" s="375">
        <v>244592.32139283544</v>
      </c>
      <c r="CF13" s="365">
        <v>1536850.9189999998</v>
      </c>
      <c r="CG13" s="375">
        <v>175692.02603227086</v>
      </c>
      <c r="CI13" s="365">
        <v>0</v>
      </c>
      <c r="CJ13" s="375">
        <v>2051211.4530058652</v>
      </c>
    </row>
    <row r="14" spans="1:89" ht="18">
      <c r="A14" s="136" t="s">
        <v>208</v>
      </c>
      <c r="B14" s="343">
        <v>0</v>
      </c>
      <c r="C14" s="87"/>
      <c r="D14" s="479" t="s">
        <v>355</v>
      </c>
      <c r="E14" s="481" t="s">
        <v>354</v>
      </c>
      <c r="F14" s="400"/>
      <c r="G14" s="417">
        <v>10</v>
      </c>
      <c r="H14" s="251">
        <v>0</v>
      </c>
      <c r="I14" s="377">
        <v>1</v>
      </c>
      <c r="J14" s="368">
        <v>0</v>
      </c>
      <c r="K14" s="368">
        <v>4762665.2267235927</v>
      </c>
      <c r="L14" s="369">
        <v>2522012.52891073</v>
      </c>
      <c r="N14" s="367">
        <v>2240652.6978128627</v>
      </c>
      <c r="O14" s="370">
        <v>93888821.301300004</v>
      </c>
      <c r="P14" s="370">
        <v>14684950.622099999</v>
      </c>
      <c r="Q14" s="370">
        <v>94362611.2705376</v>
      </c>
      <c r="R14" s="370">
        <v>14857099.688999999</v>
      </c>
      <c r="S14" s="370">
        <v>8661794.9274915773</v>
      </c>
      <c r="T14" s="379">
        <v>63626400</v>
      </c>
      <c r="U14" s="371">
        <v>1871020.0345770256</v>
      </c>
      <c r="V14" s="371">
        <v>751250</v>
      </c>
      <c r="W14" s="372">
        <v>4862922.7323898878</v>
      </c>
      <c r="X14" s="41"/>
      <c r="Y14" s="365">
        <v>0</v>
      </c>
      <c r="Z14" s="370">
        <v>0</v>
      </c>
      <c r="AA14" s="370">
        <v>0</v>
      </c>
      <c r="AB14" s="375">
        <v>4862922.7323898878</v>
      </c>
      <c r="AC14" s="41"/>
      <c r="AD14" s="449">
        <v>0</v>
      </c>
      <c r="AE14" s="365">
        <v>148686.31164848947</v>
      </c>
      <c r="AF14" s="375">
        <v>3962986.4207413984</v>
      </c>
      <c r="AH14" s="365">
        <v>238575.38675574999</v>
      </c>
      <c r="AI14" s="370">
        <v>238575.38675574999</v>
      </c>
      <c r="AJ14" s="370">
        <v>0</v>
      </c>
      <c r="AK14" s="375">
        <v>3724411.0339856483</v>
      </c>
      <c r="AM14" s="365">
        <v>68095.040241249997</v>
      </c>
      <c r="AN14" s="370">
        <v>68095.040241249997</v>
      </c>
      <c r="AO14" s="370">
        <v>0</v>
      </c>
      <c r="AP14" s="375">
        <v>3656315.9937443985</v>
      </c>
      <c r="AR14" s="365">
        <v>0</v>
      </c>
      <c r="AS14" s="375">
        <v>1785295.9591673729</v>
      </c>
      <c r="AU14" s="378">
        <v>1500000</v>
      </c>
      <c r="AV14" s="379">
        <v>748750</v>
      </c>
      <c r="AW14" s="380">
        <v>1500000</v>
      </c>
      <c r="AX14" s="381">
        <v>1036545.9591673729</v>
      </c>
      <c r="AZ14" s="365">
        <v>0</v>
      </c>
      <c r="BA14" s="370">
        <v>0</v>
      </c>
      <c r="BB14" s="370">
        <v>0</v>
      </c>
      <c r="BC14" s="375">
        <v>1036545.9591673729</v>
      </c>
      <c r="BD14" s="107"/>
      <c r="BE14" s="365">
        <v>1840022.5619819998</v>
      </c>
      <c r="BF14" s="370">
        <v>-30997.472595025785</v>
      </c>
      <c r="BG14" s="370">
        <v>1840022.5619819998</v>
      </c>
      <c r="BH14" s="375">
        <v>1067543.4317623987</v>
      </c>
      <c r="BJ14" s="365">
        <v>1541333.4009999931</v>
      </c>
      <c r="BK14" s="370">
        <v>1067543.4317623987</v>
      </c>
      <c r="BL14" s="370">
        <v>473789.9692375944</v>
      </c>
      <c r="BM14" s="375">
        <v>0</v>
      </c>
      <c r="BO14" s="365">
        <v>172149.06689999998</v>
      </c>
      <c r="BP14" s="370">
        <v>0</v>
      </c>
      <c r="BQ14" s="370">
        <v>172149.06689999998</v>
      </c>
      <c r="BR14" s="375">
        <v>0</v>
      </c>
      <c r="BT14" s="365">
        <v>8661794.9274915773</v>
      </c>
      <c r="BU14" s="370">
        <v>0</v>
      </c>
      <c r="BV14" s="370">
        <v>8661794.9274915773</v>
      </c>
      <c r="BW14" s="375">
        <v>0</v>
      </c>
      <c r="BY14" s="365">
        <v>0</v>
      </c>
      <c r="BZ14" s="373">
        <v>0</v>
      </c>
      <c r="CA14" s="375">
        <v>0</v>
      </c>
      <c r="CC14" s="365">
        <v>1306118.8185181487</v>
      </c>
      <c r="CD14" s="375">
        <v>68095.040241249997</v>
      </c>
      <c r="CF14" s="365">
        <v>1067543.4317623973</v>
      </c>
      <c r="CG14" s="375">
        <v>0</v>
      </c>
      <c r="CI14" s="365">
        <v>0</v>
      </c>
      <c r="CJ14" s="375">
        <v>1374213.8587593986</v>
      </c>
    </row>
    <row r="15" spans="1:89" ht="18">
      <c r="A15" s="135" t="s">
        <v>181</v>
      </c>
      <c r="B15" s="337">
        <v>0.8</v>
      </c>
      <c r="D15" s="480"/>
      <c r="E15" s="482"/>
      <c r="F15" s="400"/>
      <c r="G15" s="417">
        <v>11</v>
      </c>
      <c r="H15" s="251">
        <v>0</v>
      </c>
      <c r="I15" s="377">
        <v>0</v>
      </c>
      <c r="J15" s="368">
        <v>0</v>
      </c>
      <c r="K15" s="368">
        <v>5038591.6528489515</v>
      </c>
      <c r="L15" s="369">
        <v>2523418.0805457812</v>
      </c>
      <c r="N15" s="367">
        <v>2515173.5723031703</v>
      </c>
      <c r="O15" s="370">
        <v>92342992.344699994</v>
      </c>
      <c r="P15" s="370">
        <v>14511869.0811</v>
      </c>
      <c r="Q15" s="370">
        <v>93777211.293264404</v>
      </c>
      <c r="R15" s="370">
        <v>14857099.688999999</v>
      </c>
      <c r="S15" s="370">
        <v>8661794.9274915773</v>
      </c>
      <c r="T15" s="379">
        <v>63626400</v>
      </c>
      <c r="U15" s="371">
        <v>1843089.2662519698</v>
      </c>
      <c r="V15" s="371">
        <v>1502500</v>
      </c>
      <c r="W15" s="372">
        <v>5860762.8385551404</v>
      </c>
      <c r="X15" s="41"/>
      <c r="Y15" s="365">
        <v>750000</v>
      </c>
      <c r="Z15" s="370">
        <v>750000</v>
      </c>
      <c r="AA15" s="370">
        <v>0</v>
      </c>
      <c r="AB15" s="375">
        <v>5110762.8385551404</v>
      </c>
      <c r="AC15" s="41"/>
      <c r="AD15" s="449">
        <v>750000</v>
      </c>
      <c r="AE15" s="365">
        <v>147351.88235878648</v>
      </c>
      <c r="AF15" s="375">
        <v>3460910.9561963538</v>
      </c>
      <c r="AH15" s="365">
        <v>235906.528176344</v>
      </c>
      <c r="AI15" s="370">
        <v>235906.528176344</v>
      </c>
      <c r="AJ15" s="370">
        <v>0</v>
      </c>
      <c r="AK15" s="375">
        <v>3225004.4280200098</v>
      </c>
      <c r="AM15" s="365">
        <v>68095.040241249997</v>
      </c>
      <c r="AN15" s="370">
        <v>68095.040241249997</v>
      </c>
      <c r="AO15" s="370">
        <v>0</v>
      </c>
      <c r="AP15" s="375">
        <v>3156909.3877787599</v>
      </c>
      <c r="AR15" s="365">
        <v>0</v>
      </c>
      <c r="AS15" s="375">
        <v>1313820.1215267901</v>
      </c>
      <c r="AU15" s="378">
        <v>2250000</v>
      </c>
      <c r="AV15" s="379">
        <v>747500</v>
      </c>
      <c r="AW15" s="380">
        <v>2250000</v>
      </c>
      <c r="AX15" s="381">
        <v>566320.12152679008</v>
      </c>
      <c r="AZ15" s="365">
        <v>0</v>
      </c>
      <c r="BA15" s="370">
        <v>0</v>
      </c>
      <c r="BB15" s="370">
        <v>0</v>
      </c>
      <c r="BC15" s="375">
        <v>566320.12152679008</v>
      </c>
      <c r="BE15" s="365">
        <v>1824009.410505564</v>
      </c>
      <c r="BF15" s="370">
        <v>-19079.855746405898</v>
      </c>
      <c r="BG15" s="370">
        <v>1824009.410505564</v>
      </c>
      <c r="BH15" s="375">
        <v>585399.97727319598</v>
      </c>
      <c r="BJ15" s="365">
        <v>2019618.9258376062</v>
      </c>
      <c r="BK15" s="370">
        <v>585399.97727319598</v>
      </c>
      <c r="BL15" s="370">
        <v>1434218.9485644102</v>
      </c>
      <c r="BM15" s="375">
        <v>0</v>
      </c>
      <c r="BO15" s="365">
        <v>345230.60789999925</v>
      </c>
      <c r="BP15" s="370">
        <v>0</v>
      </c>
      <c r="BQ15" s="370">
        <v>345230.60789999925</v>
      </c>
      <c r="BR15" s="375">
        <v>0</v>
      </c>
      <c r="BT15" s="365">
        <v>8661794.9274915773</v>
      </c>
      <c r="BU15" s="370">
        <v>0</v>
      </c>
      <c r="BV15" s="370">
        <v>8661794.9274915773</v>
      </c>
      <c r="BW15" s="375">
        <v>0</v>
      </c>
      <c r="BY15" s="365">
        <v>0</v>
      </c>
      <c r="BZ15" s="373">
        <v>0</v>
      </c>
      <c r="CA15" s="375">
        <v>0</v>
      </c>
      <c r="CC15" s="365">
        <v>821306.50544953998</v>
      </c>
      <c r="CD15" s="375">
        <v>68095.040241249997</v>
      </c>
      <c r="CF15" s="365">
        <v>585399.97727319598</v>
      </c>
      <c r="CG15" s="375">
        <v>0</v>
      </c>
      <c r="CI15" s="365">
        <v>0</v>
      </c>
      <c r="CJ15" s="375">
        <v>889401.54569078994</v>
      </c>
    </row>
    <row r="16" spans="1:89" ht="15.6">
      <c r="A16" s="139" t="s">
        <v>182</v>
      </c>
      <c r="B16" s="344">
        <v>0.12</v>
      </c>
      <c r="G16" s="417">
        <v>12</v>
      </c>
      <c r="H16" s="251">
        <v>0</v>
      </c>
      <c r="I16" s="377">
        <v>0</v>
      </c>
      <c r="J16" s="368">
        <v>0</v>
      </c>
      <c r="K16" s="368">
        <v>5038591.6528489515</v>
      </c>
      <c r="L16" s="369">
        <v>2524824.4155137367</v>
      </c>
      <c r="N16" s="367">
        <v>2513767.2373352149</v>
      </c>
      <c r="O16" s="370">
        <v>90792654.720200002</v>
      </c>
      <c r="P16" s="370">
        <v>14337850.0152</v>
      </c>
      <c r="Q16" s="370">
        <v>91697031.241447523</v>
      </c>
      <c r="R16" s="370">
        <v>14857099.688999999</v>
      </c>
      <c r="S16" s="370">
        <v>8661794.9274915773</v>
      </c>
      <c r="T16" s="379">
        <v>63626400</v>
      </c>
      <c r="U16" s="371">
        <v>1827049.42618974</v>
      </c>
      <c r="V16" s="371">
        <v>2253750</v>
      </c>
      <c r="W16" s="372">
        <v>6594566.6635249546</v>
      </c>
      <c r="X16" s="41"/>
      <c r="Y16" s="365">
        <v>0</v>
      </c>
      <c r="Z16" s="370">
        <v>0</v>
      </c>
      <c r="AA16" s="370">
        <v>0</v>
      </c>
      <c r="AB16" s="375">
        <v>6594566.6635249546</v>
      </c>
      <c r="AC16" s="41"/>
      <c r="AD16" s="449">
        <v>0</v>
      </c>
      <c r="AE16" s="365">
        <v>146620.13238719496</v>
      </c>
      <c r="AF16" s="375">
        <v>4194196.5311377598</v>
      </c>
      <c r="AH16" s="365">
        <v>234443.02823316099</v>
      </c>
      <c r="AI16" s="370">
        <v>234443.02823316099</v>
      </c>
      <c r="AJ16" s="370">
        <v>0</v>
      </c>
      <c r="AK16" s="375">
        <v>3959753.5029045986</v>
      </c>
      <c r="AM16" s="365">
        <v>68095.040241249997</v>
      </c>
      <c r="AN16" s="370">
        <v>68095.040241249997</v>
      </c>
      <c r="AO16" s="370">
        <v>0</v>
      </c>
      <c r="AP16" s="375">
        <v>3891658.4626633488</v>
      </c>
      <c r="AR16" s="365">
        <v>0</v>
      </c>
      <c r="AS16" s="375">
        <v>2064609.0364736088</v>
      </c>
      <c r="AU16" s="378">
        <v>2250000</v>
      </c>
      <c r="AV16" s="379">
        <v>-3750</v>
      </c>
      <c r="AW16" s="380">
        <v>2250000</v>
      </c>
      <c r="AX16" s="381">
        <v>2068359.0364736088</v>
      </c>
      <c r="AZ16" s="365">
        <v>0</v>
      </c>
      <c r="BA16" s="370">
        <v>0</v>
      </c>
      <c r="BB16" s="370">
        <v>0</v>
      </c>
      <c r="BC16" s="375">
        <v>2068359.0364736088</v>
      </c>
      <c r="BE16" s="365">
        <v>1815228.410846466</v>
      </c>
      <c r="BF16" s="370">
        <v>-11821.01534327399</v>
      </c>
      <c r="BG16" s="370">
        <v>1815228.410846466</v>
      </c>
      <c r="BH16" s="375">
        <v>2080180.0518168828</v>
      </c>
      <c r="BJ16" s="365">
        <v>2984556.5730644017</v>
      </c>
      <c r="BK16" s="370">
        <v>2080180.0518168828</v>
      </c>
      <c r="BL16" s="370">
        <v>904376.52124751895</v>
      </c>
      <c r="BM16" s="375">
        <v>0</v>
      </c>
      <c r="BO16" s="365">
        <v>519249.67379999906</v>
      </c>
      <c r="BP16" s="370">
        <v>0</v>
      </c>
      <c r="BQ16" s="370">
        <v>519249.67379999906</v>
      </c>
      <c r="BR16" s="375">
        <v>0</v>
      </c>
      <c r="BT16" s="365">
        <v>8661794.9274915773</v>
      </c>
      <c r="BU16" s="370">
        <v>0</v>
      </c>
      <c r="BV16" s="370">
        <v>8661794.9274915773</v>
      </c>
      <c r="BW16" s="375">
        <v>0</v>
      </c>
      <c r="BY16" s="365">
        <v>0</v>
      </c>
      <c r="BZ16" s="373">
        <v>0</v>
      </c>
      <c r="CA16" s="375">
        <v>0</v>
      </c>
      <c r="CC16" s="365">
        <v>2314623.0800500438</v>
      </c>
      <c r="CD16" s="375">
        <v>68095.040241249997</v>
      </c>
      <c r="CF16" s="365">
        <v>2080180.0518168807</v>
      </c>
      <c r="CG16" s="375">
        <v>0</v>
      </c>
      <c r="CI16" s="365">
        <v>0</v>
      </c>
      <c r="CJ16" s="375">
        <v>2382718.1202912936</v>
      </c>
    </row>
    <row r="17" spans="1:88" ht="15.6">
      <c r="A17" s="136" t="s">
        <v>183</v>
      </c>
      <c r="B17" s="338">
        <v>0.08</v>
      </c>
      <c r="G17" s="417">
        <v>13</v>
      </c>
      <c r="H17" s="251">
        <v>0</v>
      </c>
      <c r="I17" s="377">
        <v>0</v>
      </c>
      <c r="J17" s="368">
        <v>0</v>
      </c>
      <c r="K17" s="368">
        <v>5038591.6528489515</v>
      </c>
      <c r="L17" s="369">
        <v>2526231.5342511581</v>
      </c>
      <c r="N17" s="367">
        <v>2512360.1185977934</v>
      </c>
      <c r="O17" s="370">
        <v>89237795.277700007</v>
      </c>
      <c r="P17" s="370">
        <v>14162888.345899999</v>
      </c>
      <c r="Q17" s="370">
        <v>89588050.567055032</v>
      </c>
      <c r="R17" s="370">
        <v>14857099.688999999</v>
      </c>
      <c r="S17" s="370">
        <v>8661794.9274915773</v>
      </c>
      <c r="T17" s="379">
        <v>63626400</v>
      </c>
      <c r="U17" s="371">
        <v>1818253.7915312101</v>
      </c>
      <c r="V17" s="371">
        <v>2253750</v>
      </c>
      <c r="W17" s="372">
        <v>6584363.9101290032</v>
      </c>
      <c r="X17" s="41"/>
      <c r="Y17" s="365">
        <v>0</v>
      </c>
      <c r="Z17" s="370">
        <v>0</v>
      </c>
      <c r="AA17" s="370">
        <v>0</v>
      </c>
      <c r="AB17" s="375">
        <v>6584363.9101290032</v>
      </c>
      <c r="AC17" s="41"/>
      <c r="AD17" s="449">
        <v>0</v>
      </c>
      <c r="AE17" s="365">
        <v>144019.90732242388</v>
      </c>
      <c r="AF17" s="375">
        <v>4186594.0028065792</v>
      </c>
      <c r="AH17" s="365">
        <v>229242.57810361881</v>
      </c>
      <c r="AI17" s="370">
        <v>229242.57810361881</v>
      </c>
      <c r="AJ17" s="370">
        <v>0</v>
      </c>
      <c r="AK17" s="375">
        <v>3957351.4247029605</v>
      </c>
      <c r="AM17" s="365">
        <v>68095.040241249997</v>
      </c>
      <c r="AN17" s="370">
        <v>68095.040241249997</v>
      </c>
      <c r="AO17" s="370">
        <v>0</v>
      </c>
      <c r="AP17" s="375">
        <v>3889256.3844617107</v>
      </c>
      <c r="AR17" s="365">
        <v>0</v>
      </c>
      <c r="AS17" s="375">
        <v>2071002.5929305006</v>
      </c>
      <c r="AU17" s="378">
        <v>2250000</v>
      </c>
      <c r="AV17" s="379">
        <v>-3750</v>
      </c>
      <c r="AW17" s="380">
        <v>2250000</v>
      </c>
      <c r="AX17" s="381">
        <v>2074752.5929305006</v>
      </c>
      <c r="AZ17" s="365">
        <v>0</v>
      </c>
      <c r="BA17" s="370">
        <v>0</v>
      </c>
      <c r="BB17" s="370">
        <v>0</v>
      </c>
      <c r="BC17" s="375">
        <v>2074752.5929305006</v>
      </c>
      <c r="BE17" s="365">
        <v>1784025.7100692128</v>
      </c>
      <c r="BF17" s="370">
        <v>-34228.081461997237</v>
      </c>
      <c r="BG17" s="370">
        <v>1784025.7100692128</v>
      </c>
      <c r="BH17" s="375">
        <v>2108980.6743924981</v>
      </c>
      <c r="BJ17" s="365">
        <v>2459235.9637475163</v>
      </c>
      <c r="BK17" s="370">
        <v>2108980.6743924981</v>
      </c>
      <c r="BL17" s="370">
        <v>350255.28935501818</v>
      </c>
      <c r="BM17" s="375">
        <v>0</v>
      </c>
      <c r="BO17" s="365">
        <v>694211.34310000017</v>
      </c>
      <c r="BP17" s="370">
        <v>0</v>
      </c>
      <c r="BQ17" s="370">
        <v>694211.34310000017</v>
      </c>
      <c r="BR17" s="375">
        <v>0</v>
      </c>
      <c r="BT17" s="365">
        <v>8661794.9274915773</v>
      </c>
      <c r="BU17" s="370">
        <v>0</v>
      </c>
      <c r="BV17" s="370">
        <v>8661794.9274915773</v>
      </c>
      <c r="BW17" s="375">
        <v>0</v>
      </c>
      <c r="BY17" s="365">
        <v>0</v>
      </c>
      <c r="BZ17" s="373">
        <v>0</v>
      </c>
      <c r="CA17" s="375">
        <v>0</v>
      </c>
      <c r="CC17" s="365">
        <v>2338223.2524961168</v>
      </c>
      <c r="CD17" s="375">
        <v>68095.040241249997</v>
      </c>
      <c r="CF17" s="365">
        <v>2108980.6743924916</v>
      </c>
      <c r="CG17" s="375">
        <v>0</v>
      </c>
      <c r="CI17" s="365">
        <v>0</v>
      </c>
      <c r="CJ17" s="375">
        <v>2406318.2927373671</v>
      </c>
    </row>
    <row r="18" spans="1:88" ht="15.6">
      <c r="A18" s="135" t="s">
        <v>199</v>
      </c>
      <c r="B18" s="345">
        <v>107902000</v>
      </c>
      <c r="G18" s="417">
        <v>14</v>
      </c>
      <c r="H18" s="251">
        <v>0</v>
      </c>
      <c r="I18" s="377">
        <v>0</v>
      </c>
      <c r="J18" s="368">
        <v>0</v>
      </c>
      <c r="K18" s="368">
        <v>5038591.6528489515</v>
      </c>
      <c r="L18" s="369">
        <v>2527639.4371948512</v>
      </c>
      <c r="N18" s="367">
        <v>2510952.2156541003</v>
      </c>
      <c r="O18" s="370">
        <v>87678400.828400001</v>
      </c>
      <c r="P18" s="370">
        <v>13986978.967599999</v>
      </c>
      <c r="Q18" s="370">
        <v>87678400.828400001</v>
      </c>
      <c r="R18" s="370">
        <v>14650887.973839914</v>
      </c>
      <c r="S18" s="370">
        <v>8661794.9274915773</v>
      </c>
      <c r="T18" s="379">
        <v>63626400</v>
      </c>
      <c r="U18" s="371">
        <v>1786999.0862526614</v>
      </c>
      <c r="V18" s="371">
        <v>2253750</v>
      </c>
      <c r="W18" s="372">
        <v>6551701.3019067617</v>
      </c>
      <c r="X18" s="41"/>
      <c r="Y18" s="365">
        <v>750000</v>
      </c>
      <c r="Z18" s="370">
        <v>750000</v>
      </c>
      <c r="AA18" s="370">
        <v>0</v>
      </c>
      <c r="AB18" s="375">
        <v>5801701.3019067617</v>
      </c>
      <c r="AC18" s="41"/>
      <c r="AD18" s="449">
        <v>750000</v>
      </c>
      <c r="AE18" s="365">
        <v>141383.68147943326</v>
      </c>
      <c r="AF18" s="375">
        <v>3406567.6204273286</v>
      </c>
      <c r="AH18" s="365">
        <v>223970.12641763757</v>
      </c>
      <c r="AI18" s="370">
        <v>223970.12641763757</v>
      </c>
      <c r="AJ18" s="370">
        <v>0</v>
      </c>
      <c r="AK18" s="375">
        <v>3182597.4940096913</v>
      </c>
      <c r="AM18" s="365">
        <v>68095.040241249997</v>
      </c>
      <c r="AN18" s="370">
        <v>68095.040241249997</v>
      </c>
      <c r="AO18" s="370">
        <v>0</v>
      </c>
      <c r="AP18" s="375">
        <v>3114502.4537684415</v>
      </c>
      <c r="AR18" s="365">
        <v>0</v>
      </c>
      <c r="AS18" s="375">
        <v>1327503.36751578</v>
      </c>
      <c r="AU18" s="378">
        <v>1500000</v>
      </c>
      <c r="AV18" s="379">
        <v>-753750</v>
      </c>
      <c r="AW18" s="380">
        <v>1500000</v>
      </c>
      <c r="AX18" s="381">
        <v>2081253.36751578</v>
      </c>
      <c r="AZ18" s="365">
        <v>0</v>
      </c>
      <c r="BA18" s="370">
        <v>0</v>
      </c>
      <c r="BB18" s="370">
        <v>0</v>
      </c>
      <c r="BC18" s="375">
        <v>2081253.36751578</v>
      </c>
      <c r="BE18" s="365">
        <v>1752390.9999533254</v>
      </c>
      <c r="BF18" s="370">
        <v>-34608.08629933605</v>
      </c>
      <c r="BG18" s="370">
        <v>1752390.9999533254</v>
      </c>
      <c r="BH18" s="375">
        <v>2115861.4538151161</v>
      </c>
      <c r="BJ18" s="365">
        <v>1909649.7386550307</v>
      </c>
      <c r="BK18" s="370">
        <v>1909649.7386550307</v>
      </c>
      <c r="BL18" s="370">
        <v>0</v>
      </c>
      <c r="BM18" s="375">
        <v>206211.71516008535</v>
      </c>
      <c r="BO18" s="365">
        <v>870120.72140000015</v>
      </c>
      <c r="BP18" s="370">
        <v>206211.71516008535</v>
      </c>
      <c r="BQ18" s="370">
        <v>663909.0062399148</v>
      </c>
      <c r="BR18" s="375">
        <v>0</v>
      </c>
      <c r="BT18" s="365">
        <v>8661794.9274915773</v>
      </c>
      <c r="BU18" s="370">
        <v>0</v>
      </c>
      <c r="BV18" s="370">
        <v>8661794.9274915773</v>
      </c>
      <c r="BW18" s="375">
        <v>0</v>
      </c>
      <c r="BY18" s="365">
        <v>0</v>
      </c>
      <c r="BZ18" s="373">
        <v>0</v>
      </c>
      <c r="CA18" s="375">
        <v>0</v>
      </c>
      <c r="CC18" s="365">
        <v>2133619.8650726685</v>
      </c>
      <c r="CD18" s="375">
        <v>274306.75540133537</v>
      </c>
      <c r="CF18" s="365">
        <v>1909649.7386550307</v>
      </c>
      <c r="CG18" s="375">
        <v>206211.71516008489</v>
      </c>
      <c r="CI18" s="365">
        <v>0</v>
      </c>
      <c r="CJ18" s="375">
        <v>2407926.6204740037</v>
      </c>
    </row>
    <row r="19" spans="1:88" ht="15.6">
      <c r="A19" s="139" t="s">
        <v>200</v>
      </c>
      <c r="B19" s="346">
        <v>16185300</v>
      </c>
      <c r="G19" s="417">
        <v>15</v>
      </c>
      <c r="H19" s="251">
        <v>0</v>
      </c>
      <c r="I19" s="377">
        <v>0</v>
      </c>
      <c r="J19" s="368">
        <v>0</v>
      </c>
      <c r="K19" s="368">
        <v>5038591.6528489515</v>
      </c>
      <c r="L19" s="369">
        <v>2529048.1247818652</v>
      </c>
      <c r="N19" s="367">
        <v>2509543.5280670864</v>
      </c>
      <c r="O19" s="370">
        <v>86114458.145400003</v>
      </c>
      <c r="P19" s="370">
        <v>13810116.7468</v>
      </c>
      <c r="Q19" s="370">
        <v>86114458.145400003</v>
      </c>
      <c r="R19" s="370">
        <v>14090635.668806106</v>
      </c>
      <c r="S19" s="370">
        <v>8661794.9274915773</v>
      </c>
      <c r="T19" s="379">
        <v>63626400</v>
      </c>
      <c r="U19" s="371">
        <v>1755311.6516199142</v>
      </c>
      <c r="V19" s="371">
        <v>1502500</v>
      </c>
      <c r="W19" s="372">
        <v>5767355.1796870008</v>
      </c>
      <c r="X19" s="41"/>
      <c r="Y19" s="365">
        <v>1500000</v>
      </c>
      <c r="Z19" s="370">
        <v>1500000</v>
      </c>
      <c r="AA19" s="370">
        <v>0</v>
      </c>
      <c r="AB19" s="375">
        <v>4267355.1796870008</v>
      </c>
      <c r="AC19" s="41"/>
      <c r="AD19" s="449">
        <v>1500000</v>
      </c>
      <c r="AE19" s="365">
        <v>138738.85466216435</v>
      </c>
      <c r="AF19" s="375">
        <v>2626116.3250248367</v>
      </c>
      <c r="AH19" s="365">
        <v>219196.002071</v>
      </c>
      <c r="AI19" s="370">
        <v>219196.002071</v>
      </c>
      <c r="AJ19" s="370">
        <v>0</v>
      </c>
      <c r="AK19" s="375">
        <v>2406920.3229538365</v>
      </c>
      <c r="AM19" s="365">
        <v>67149.903213432946</v>
      </c>
      <c r="AN19" s="370">
        <v>67149.903213432946</v>
      </c>
      <c r="AO19" s="370">
        <v>0</v>
      </c>
      <c r="AP19" s="375">
        <v>2339770.4197404035</v>
      </c>
      <c r="AR19" s="365">
        <v>0</v>
      </c>
      <c r="AS19" s="375">
        <v>584458.76812048932</v>
      </c>
      <c r="AU19" s="378">
        <v>0</v>
      </c>
      <c r="AV19" s="379">
        <v>-1502500</v>
      </c>
      <c r="AW19" s="380">
        <v>0</v>
      </c>
      <c r="AX19" s="381">
        <v>2086958.7681204893</v>
      </c>
      <c r="AZ19" s="365">
        <v>0</v>
      </c>
      <c r="BA19" s="370">
        <v>0</v>
      </c>
      <c r="BB19" s="370">
        <v>0</v>
      </c>
      <c r="BC19" s="375">
        <v>2086958.7681204893</v>
      </c>
      <c r="BE19" s="365">
        <v>1718075.4317065976</v>
      </c>
      <c r="BF19" s="370">
        <v>-37236.219913316658</v>
      </c>
      <c r="BG19" s="370">
        <v>1718075.4317065976</v>
      </c>
      <c r="BH19" s="375">
        <v>2124194.988033806</v>
      </c>
      <c r="BJ19" s="365">
        <v>1563942.6829999983</v>
      </c>
      <c r="BK19" s="370">
        <v>1563942.6829999983</v>
      </c>
      <c r="BL19" s="370">
        <v>0</v>
      </c>
      <c r="BM19" s="375">
        <v>560252.30503380764</v>
      </c>
      <c r="BO19" s="365">
        <v>840771.22703991458</v>
      </c>
      <c r="BP19" s="370">
        <v>560252.30503380764</v>
      </c>
      <c r="BQ19" s="370">
        <v>280518.92200610694</v>
      </c>
      <c r="BR19" s="375">
        <v>0</v>
      </c>
      <c r="BT19" s="365">
        <v>8661794.9274915773</v>
      </c>
      <c r="BU19" s="370">
        <v>0</v>
      </c>
      <c r="BV19" s="370">
        <v>8661794.9274915773</v>
      </c>
      <c r="BW19" s="375">
        <v>0</v>
      </c>
      <c r="BY19" s="365">
        <v>0</v>
      </c>
      <c r="BZ19" s="373">
        <v>0</v>
      </c>
      <c r="CA19" s="375">
        <v>0</v>
      </c>
      <c r="CC19" s="365">
        <v>1783138.6850709983</v>
      </c>
      <c r="CD19" s="375">
        <v>627402.20824724063</v>
      </c>
      <c r="CF19" s="365">
        <v>1563942.6829999983</v>
      </c>
      <c r="CG19" s="375">
        <v>560252.30503380857</v>
      </c>
      <c r="CI19" s="365">
        <v>0</v>
      </c>
      <c r="CJ19" s="375">
        <v>2410540.8933182391</v>
      </c>
    </row>
    <row r="20" spans="1:88" ht="15.6">
      <c r="A20" s="136" t="s">
        <v>201</v>
      </c>
      <c r="B20" s="347">
        <v>10790200</v>
      </c>
      <c r="G20" s="417">
        <v>16</v>
      </c>
      <c r="H20" s="251">
        <v>0</v>
      </c>
      <c r="I20" s="377">
        <v>0</v>
      </c>
      <c r="J20" s="368">
        <v>0</v>
      </c>
      <c r="K20" s="368">
        <v>5038591.6528489515</v>
      </c>
      <c r="L20" s="369">
        <v>2530457.5974494913</v>
      </c>
      <c r="N20" s="367">
        <v>2508134.0553994603</v>
      </c>
      <c r="O20" s="370">
        <v>84545953.962799996</v>
      </c>
      <c r="P20" s="370">
        <v>13632296.522399999</v>
      </c>
      <c r="Q20" s="370">
        <v>84730546.388753578</v>
      </c>
      <c r="R20" s="370">
        <v>14090635.668806106</v>
      </c>
      <c r="S20" s="370">
        <v>8661794.9274915773</v>
      </c>
      <c r="T20" s="379">
        <v>63626400</v>
      </c>
      <c r="U20" s="371">
        <v>1720938.890759442</v>
      </c>
      <c r="V20" s="371">
        <v>0</v>
      </c>
      <c r="W20" s="372">
        <v>4229072.9461589027</v>
      </c>
      <c r="X20" s="41"/>
      <c r="Y20" s="365">
        <v>0</v>
      </c>
      <c r="Z20" s="370">
        <v>0</v>
      </c>
      <c r="AA20" s="370">
        <v>0</v>
      </c>
      <c r="AB20" s="375">
        <v>4229072.9461589027</v>
      </c>
      <c r="AC20" s="41"/>
      <c r="AD20" s="449">
        <v>0</v>
      </c>
      <c r="AE20" s="365">
        <v>136083.61092712209</v>
      </c>
      <c r="AF20" s="375">
        <v>4092989.3352317805</v>
      </c>
      <c r="AH20" s="365">
        <v>215286.14536349999</v>
      </c>
      <c r="AI20" s="370">
        <v>215286.14536349999</v>
      </c>
      <c r="AJ20" s="370">
        <v>0</v>
      </c>
      <c r="AK20" s="375">
        <v>3877703.1898682807</v>
      </c>
      <c r="AM20" s="365">
        <v>64582.080148694651</v>
      </c>
      <c r="AN20" s="370">
        <v>64582.080148694651</v>
      </c>
      <c r="AO20" s="370">
        <v>0</v>
      </c>
      <c r="AP20" s="375">
        <v>3813121.1097195861</v>
      </c>
      <c r="AR20" s="365">
        <v>0</v>
      </c>
      <c r="AS20" s="375">
        <v>2092182.2189601441</v>
      </c>
      <c r="AU20" s="378">
        <v>750000</v>
      </c>
      <c r="AV20" s="379">
        <v>750000</v>
      </c>
      <c r="AW20" s="380">
        <v>750000</v>
      </c>
      <c r="AX20" s="381">
        <v>1342182.2189601441</v>
      </c>
      <c r="AZ20" s="365">
        <v>0</v>
      </c>
      <c r="BA20" s="370">
        <v>0</v>
      </c>
      <c r="BB20" s="370">
        <v>0</v>
      </c>
      <c r="BC20" s="375">
        <v>1342182.2189601441</v>
      </c>
      <c r="BE20" s="365">
        <v>1679209.3530731678</v>
      </c>
      <c r="BF20" s="370">
        <v>-41729.537686274154</v>
      </c>
      <c r="BG20" s="370">
        <v>1679209.3530731678</v>
      </c>
      <c r="BH20" s="375">
        <v>1383911.7566464182</v>
      </c>
      <c r="BJ20" s="365">
        <v>1568504.1826000065</v>
      </c>
      <c r="BK20" s="370">
        <v>1383911.7566464182</v>
      </c>
      <c r="BL20" s="370">
        <v>184592.42595358822</v>
      </c>
      <c r="BM20" s="375">
        <v>0</v>
      </c>
      <c r="BO20" s="365">
        <v>458339.14640610665</v>
      </c>
      <c r="BP20" s="370">
        <v>0</v>
      </c>
      <c r="BQ20" s="370">
        <v>458339.14640610665</v>
      </c>
      <c r="BR20" s="375">
        <v>0</v>
      </c>
      <c r="BT20" s="365">
        <v>8661794.9274915773</v>
      </c>
      <c r="BU20" s="370">
        <v>0</v>
      </c>
      <c r="BV20" s="370">
        <v>8661794.9274915773</v>
      </c>
      <c r="BW20" s="375">
        <v>0</v>
      </c>
      <c r="BY20" s="365">
        <v>0</v>
      </c>
      <c r="BZ20" s="373">
        <v>0</v>
      </c>
      <c r="CA20" s="375">
        <v>0</v>
      </c>
      <c r="CC20" s="365">
        <v>1599197.9020099184</v>
      </c>
      <c r="CD20" s="375">
        <v>64582.080148694651</v>
      </c>
      <c r="CF20" s="365">
        <v>1383911.7566464245</v>
      </c>
      <c r="CG20" s="375">
        <v>0</v>
      </c>
      <c r="CI20" s="365">
        <v>0</v>
      </c>
      <c r="CJ20" s="375">
        <v>1663779.9821586129</v>
      </c>
    </row>
    <row r="21" spans="1:88" ht="15.6">
      <c r="A21" s="160" t="s">
        <v>389</v>
      </c>
      <c r="B21" s="348">
        <v>60</v>
      </c>
      <c r="G21" s="417">
        <v>17</v>
      </c>
      <c r="H21" s="251">
        <v>0</v>
      </c>
      <c r="I21" s="377">
        <v>0</v>
      </c>
      <c r="J21" s="368">
        <v>0</v>
      </c>
      <c r="K21" s="368">
        <v>5038591.6528489515</v>
      </c>
      <c r="L21" s="369">
        <v>2531867.8556352658</v>
      </c>
      <c r="N21" s="367">
        <v>2506723.7972136857</v>
      </c>
      <c r="O21" s="370">
        <v>82972874.976400003</v>
      </c>
      <c r="P21" s="370">
        <v>13453513.105</v>
      </c>
      <c r="Q21" s="370">
        <v>82972874.976400003</v>
      </c>
      <c r="R21" s="370">
        <v>13727538.09269307</v>
      </c>
      <c r="S21" s="370">
        <v>8661794.9274915773</v>
      </c>
      <c r="T21" s="379">
        <v>63626400</v>
      </c>
      <c r="U21" s="371">
        <v>1682008.0353282897</v>
      </c>
      <c r="V21" s="371">
        <v>751250</v>
      </c>
      <c r="W21" s="372">
        <v>4939981.8325419752</v>
      </c>
      <c r="X21" s="41"/>
      <c r="Y21" s="365">
        <v>0</v>
      </c>
      <c r="Z21" s="370">
        <v>0</v>
      </c>
      <c r="AA21" s="370">
        <v>0</v>
      </c>
      <c r="AB21" s="375">
        <v>4939981.8325419752</v>
      </c>
      <c r="AC21" s="41"/>
      <c r="AD21" s="449">
        <v>0</v>
      </c>
      <c r="AE21" s="365">
        <v>134353.72123131406</v>
      </c>
      <c r="AF21" s="375">
        <v>4054378.1113106613</v>
      </c>
      <c r="AH21" s="365">
        <v>211826.36597188393</v>
      </c>
      <c r="AI21" s="370">
        <v>211826.36597188393</v>
      </c>
      <c r="AJ21" s="370">
        <v>0</v>
      </c>
      <c r="AK21" s="375">
        <v>3842551.7453387775</v>
      </c>
      <c r="AM21" s="365">
        <v>64582.080148694651</v>
      </c>
      <c r="AN21" s="370">
        <v>64582.080148694651</v>
      </c>
      <c r="AO21" s="370">
        <v>0</v>
      </c>
      <c r="AP21" s="375">
        <v>3777969.665190083</v>
      </c>
      <c r="AR21" s="365">
        <v>0</v>
      </c>
      <c r="AS21" s="375">
        <v>2095961.6298617932</v>
      </c>
      <c r="AU21" s="378">
        <v>750000</v>
      </c>
      <c r="AV21" s="379">
        <v>-1250</v>
      </c>
      <c r="AW21" s="380">
        <v>750000</v>
      </c>
      <c r="AX21" s="381">
        <v>2097211.6298617935</v>
      </c>
      <c r="AZ21" s="365">
        <v>0</v>
      </c>
      <c r="BA21" s="370">
        <v>0</v>
      </c>
      <c r="BB21" s="370">
        <v>0</v>
      </c>
      <c r="BC21" s="375">
        <v>2097211.6298617935</v>
      </c>
      <c r="BE21" s="365">
        <v>1658450.6767234716</v>
      </c>
      <c r="BF21" s="370">
        <v>-23557.358604818117</v>
      </c>
      <c r="BG21" s="370">
        <v>1658450.6767234716</v>
      </c>
      <c r="BH21" s="375">
        <v>2120768.9884666116</v>
      </c>
      <c r="BJ21" s="365">
        <v>1757671.4123535752</v>
      </c>
      <c r="BK21" s="370">
        <v>1757671.4123535752</v>
      </c>
      <c r="BL21" s="370">
        <v>0</v>
      </c>
      <c r="BM21" s="375">
        <v>363097.57611303637</v>
      </c>
      <c r="BO21" s="365">
        <v>637122.56380610541</v>
      </c>
      <c r="BP21" s="370">
        <v>363097.57611303637</v>
      </c>
      <c r="BQ21" s="370">
        <v>274024.98769306904</v>
      </c>
      <c r="BR21" s="375">
        <v>0</v>
      </c>
      <c r="BT21" s="365">
        <v>8661794.9274915773</v>
      </c>
      <c r="BU21" s="370">
        <v>0</v>
      </c>
      <c r="BV21" s="370">
        <v>8661794.9274915773</v>
      </c>
      <c r="BW21" s="375">
        <v>0</v>
      </c>
      <c r="BY21" s="365">
        <v>0</v>
      </c>
      <c r="BZ21" s="373">
        <v>0</v>
      </c>
      <c r="CA21" s="375">
        <v>0</v>
      </c>
      <c r="CC21" s="365">
        <v>1969497.7783254592</v>
      </c>
      <c r="CD21" s="375">
        <v>427679.656261731</v>
      </c>
      <c r="CF21" s="365">
        <v>1757671.4123535752</v>
      </c>
      <c r="CG21" s="375">
        <v>363097.5761130359</v>
      </c>
      <c r="CI21" s="365">
        <v>0</v>
      </c>
      <c r="CJ21" s="375">
        <v>2397177.4345871904</v>
      </c>
    </row>
    <row r="22" spans="1:88" ht="15.6">
      <c r="A22" s="166" t="s">
        <v>388</v>
      </c>
      <c r="B22" s="349">
        <v>84</v>
      </c>
      <c r="G22" s="417">
        <v>18</v>
      </c>
      <c r="H22" s="251">
        <v>0</v>
      </c>
      <c r="I22" s="377">
        <v>0</v>
      </c>
      <c r="J22" s="368">
        <v>0</v>
      </c>
      <c r="K22" s="368">
        <v>5038591.6528489515</v>
      </c>
      <c r="L22" s="369">
        <v>2533278.8997769691</v>
      </c>
      <c r="N22" s="367">
        <v>2505312.7530719824</v>
      </c>
      <c r="O22" s="370">
        <v>81395207.842899993</v>
      </c>
      <c r="P22" s="370">
        <v>13273761.2775</v>
      </c>
      <c r="Q22" s="370">
        <v>81395207.842899993</v>
      </c>
      <c r="R22" s="370">
        <v>13273761.2775</v>
      </c>
      <c r="S22" s="370">
        <v>8549614.6144846305</v>
      </c>
      <c r="T22" s="379">
        <v>63626400</v>
      </c>
      <c r="U22" s="371">
        <v>1661214.7611846775</v>
      </c>
      <c r="V22" s="371">
        <v>751250</v>
      </c>
      <c r="W22" s="372">
        <v>4917777.5142566599</v>
      </c>
      <c r="X22" s="41"/>
      <c r="Y22" s="365">
        <v>0</v>
      </c>
      <c r="Z22" s="370">
        <v>0</v>
      </c>
      <c r="AA22" s="370">
        <v>0</v>
      </c>
      <c r="AB22" s="375">
        <v>4917777.5142566599</v>
      </c>
      <c r="AC22" s="41"/>
      <c r="AD22" s="449">
        <v>0</v>
      </c>
      <c r="AE22" s="365">
        <v>131702.7599957308</v>
      </c>
      <c r="AF22" s="375">
        <v>4034824.7542609293</v>
      </c>
      <c r="AH22" s="365">
        <v>207432.18744099999</v>
      </c>
      <c r="AI22" s="370">
        <v>207432.18744099999</v>
      </c>
      <c r="AJ22" s="370">
        <v>0</v>
      </c>
      <c r="AK22" s="375">
        <v>3827392.5668199295</v>
      </c>
      <c r="AM22" s="365">
        <v>62917.882924843238</v>
      </c>
      <c r="AN22" s="370">
        <v>62917.882924843238</v>
      </c>
      <c r="AO22" s="370">
        <v>0</v>
      </c>
      <c r="AP22" s="375">
        <v>3764474.6838950864</v>
      </c>
      <c r="AR22" s="365">
        <v>0</v>
      </c>
      <c r="AS22" s="375">
        <v>2103259.9227104089</v>
      </c>
      <c r="AU22" s="378">
        <v>750000</v>
      </c>
      <c r="AV22" s="379">
        <v>-1250</v>
      </c>
      <c r="AW22" s="380">
        <v>750000</v>
      </c>
      <c r="AX22" s="381">
        <v>2104509.9227104089</v>
      </c>
      <c r="AZ22" s="365">
        <v>0</v>
      </c>
      <c r="BA22" s="370">
        <v>0</v>
      </c>
      <c r="BB22" s="370">
        <v>0</v>
      </c>
      <c r="BC22" s="375">
        <v>2104509.9227104089</v>
      </c>
      <c r="BE22" s="365">
        <v>1622100.4221950595</v>
      </c>
      <c r="BF22" s="370">
        <v>-39114.338989618002</v>
      </c>
      <c r="BG22" s="370">
        <v>1622100.4221950595</v>
      </c>
      <c r="BH22" s="375">
        <v>2143624.2617000267</v>
      </c>
      <c r="BJ22" s="365">
        <v>1577667.1335000098</v>
      </c>
      <c r="BK22" s="370">
        <v>1577667.1335000098</v>
      </c>
      <c r="BL22" s="370">
        <v>0</v>
      </c>
      <c r="BM22" s="375">
        <v>565957.12820001692</v>
      </c>
      <c r="BO22" s="365">
        <v>453776.8151930701</v>
      </c>
      <c r="BP22" s="370">
        <v>453776.8151930701</v>
      </c>
      <c r="BQ22" s="370">
        <v>0</v>
      </c>
      <c r="BR22" s="375">
        <v>112180.31300694682</v>
      </c>
      <c r="BT22" s="365">
        <v>8661794.9274915773</v>
      </c>
      <c r="BU22" s="370">
        <v>112180.31300694682</v>
      </c>
      <c r="BV22" s="370">
        <v>8549614.6144846305</v>
      </c>
      <c r="BW22" s="375">
        <v>0</v>
      </c>
      <c r="BY22" s="365">
        <v>0</v>
      </c>
      <c r="BZ22" s="373">
        <v>0</v>
      </c>
      <c r="CA22" s="375">
        <v>0</v>
      </c>
      <c r="CC22" s="365">
        <v>1785099.3209410098</v>
      </c>
      <c r="CD22" s="375">
        <v>516694.69811791333</v>
      </c>
      <c r="CF22" s="365">
        <v>1577667.1335000098</v>
      </c>
      <c r="CG22" s="375">
        <v>453776.8151930701</v>
      </c>
      <c r="CI22" s="365">
        <v>0</v>
      </c>
      <c r="CJ22" s="375">
        <v>2413974.3320658701</v>
      </c>
    </row>
    <row r="23" spans="1:88" ht="15.6">
      <c r="A23" s="136"/>
      <c r="B23" s="339"/>
      <c r="G23" s="417">
        <v>19</v>
      </c>
      <c r="H23" s="251">
        <v>0</v>
      </c>
      <c r="I23" s="377">
        <v>0</v>
      </c>
      <c r="J23" s="368">
        <v>0</v>
      </c>
      <c r="K23" s="368">
        <v>5038591.6528489515</v>
      </c>
      <c r="L23" s="369">
        <v>2534690.7303126245</v>
      </c>
      <c r="N23" s="367">
        <v>2503900.922536327</v>
      </c>
      <c r="O23" s="370">
        <v>79812939.180299997</v>
      </c>
      <c r="P23" s="370">
        <v>13093035.794199999</v>
      </c>
      <c r="Q23" s="370">
        <v>79812939.180299997</v>
      </c>
      <c r="R23" s="370">
        <v>13093035.794199999</v>
      </c>
      <c r="S23" s="370">
        <v>8161959.789522063</v>
      </c>
      <c r="T23" s="379">
        <v>63626400</v>
      </c>
      <c r="U23" s="371">
        <v>1624803.9228987179</v>
      </c>
      <c r="V23" s="371">
        <v>751250</v>
      </c>
      <c r="W23" s="372">
        <v>4879954.8454350447</v>
      </c>
      <c r="X23" s="41"/>
      <c r="Y23" s="365">
        <v>0</v>
      </c>
      <c r="Z23" s="370">
        <v>0</v>
      </c>
      <c r="AA23" s="370">
        <v>0</v>
      </c>
      <c r="AB23" s="375">
        <v>4879954.8454350447</v>
      </c>
      <c r="AC23" s="41"/>
      <c r="AD23" s="449">
        <v>0</v>
      </c>
      <c r="AE23" s="365">
        <v>129023.22966860578</v>
      </c>
      <c r="AF23" s="375">
        <v>3999681.6157664391</v>
      </c>
      <c r="AH23" s="365">
        <v>203488.01960724997</v>
      </c>
      <c r="AI23" s="370">
        <v>203488.01960724997</v>
      </c>
      <c r="AJ23" s="370">
        <v>0</v>
      </c>
      <c r="AK23" s="375">
        <v>3796193.596159189</v>
      </c>
      <c r="AM23" s="365">
        <v>60838.072521875001</v>
      </c>
      <c r="AN23" s="370">
        <v>60838.072521875001</v>
      </c>
      <c r="AO23" s="370">
        <v>0</v>
      </c>
      <c r="AP23" s="375">
        <v>3735355.5236373139</v>
      </c>
      <c r="AR23" s="365">
        <v>0</v>
      </c>
      <c r="AS23" s="375">
        <v>2110551.6007385962</v>
      </c>
      <c r="AU23" s="378">
        <v>750000</v>
      </c>
      <c r="AV23" s="379">
        <v>-1250</v>
      </c>
      <c r="AW23" s="380">
        <v>750000</v>
      </c>
      <c r="AX23" s="381">
        <v>2111801.6007385962</v>
      </c>
      <c r="AZ23" s="365">
        <v>0</v>
      </c>
      <c r="BA23" s="370">
        <v>0</v>
      </c>
      <c r="BB23" s="370">
        <v>0</v>
      </c>
      <c r="BC23" s="375">
        <v>2111801.6007385962</v>
      </c>
      <c r="BE23" s="365">
        <v>1585956.5527747499</v>
      </c>
      <c r="BF23" s="370">
        <v>-38847.370123967994</v>
      </c>
      <c r="BG23" s="370">
        <v>1585956.5527747499</v>
      </c>
      <c r="BH23" s="375">
        <v>2150648.9708625642</v>
      </c>
      <c r="BJ23" s="365">
        <v>1582268.6625999957</v>
      </c>
      <c r="BK23" s="370">
        <v>1582268.6625999957</v>
      </c>
      <c r="BL23" s="370">
        <v>0</v>
      </c>
      <c r="BM23" s="375">
        <v>568380.30826256843</v>
      </c>
      <c r="BO23" s="365">
        <v>180725.48330000043</v>
      </c>
      <c r="BP23" s="370">
        <v>180725.48330000043</v>
      </c>
      <c r="BQ23" s="370">
        <v>0</v>
      </c>
      <c r="BR23" s="375">
        <v>387654.824962568</v>
      </c>
      <c r="BT23" s="365">
        <v>8549614.6144846305</v>
      </c>
      <c r="BU23" s="370">
        <v>387654.824962568</v>
      </c>
      <c r="BV23" s="370">
        <v>8161959.789522063</v>
      </c>
      <c r="BW23" s="375">
        <v>0</v>
      </c>
      <c r="BY23" s="365">
        <v>0</v>
      </c>
      <c r="BZ23" s="373">
        <v>0</v>
      </c>
      <c r="CA23" s="375">
        <v>0</v>
      </c>
      <c r="CC23" s="365">
        <v>1785756.6822072456</v>
      </c>
      <c r="CD23" s="375">
        <v>241563.55582187543</v>
      </c>
      <c r="CF23" s="365">
        <v>1582268.6625999957</v>
      </c>
      <c r="CG23" s="375">
        <v>180725.48330000043</v>
      </c>
      <c r="CI23" s="365">
        <v>0</v>
      </c>
      <c r="CJ23" s="375">
        <v>2414975.062991689</v>
      </c>
    </row>
    <row r="24" spans="1:88" ht="15.6">
      <c r="A24" s="160" t="s">
        <v>412</v>
      </c>
      <c r="B24" s="361">
        <v>132750000</v>
      </c>
      <c r="E24" s="157"/>
      <c r="F24" s="401"/>
      <c r="G24" s="417">
        <v>20</v>
      </c>
      <c r="H24" s="251">
        <v>0</v>
      </c>
      <c r="I24" s="377">
        <v>0</v>
      </c>
      <c r="J24" s="368">
        <v>0</v>
      </c>
      <c r="K24" s="368">
        <v>5038591.6528489515</v>
      </c>
      <c r="L24" s="369">
        <v>2536103.3476805007</v>
      </c>
      <c r="N24" s="367">
        <v>2502488.3051684508</v>
      </c>
      <c r="O24" s="370">
        <v>78226055.567499995</v>
      </c>
      <c r="P24" s="370">
        <v>12911331.3813</v>
      </c>
      <c r="Q24" s="370">
        <v>78226055.567499995</v>
      </c>
      <c r="R24" s="370">
        <v>12911331.3813</v>
      </c>
      <c r="S24" s="370">
        <v>7781339.2821984328</v>
      </c>
      <c r="T24" s="379">
        <v>63626400</v>
      </c>
      <c r="U24" s="371">
        <v>1588599.8136960412</v>
      </c>
      <c r="V24" s="371">
        <v>751250</v>
      </c>
      <c r="W24" s="372">
        <v>4842338.1188644916</v>
      </c>
      <c r="X24" s="41"/>
      <c r="Y24" s="365">
        <v>750000</v>
      </c>
      <c r="Z24" s="370">
        <v>750000</v>
      </c>
      <c r="AA24" s="370">
        <v>0</v>
      </c>
      <c r="AB24" s="375">
        <v>4092338.1188644916</v>
      </c>
      <c r="AC24" s="41"/>
      <c r="AD24" s="449">
        <v>750000</v>
      </c>
      <c r="AE24" s="365">
        <v>126334.91845502757</v>
      </c>
      <c r="AF24" s="375">
        <v>3214753.2004094641</v>
      </c>
      <c r="AH24" s="365">
        <v>199532.34795074997</v>
      </c>
      <c r="AI24" s="370">
        <v>199532.34795074997</v>
      </c>
      <c r="AJ24" s="370">
        <v>0</v>
      </c>
      <c r="AK24" s="375">
        <v>3015220.852458714</v>
      </c>
      <c r="AM24" s="365">
        <v>60009.747390083328</v>
      </c>
      <c r="AN24" s="370">
        <v>60009.747390083328</v>
      </c>
      <c r="AO24" s="370">
        <v>0</v>
      </c>
      <c r="AP24" s="375">
        <v>2955211.1050686305</v>
      </c>
      <c r="AR24" s="365">
        <v>0</v>
      </c>
      <c r="AS24" s="375">
        <v>1366611.2913725893</v>
      </c>
      <c r="AU24" s="378">
        <v>0</v>
      </c>
      <c r="AV24" s="379">
        <v>-751250</v>
      </c>
      <c r="AW24" s="380">
        <v>0</v>
      </c>
      <c r="AX24" s="381">
        <v>2117861.2913725893</v>
      </c>
      <c r="AZ24" s="365">
        <v>0</v>
      </c>
      <c r="BA24" s="370">
        <v>0</v>
      </c>
      <c r="BB24" s="370">
        <v>0</v>
      </c>
      <c r="BC24" s="375">
        <v>2117861.2913725893</v>
      </c>
      <c r="BE24" s="365">
        <v>1557252.5720449998</v>
      </c>
      <c r="BF24" s="370">
        <v>-31347.241651041433</v>
      </c>
      <c r="BG24" s="370">
        <v>1557252.5720449998</v>
      </c>
      <c r="BH24" s="375">
        <v>2149208.5330236307</v>
      </c>
      <c r="BJ24" s="365">
        <v>1586883.6128000021</v>
      </c>
      <c r="BK24" s="370">
        <v>1586883.6128000021</v>
      </c>
      <c r="BL24" s="370">
        <v>0</v>
      </c>
      <c r="BM24" s="375">
        <v>562324.92022362864</v>
      </c>
      <c r="BO24" s="365">
        <v>181704.41289999895</v>
      </c>
      <c r="BP24" s="370">
        <v>181704.41289999895</v>
      </c>
      <c r="BQ24" s="370">
        <v>0</v>
      </c>
      <c r="BR24" s="375">
        <v>380620.50732362969</v>
      </c>
      <c r="BT24" s="365">
        <v>8161959.789522063</v>
      </c>
      <c r="BU24" s="370">
        <v>380620.50732362969</v>
      </c>
      <c r="BV24" s="370">
        <v>7781339.2821984328</v>
      </c>
      <c r="BW24" s="375">
        <v>0</v>
      </c>
      <c r="BY24" s="365">
        <v>0</v>
      </c>
      <c r="BZ24" s="373">
        <v>0</v>
      </c>
      <c r="CA24" s="375">
        <v>0</v>
      </c>
      <c r="CC24" s="365">
        <v>1786415.9607507521</v>
      </c>
      <c r="CD24" s="375">
        <v>241714.16029008228</v>
      </c>
      <c r="CF24" s="365">
        <v>1586883.6128000021</v>
      </c>
      <c r="CG24" s="375">
        <v>181704.41289999895</v>
      </c>
      <c r="CI24" s="365">
        <v>0</v>
      </c>
      <c r="CJ24" s="375">
        <v>2408750.6283644643</v>
      </c>
    </row>
    <row r="25" spans="1:88" ht="15.6">
      <c r="A25" s="161" t="s">
        <v>198</v>
      </c>
      <c r="B25" s="362">
        <v>134877500</v>
      </c>
      <c r="C25" s="158" t="s">
        <v>425</v>
      </c>
      <c r="G25" s="417">
        <v>21</v>
      </c>
      <c r="H25" s="251">
        <v>0</v>
      </c>
      <c r="I25" s="377">
        <v>0</v>
      </c>
      <c r="J25" s="368">
        <v>0</v>
      </c>
      <c r="K25" s="368">
        <v>5038591.6528489515</v>
      </c>
      <c r="L25" s="369">
        <v>2537516.7523191092</v>
      </c>
      <c r="N25" s="367">
        <v>2501074.9005298424</v>
      </c>
      <c r="O25" s="370">
        <v>76634543.544100001</v>
      </c>
      <c r="P25" s="370">
        <v>12728642.736099999</v>
      </c>
      <c r="Q25" s="370">
        <v>76634543.544100001</v>
      </c>
      <c r="R25" s="370">
        <v>12728642.736099999</v>
      </c>
      <c r="S25" s="370">
        <v>7401459.98597355</v>
      </c>
      <c r="T25" s="379">
        <v>63626400</v>
      </c>
      <c r="U25" s="371">
        <v>1559847.9929984082</v>
      </c>
      <c r="V25" s="371">
        <v>0</v>
      </c>
      <c r="W25" s="372">
        <v>4060922.8935282505</v>
      </c>
      <c r="X25" s="41"/>
      <c r="Y25" s="365">
        <v>0</v>
      </c>
      <c r="Z25" s="370">
        <v>0</v>
      </c>
      <c r="AA25" s="370">
        <v>0</v>
      </c>
      <c r="AB25" s="375">
        <v>4060922.8935282505</v>
      </c>
      <c r="AC25" s="41"/>
      <c r="AD25" s="449">
        <v>0</v>
      </c>
      <c r="AE25" s="365">
        <v>123648.40778874804</v>
      </c>
      <c r="AF25" s="375">
        <v>3937274.4857395026</v>
      </c>
      <c r="AH25" s="365">
        <v>195565.13891874999</v>
      </c>
      <c r="AI25" s="370">
        <v>195565.13891874999</v>
      </c>
      <c r="AJ25" s="370">
        <v>0</v>
      </c>
      <c r="AK25" s="375">
        <v>3741709.3468207526</v>
      </c>
      <c r="AM25" s="365">
        <v>59176.935497625003</v>
      </c>
      <c r="AN25" s="370">
        <v>59176.935497625003</v>
      </c>
      <c r="AO25" s="370">
        <v>0</v>
      </c>
      <c r="AP25" s="375">
        <v>3682532.4113231278</v>
      </c>
      <c r="AR25" s="365">
        <v>0</v>
      </c>
      <c r="AS25" s="375">
        <v>2122684.4183247196</v>
      </c>
      <c r="AU25" s="378">
        <v>0</v>
      </c>
      <c r="AV25" s="379">
        <v>0</v>
      </c>
      <c r="AW25" s="380">
        <v>0</v>
      </c>
      <c r="AX25" s="381">
        <v>2122684.4183247196</v>
      </c>
      <c r="AZ25" s="365">
        <v>0</v>
      </c>
      <c r="BA25" s="370">
        <v>0</v>
      </c>
      <c r="BB25" s="370">
        <v>0</v>
      </c>
      <c r="BC25" s="375">
        <v>2122684.4183247196</v>
      </c>
      <c r="BE25" s="365">
        <v>1528452.4464982499</v>
      </c>
      <c r="BF25" s="370">
        <v>-31395.546500158263</v>
      </c>
      <c r="BG25" s="370">
        <v>1528452.4464982499</v>
      </c>
      <c r="BH25" s="375">
        <v>2154079.9648248777</v>
      </c>
      <c r="BJ25" s="365">
        <v>1591512.0233999938</v>
      </c>
      <c r="BK25" s="370">
        <v>1591512.0233999938</v>
      </c>
      <c r="BL25" s="370">
        <v>0</v>
      </c>
      <c r="BM25" s="375">
        <v>562567.9414248839</v>
      </c>
      <c r="BO25" s="365">
        <v>182688.64520000108</v>
      </c>
      <c r="BP25" s="370">
        <v>182688.64520000108</v>
      </c>
      <c r="BQ25" s="370">
        <v>0</v>
      </c>
      <c r="BR25" s="375">
        <v>379879.29622488283</v>
      </c>
      <c r="BT25" s="365">
        <v>7781339.2821984328</v>
      </c>
      <c r="BU25" s="370">
        <v>379879.29622488283</v>
      </c>
      <c r="BV25" s="370">
        <v>7401459.98597355</v>
      </c>
      <c r="BW25" s="375">
        <v>0</v>
      </c>
      <c r="BY25" s="365">
        <v>0</v>
      </c>
      <c r="BZ25" s="373">
        <v>0</v>
      </c>
      <c r="CA25" s="375">
        <v>0</v>
      </c>
      <c r="CC25" s="365">
        <v>1787077.1623187438</v>
      </c>
      <c r="CD25" s="375">
        <v>241865.58069762608</v>
      </c>
      <c r="CF25" s="365">
        <v>1591512.0233999938</v>
      </c>
      <c r="CG25" s="375">
        <v>182688.64520000108</v>
      </c>
      <c r="CI25" s="365">
        <v>0</v>
      </c>
      <c r="CJ25" s="375">
        <v>2408822.0392412525</v>
      </c>
    </row>
    <row r="26" spans="1:88" ht="15.6">
      <c r="A26" s="160" t="s">
        <v>397</v>
      </c>
      <c r="B26" s="350">
        <v>2.9681615301968285E-2</v>
      </c>
      <c r="G26" s="417">
        <v>22</v>
      </c>
      <c r="H26" s="251">
        <v>0</v>
      </c>
      <c r="I26" s="377">
        <v>0</v>
      </c>
      <c r="J26" s="368">
        <v>0</v>
      </c>
      <c r="K26" s="368">
        <v>5038591.6528489515</v>
      </c>
      <c r="L26" s="369">
        <v>2538930.9446672071</v>
      </c>
      <c r="N26" s="367">
        <v>2499660.7081817444</v>
      </c>
      <c r="O26" s="370">
        <v>75038389.610599995</v>
      </c>
      <c r="P26" s="370">
        <v>12544964.5274</v>
      </c>
      <c r="Q26" s="370">
        <v>75038389.610599995</v>
      </c>
      <c r="R26" s="370">
        <v>12544964.5274</v>
      </c>
      <c r="S26" s="370">
        <v>7021069.1603870736</v>
      </c>
      <c r="T26" s="379">
        <v>63626400</v>
      </c>
      <c r="U26" s="371">
        <v>1530999.8672424136</v>
      </c>
      <c r="V26" s="371">
        <v>0</v>
      </c>
      <c r="W26" s="372">
        <v>4030660.575424158</v>
      </c>
      <c r="X26" s="41"/>
      <c r="Y26" s="365">
        <v>0</v>
      </c>
      <c r="Z26" s="370">
        <v>0</v>
      </c>
      <c r="AA26" s="370">
        <v>0</v>
      </c>
      <c r="AB26" s="375">
        <v>4030660.575424158</v>
      </c>
      <c r="AC26" s="41"/>
      <c r="AD26" s="449">
        <v>0</v>
      </c>
      <c r="AE26" s="365">
        <v>120955.80783271694</v>
      </c>
      <c r="AF26" s="375">
        <v>3909704.7675914411</v>
      </c>
      <c r="AH26" s="365">
        <v>191586.35886025001</v>
      </c>
      <c r="AI26" s="370">
        <v>191586.35886025001</v>
      </c>
      <c r="AJ26" s="370">
        <v>0</v>
      </c>
      <c r="AK26" s="375">
        <v>3718118.408731191</v>
      </c>
      <c r="AM26" s="365">
        <v>58339.612540458329</v>
      </c>
      <c r="AN26" s="370">
        <v>58339.612540458329</v>
      </c>
      <c r="AO26" s="370">
        <v>0</v>
      </c>
      <c r="AP26" s="375">
        <v>3659778.7961907326</v>
      </c>
      <c r="AR26" s="365">
        <v>0</v>
      </c>
      <c r="AS26" s="375">
        <v>2128778.9289483191</v>
      </c>
      <c r="AU26" s="378">
        <v>0</v>
      </c>
      <c r="AV26" s="379">
        <v>0</v>
      </c>
      <c r="AW26" s="380">
        <v>0</v>
      </c>
      <c r="AX26" s="381">
        <v>2128778.9289483191</v>
      </c>
      <c r="AZ26" s="365">
        <v>0</v>
      </c>
      <c r="BA26" s="370">
        <v>0</v>
      </c>
      <c r="BB26" s="370">
        <v>0</v>
      </c>
      <c r="BC26" s="375">
        <v>2128778.9289483191</v>
      </c>
      <c r="BE26" s="365">
        <v>1499555.8284042499</v>
      </c>
      <c r="BF26" s="370">
        <v>-31444.038838163717</v>
      </c>
      <c r="BG26" s="370">
        <v>1499555.8284042499</v>
      </c>
      <c r="BH26" s="375">
        <v>2160222.9677864825</v>
      </c>
      <c r="BJ26" s="365">
        <v>1596153.9335000068</v>
      </c>
      <c r="BK26" s="370">
        <v>1596153.9335000068</v>
      </c>
      <c r="BL26" s="370">
        <v>0</v>
      </c>
      <c r="BM26" s="375">
        <v>564069.03428647574</v>
      </c>
      <c r="BO26" s="365">
        <v>183678.20869999938</v>
      </c>
      <c r="BP26" s="370">
        <v>183678.20869999938</v>
      </c>
      <c r="BQ26" s="370">
        <v>0</v>
      </c>
      <c r="BR26" s="375">
        <v>380390.82558647636</v>
      </c>
      <c r="BT26" s="365">
        <v>7401459.98597355</v>
      </c>
      <c r="BU26" s="370">
        <v>380390.82558647636</v>
      </c>
      <c r="BV26" s="370">
        <v>7021069.1603870736</v>
      </c>
      <c r="BW26" s="375">
        <v>0</v>
      </c>
      <c r="BY26" s="365">
        <v>0</v>
      </c>
      <c r="BZ26" s="373">
        <v>0</v>
      </c>
      <c r="CA26" s="375">
        <v>0</v>
      </c>
      <c r="CC26" s="365">
        <v>1787740.2923602569</v>
      </c>
      <c r="CD26" s="375">
        <v>242017.82124045771</v>
      </c>
      <c r="CF26" s="365">
        <v>1596153.9335000068</v>
      </c>
      <c r="CG26" s="375">
        <v>183678.20869999938</v>
      </c>
      <c r="CI26" s="365">
        <v>0</v>
      </c>
      <c r="CJ26" s="375">
        <v>2410148.939187191</v>
      </c>
    </row>
    <row r="27" spans="1:88" ht="15.6">
      <c r="A27" s="283" t="s">
        <v>398</v>
      </c>
      <c r="B27" s="351">
        <v>3.0172211012295839E-2</v>
      </c>
      <c r="E27" s="97"/>
      <c r="F27" s="402"/>
      <c r="G27" s="417">
        <v>23</v>
      </c>
      <c r="H27" s="251">
        <v>0</v>
      </c>
      <c r="I27" s="377">
        <v>2</v>
      </c>
      <c r="J27" s="368">
        <v>0</v>
      </c>
      <c r="K27" s="368">
        <v>4378591.6528489506</v>
      </c>
      <c r="L27" s="369">
        <v>2540345.9251637948</v>
      </c>
      <c r="N27" s="367">
        <v>1838245.7276851558</v>
      </c>
      <c r="O27" s="370">
        <v>73437580.228200004</v>
      </c>
      <c r="P27" s="370">
        <v>12360291.395099999</v>
      </c>
      <c r="Q27" s="370">
        <v>74182000.420692489</v>
      </c>
      <c r="R27" s="370">
        <v>12544964.5274</v>
      </c>
      <c r="S27" s="370">
        <v>7021069.1603870736</v>
      </c>
      <c r="T27" s="379">
        <v>63626400</v>
      </c>
      <c r="U27" s="371">
        <v>1502055.088118257</v>
      </c>
      <c r="V27" s="371">
        <v>0</v>
      </c>
      <c r="W27" s="372">
        <v>3340300.8158034128</v>
      </c>
      <c r="X27" s="41"/>
      <c r="Y27" s="365">
        <v>0</v>
      </c>
      <c r="Z27" s="370">
        <v>0</v>
      </c>
      <c r="AA27" s="370">
        <v>0</v>
      </c>
      <c r="AB27" s="375">
        <v>3340300.8158034128</v>
      </c>
      <c r="AC27" s="41"/>
      <c r="AD27" s="449">
        <v>0</v>
      </c>
      <c r="AE27" s="365">
        <v>118255.52912298383</v>
      </c>
      <c r="AF27" s="375">
        <v>3222045.2866804288</v>
      </c>
      <c r="AH27" s="365">
        <v>187595.97402649999</v>
      </c>
      <c r="AI27" s="370">
        <v>187595.97402649999</v>
      </c>
      <c r="AJ27" s="370">
        <v>0</v>
      </c>
      <c r="AK27" s="375">
        <v>3034449.312653929</v>
      </c>
      <c r="AM27" s="365">
        <v>57497.754083916669</v>
      </c>
      <c r="AN27" s="370">
        <v>57497.754083916669</v>
      </c>
      <c r="AO27" s="370">
        <v>0</v>
      </c>
      <c r="AP27" s="375">
        <v>2976951.5585700125</v>
      </c>
      <c r="AR27" s="365">
        <v>0</v>
      </c>
      <c r="AS27" s="375">
        <v>1474896.4704517554</v>
      </c>
      <c r="AU27" s="378">
        <v>650000</v>
      </c>
      <c r="AV27" s="379">
        <v>650000</v>
      </c>
      <c r="AW27" s="380">
        <v>650000</v>
      </c>
      <c r="AX27" s="381">
        <v>824896.47045175545</v>
      </c>
      <c r="AZ27" s="365">
        <v>0</v>
      </c>
      <c r="BA27" s="370">
        <v>0</v>
      </c>
      <c r="BB27" s="370">
        <v>0</v>
      </c>
      <c r="BC27" s="375">
        <v>824896.47045175545</v>
      </c>
      <c r="BE27" s="365">
        <v>1470562.3686624998</v>
      </c>
      <c r="BF27" s="370">
        <v>-31492.719455757178</v>
      </c>
      <c r="BG27" s="370">
        <v>1470562.3686624998</v>
      </c>
      <c r="BH27" s="375">
        <v>856389.18990751263</v>
      </c>
      <c r="BJ27" s="365">
        <v>1600809.3823999912</v>
      </c>
      <c r="BK27" s="370">
        <v>856389.18990751263</v>
      </c>
      <c r="BL27" s="370">
        <v>744420.19249247853</v>
      </c>
      <c r="BM27" s="375">
        <v>0</v>
      </c>
      <c r="BO27" s="365">
        <v>184673.13230000064</v>
      </c>
      <c r="BP27" s="370">
        <v>0</v>
      </c>
      <c r="BQ27" s="370">
        <v>184673.13230000064</v>
      </c>
      <c r="BR27" s="375">
        <v>0</v>
      </c>
      <c r="BT27" s="365">
        <v>7021069.1603870736</v>
      </c>
      <c r="BU27" s="370">
        <v>0</v>
      </c>
      <c r="BV27" s="370">
        <v>7021069.1603870736</v>
      </c>
      <c r="BW27" s="375">
        <v>0</v>
      </c>
      <c r="BY27" s="365">
        <v>0</v>
      </c>
      <c r="BZ27" s="373">
        <v>0</v>
      </c>
      <c r="CA27" s="375">
        <v>0</v>
      </c>
      <c r="CC27" s="365">
        <v>1043985.1639340126</v>
      </c>
      <c r="CD27" s="375">
        <v>57497.754083916669</v>
      </c>
      <c r="CF27" s="365">
        <v>856389.18990750611</v>
      </c>
      <c r="CG27" s="375">
        <v>0</v>
      </c>
      <c r="CI27" s="365">
        <v>0</v>
      </c>
      <c r="CJ27" s="375">
        <v>1101482.9180179292</v>
      </c>
    </row>
    <row r="28" spans="1:88" ht="15.6">
      <c r="A28" s="360"/>
      <c r="B28" s="363"/>
      <c r="E28" s="97"/>
      <c r="F28" s="402"/>
      <c r="G28" s="417">
        <v>24</v>
      </c>
      <c r="H28" s="251">
        <v>0</v>
      </c>
      <c r="I28" s="377">
        <v>0</v>
      </c>
      <c r="J28" s="368">
        <v>0</v>
      </c>
      <c r="K28" s="368">
        <v>5046095.7537180502</v>
      </c>
      <c r="L28" s="369">
        <v>2541761.6942481194</v>
      </c>
      <c r="N28" s="367">
        <v>2504334.0594699308</v>
      </c>
      <c r="O28" s="370">
        <v>71832101.818299994</v>
      </c>
      <c r="P28" s="370">
        <v>12174617.949999999</v>
      </c>
      <c r="Q28" s="370">
        <v>72021424.050530761</v>
      </c>
      <c r="R28" s="370">
        <v>12544964.5274</v>
      </c>
      <c r="S28" s="370">
        <v>7021069.1603870736</v>
      </c>
      <c r="T28" s="379">
        <v>63626400</v>
      </c>
      <c r="U28" s="371">
        <v>1473013.3059436041</v>
      </c>
      <c r="V28" s="371">
        <v>651083.33333333337</v>
      </c>
      <c r="W28" s="372">
        <v>4628430.6987468684</v>
      </c>
      <c r="X28" s="41"/>
      <c r="Y28" s="365">
        <v>0</v>
      </c>
      <c r="Z28" s="370">
        <v>0</v>
      </c>
      <c r="AA28" s="370">
        <v>0</v>
      </c>
      <c r="AB28" s="375">
        <v>4628430.6987468684</v>
      </c>
      <c r="AC28" s="41"/>
      <c r="AD28" s="449">
        <v>0</v>
      </c>
      <c r="AE28" s="365">
        <v>117185.04263559944</v>
      </c>
      <c r="AF28" s="375">
        <v>3860162.3227779353</v>
      </c>
      <c r="AH28" s="365">
        <v>185455.0010517312</v>
      </c>
      <c r="AI28" s="370">
        <v>185455.0010517312</v>
      </c>
      <c r="AJ28" s="370">
        <v>0</v>
      </c>
      <c r="AK28" s="375">
        <v>3674707.3217262039</v>
      </c>
      <c r="AM28" s="365">
        <v>57497.754083916669</v>
      </c>
      <c r="AN28" s="370">
        <v>57497.754083916669</v>
      </c>
      <c r="AO28" s="370">
        <v>0</v>
      </c>
      <c r="AP28" s="375">
        <v>3617209.5676422874</v>
      </c>
      <c r="AR28" s="365">
        <v>0</v>
      </c>
      <c r="AS28" s="375">
        <v>2144196.2616986833</v>
      </c>
      <c r="AU28" s="378">
        <v>650000</v>
      </c>
      <c r="AV28" s="379">
        <v>-1083.3333333333721</v>
      </c>
      <c r="AW28" s="380">
        <v>650000</v>
      </c>
      <c r="AX28" s="381">
        <v>2145279.5950320167</v>
      </c>
      <c r="AZ28" s="365">
        <v>0</v>
      </c>
      <c r="BA28" s="370">
        <v>0</v>
      </c>
      <c r="BB28" s="370">
        <v>0</v>
      </c>
      <c r="BC28" s="375">
        <v>2145279.5950320167</v>
      </c>
      <c r="BE28" s="365">
        <v>1457716.5308138872</v>
      </c>
      <c r="BF28" s="370">
        <v>-15296.775129716843</v>
      </c>
      <c r="BG28" s="370">
        <v>1457716.5308138872</v>
      </c>
      <c r="BH28" s="375">
        <v>2160576.3701617336</v>
      </c>
      <c r="BJ28" s="365">
        <v>2349898.6023924947</v>
      </c>
      <c r="BK28" s="370">
        <v>2160576.3701617336</v>
      </c>
      <c r="BL28" s="370">
        <v>189322.23223076109</v>
      </c>
      <c r="BM28" s="375">
        <v>0</v>
      </c>
      <c r="BO28" s="365">
        <v>370346.57740000077</v>
      </c>
      <c r="BP28" s="370">
        <v>0</v>
      </c>
      <c r="BQ28" s="370">
        <v>370346.57740000077</v>
      </c>
      <c r="BR28" s="375">
        <v>0</v>
      </c>
      <c r="BT28" s="365">
        <v>7021069.1603870736</v>
      </c>
      <c r="BU28" s="370">
        <v>0</v>
      </c>
      <c r="BV28" s="370">
        <v>7021069.1603870736</v>
      </c>
      <c r="BW28" s="375">
        <v>0</v>
      </c>
      <c r="BY28" s="365">
        <v>0</v>
      </c>
      <c r="BZ28" s="373">
        <v>0</v>
      </c>
      <c r="CA28" s="375">
        <v>0</v>
      </c>
      <c r="CC28" s="365">
        <v>2346031.371213465</v>
      </c>
      <c r="CD28" s="375">
        <v>57497.754083916669</v>
      </c>
      <c r="CF28" s="365">
        <v>2160576.3701617271</v>
      </c>
      <c r="CG28" s="375">
        <v>0</v>
      </c>
      <c r="CI28" s="365">
        <v>0</v>
      </c>
      <c r="CJ28" s="375">
        <v>2403529.1252973815</v>
      </c>
    </row>
    <row r="29" spans="1:88" ht="15.6">
      <c r="A29" s="135" t="s">
        <v>184</v>
      </c>
      <c r="B29" s="352" t="s">
        <v>186</v>
      </c>
      <c r="G29" s="417">
        <v>25</v>
      </c>
      <c r="H29" s="251">
        <v>0</v>
      </c>
      <c r="I29" s="377">
        <v>2</v>
      </c>
      <c r="J29" s="368">
        <v>0</v>
      </c>
      <c r="K29" s="368">
        <v>4369430.5269944575</v>
      </c>
      <c r="L29" s="369">
        <v>2543178.2523596701</v>
      </c>
      <c r="N29" s="367">
        <v>1826252.2746347873</v>
      </c>
      <c r="O29" s="370">
        <v>70221940.7632</v>
      </c>
      <c r="P29" s="370">
        <v>11987938.773700001</v>
      </c>
      <c r="Q29" s="370">
        <v>70511285.905842006</v>
      </c>
      <c r="R29" s="370">
        <v>12544964.5274</v>
      </c>
      <c r="S29" s="370">
        <v>7021069.1603870736</v>
      </c>
      <c r="T29" s="379">
        <v>63626400</v>
      </c>
      <c r="U29" s="371">
        <v>1460146.0583652437</v>
      </c>
      <c r="V29" s="371">
        <v>651083.33333333337</v>
      </c>
      <c r="W29" s="372">
        <v>3937481.6663333643</v>
      </c>
      <c r="X29" s="41"/>
      <c r="Y29" s="365">
        <v>0</v>
      </c>
      <c r="Z29" s="370">
        <v>0</v>
      </c>
      <c r="AA29" s="370">
        <v>0</v>
      </c>
      <c r="AB29" s="375">
        <v>3937481.6663333643</v>
      </c>
      <c r="AC29" s="41"/>
      <c r="AD29" s="449">
        <v>0</v>
      </c>
      <c r="AE29" s="365">
        <v>114484.32217289729</v>
      </c>
      <c r="AF29" s="375">
        <v>3171914.0108271334</v>
      </c>
      <c r="AH29" s="365">
        <v>180053.56012632689</v>
      </c>
      <c r="AI29" s="370">
        <v>180053.56012632689</v>
      </c>
      <c r="AJ29" s="370">
        <v>0</v>
      </c>
      <c r="AK29" s="375">
        <v>2991860.4507008065</v>
      </c>
      <c r="AM29" s="365">
        <v>57497.754083916669</v>
      </c>
      <c r="AN29" s="370">
        <v>57497.754083916669</v>
      </c>
      <c r="AO29" s="370">
        <v>0</v>
      </c>
      <c r="AP29" s="375">
        <v>2934362.6966168899</v>
      </c>
      <c r="AR29" s="365">
        <v>0</v>
      </c>
      <c r="AS29" s="375">
        <v>1474216.6382516462</v>
      </c>
      <c r="AU29" s="378">
        <v>650000</v>
      </c>
      <c r="AV29" s="379">
        <v>-1083.3333333333721</v>
      </c>
      <c r="AW29" s="380">
        <v>650000</v>
      </c>
      <c r="AX29" s="381">
        <v>1475299.9715849794</v>
      </c>
      <c r="AZ29" s="365">
        <v>0</v>
      </c>
      <c r="BA29" s="370">
        <v>0</v>
      </c>
      <c r="BB29" s="370">
        <v>0</v>
      </c>
      <c r="BC29" s="375">
        <v>1475299.9715849794</v>
      </c>
      <c r="BE29" s="365">
        <v>1425307.8852614614</v>
      </c>
      <c r="BF29" s="370">
        <v>-34838.173103782348</v>
      </c>
      <c r="BG29" s="370">
        <v>1425307.8852614614</v>
      </c>
      <c r="BH29" s="375">
        <v>1510138.1446887618</v>
      </c>
      <c r="BJ29" s="365">
        <v>1799483.2873307616</v>
      </c>
      <c r="BK29" s="370">
        <v>1510138.1446887618</v>
      </c>
      <c r="BL29" s="370">
        <v>289345.14264199976</v>
      </c>
      <c r="BM29" s="375">
        <v>0</v>
      </c>
      <c r="BO29" s="365">
        <v>557025.7536999993</v>
      </c>
      <c r="BP29" s="370">
        <v>0</v>
      </c>
      <c r="BQ29" s="370">
        <v>557025.7536999993</v>
      </c>
      <c r="BR29" s="375">
        <v>0</v>
      </c>
      <c r="BT29" s="365">
        <v>7021069.1603870736</v>
      </c>
      <c r="BU29" s="370">
        <v>0</v>
      </c>
      <c r="BV29" s="370">
        <v>7021069.1603870736</v>
      </c>
      <c r="BW29" s="375">
        <v>0</v>
      </c>
      <c r="BY29" s="365">
        <v>0</v>
      </c>
      <c r="BZ29" s="373">
        <v>0</v>
      </c>
      <c r="CA29" s="375">
        <v>0</v>
      </c>
      <c r="CC29" s="365">
        <v>1690191.7048150888</v>
      </c>
      <c r="CD29" s="375">
        <v>57497.754083916669</v>
      </c>
      <c r="CF29" s="365">
        <v>1510138.1446887553</v>
      </c>
      <c r="CG29" s="375">
        <v>0</v>
      </c>
      <c r="CI29" s="365">
        <v>0</v>
      </c>
      <c r="CJ29" s="375">
        <v>1747689.4588990053</v>
      </c>
    </row>
    <row r="30" spans="1:88" ht="15.6">
      <c r="A30" s="136" t="s">
        <v>185</v>
      </c>
      <c r="B30" s="339" t="s">
        <v>187</v>
      </c>
      <c r="G30" s="417">
        <v>26</v>
      </c>
      <c r="H30" s="251">
        <v>0</v>
      </c>
      <c r="I30" s="377">
        <v>0</v>
      </c>
      <c r="J30" s="368">
        <v>0</v>
      </c>
      <c r="K30" s="368">
        <v>5052750.1730961958</v>
      </c>
      <c r="L30" s="369">
        <v>2544595.5999381831</v>
      </c>
      <c r="N30" s="367">
        <v>2508154.5731580127</v>
      </c>
      <c r="O30" s="370">
        <v>68607083.404899999</v>
      </c>
      <c r="P30" s="370">
        <v>11800248.418500001</v>
      </c>
      <c r="Q30" s="370">
        <v>68607083.404899999</v>
      </c>
      <c r="R30" s="370">
        <v>12261274.154878784</v>
      </c>
      <c r="S30" s="370">
        <v>7021069.1603870736</v>
      </c>
      <c r="T30" s="379">
        <v>63626400</v>
      </c>
      <c r="U30" s="371">
        <v>1427683.3984035638</v>
      </c>
      <c r="V30" s="371">
        <v>651083.33333333337</v>
      </c>
      <c r="W30" s="372">
        <v>4586921.3048949102</v>
      </c>
      <c r="X30" s="41"/>
      <c r="Y30" s="365">
        <v>0</v>
      </c>
      <c r="Z30" s="370">
        <v>0</v>
      </c>
      <c r="AA30" s="370">
        <v>0</v>
      </c>
      <c r="AB30" s="375">
        <v>4586921.3048949102</v>
      </c>
      <c r="AC30" s="41"/>
      <c r="AD30" s="449">
        <v>0</v>
      </c>
      <c r="AE30" s="365">
        <v>112596.64949203635</v>
      </c>
      <c r="AF30" s="375">
        <v>3823241.3220695402</v>
      </c>
      <c r="AH30" s="365">
        <v>176278.21476460501</v>
      </c>
      <c r="AI30" s="370">
        <v>176278.21476460501</v>
      </c>
      <c r="AJ30" s="370">
        <v>0</v>
      </c>
      <c r="AK30" s="375">
        <v>3646963.1073049353</v>
      </c>
      <c r="AM30" s="365">
        <v>57497.754083916669</v>
      </c>
      <c r="AN30" s="370">
        <v>57497.754083916669</v>
      </c>
      <c r="AO30" s="370">
        <v>0</v>
      </c>
      <c r="AP30" s="375">
        <v>3589465.3532210188</v>
      </c>
      <c r="AR30" s="365">
        <v>0</v>
      </c>
      <c r="AS30" s="375">
        <v>2161781.9548174553</v>
      </c>
      <c r="AU30" s="378">
        <v>650000</v>
      </c>
      <c r="AV30" s="379">
        <v>-1083.3333333333721</v>
      </c>
      <c r="AW30" s="380">
        <v>650000</v>
      </c>
      <c r="AX30" s="381">
        <v>2162865.2881507888</v>
      </c>
      <c r="AZ30" s="365">
        <v>0</v>
      </c>
      <c r="BA30" s="370">
        <v>0</v>
      </c>
      <c r="BB30" s="370">
        <v>0</v>
      </c>
      <c r="BC30" s="375">
        <v>2162865.2881507888</v>
      </c>
      <c r="BE30" s="365">
        <v>1402655.81309113</v>
      </c>
      <c r="BF30" s="370">
        <v>-25027.585312433774</v>
      </c>
      <c r="BG30" s="370">
        <v>1402655.81309113</v>
      </c>
      <c r="BH30" s="375">
        <v>2187892.8734632228</v>
      </c>
      <c r="BJ30" s="365">
        <v>1904202.5009420067</v>
      </c>
      <c r="BK30" s="370">
        <v>1904202.5009420067</v>
      </c>
      <c r="BL30" s="370">
        <v>0</v>
      </c>
      <c r="BM30" s="375">
        <v>283690.37252121605</v>
      </c>
      <c r="BO30" s="365">
        <v>744716.10889999941</v>
      </c>
      <c r="BP30" s="370">
        <v>283690.37252121605</v>
      </c>
      <c r="BQ30" s="370">
        <v>461025.73637878336</v>
      </c>
      <c r="BR30" s="375">
        <v>0</v>
      </c>
      <c r="BT30" s="365">
        <v>7021069.1603870736</v>
      </c>
      <c r="BU30" s="370">
        <v>0</v>
      </c>
      <c r="BV30" s="370">
        <v>7021069.1603870736</v>
      </c>
      <c r="BW30" s="375">
        <v>0</v>
      </c>
      <c r="BY30" s="365">
        <v>0</v>
      </c>
      <c r="BZ30" s="373">
        <v>0</v>
      </c>
      <c r="CA30" s="375">
        <v>0</v>
      </c>
      <c r="CC30" s="365">
        <v>2080480.7157066118</v>
      </c>
      <c r="CD30" s="375">
        <v>341188.12660513271</v>
      </c>
      <c r="CF30" s="365">
        <v>1904202.5009420067</v>
      </c>
      <c r="CG30" s="375">
        <v>283690.37252121605</v>
      </c>
      <c r="CI30" s="365">
        <v>0</v>
      </c>
      <c r="CJ30" s="375">
        <v>2421668.8423117446</v>
      </c>
    </row>
    <row r="31" spans="1:88" ht="15.6">
      <c r="A31" s="164"/>
      <c r="B31" s="353"/>
      <c r="G31" s="417">
        <v>27</v>
      </c>
      <c r="H31" s="251">
        <v>0</v>
      </c>
      <c r="I31" s="377">
        <v>0</v>
      </c>
      <c r="J31" s="368">
        <v>0</v>
      </c>
      <c r="K31" s="368">
        <v>5052750.1730961958</v>
      </c>
      <c r="L31" s="369">
        <v>2546013.7374236388</v>
      </c>
      <c r="N31" s="367">
        <v>2506736.435672557</v>
      </c>
      <c r="O31" s="370">
        <v>66987516.046099998</v>
      </c>
      <c r="P31" s="370">
        <v>11611541.407299999</v>
      </c>
      <c r="Q31" s="370">
        <v>66987516.046099998</v>
      </c>
      <c r="R31" s="370">
        <v>11671896.460681599</v>
      </c>
      <c r="S31" s="370">
        <v>7021069.1603870736</v>
      </c>
      <c r="T31" s="379">
        <v>63626400</v>
      </c>
      <c r="U31" s="371">
        <v>1404993.5727796152</v>
      </c>
      <c r="V31" s="371">
        <v>651083.33333333337</v>
      </c>
      <c r="W31" s="372">
        <v>4562813.3417855054</v>
      </c>
      <c r="X31" s="41"/>
      <c r="Y31" s="365">
        <v>650000</v>
      </c>
      <c r="Z31" s="370">
        <v>650000</v>
      </c>
      <c r="AA31" s="370">
        <v>0</v>
      </c>
      <c r="AB31" s="375">
        <v>3912813.3417855054</v>
      </c>
      <c r="AC31" s="41"/>
      <c r="AD31" s="449">
        <v>650000</v>
      </c>
      <c r="AE31" s="365">
        <v>109861.78340020732</v>
      </c>
      <c r="AF31" s="375">
        <v>3151868.2250519646</v>
      </c>
      <c r="AH31" s="365">
        <v>171517.70851224998</v>
      </c>
      <c r="AI31" s="370">
        <v>171517.70851224998</v>
      </c>
      <c r="AJ31" s="370">
        <v>0</v>
      </c>
      <c r="AK31" s="375">
        <v>2980350.5165397148</v>
      </c>
      <c r="AM31" s="365">
        <v>56197.506543194424</v>
      </c>
      <c r="AN31" s="370">
        <v>56197.506543194424</v>
      </c>
      <c r="AO31" s="370">
        <v>0</v>
      </c>
      <c r="AP31" s="375">
        <v>2924153.0099965204</v>
      </c>
      <c r="AR31" s="365">
        <v>0</v>
      </c>
      <c r="AS31" s="375">
        <v>1519159.4372169052</v>
      </c>
      <c r="AU31" s="378">
        <v>0</v>
      </c>
      <c r="AV31" s="379">
        <v>-651083.33333333337</v>
      </c>
      <c r="AW31" s="380">
        <v>0</v>
      </c>
      <c r="AX31" s="381">
        <v>2170242.7705502384</v>
      </c>
      <c r="AZ31" s="365">
        <v>0</v>
      </c>
      <c r="BA31" s="370">
        <v>0</v>
      </c>
      <c r="BB31" s="370">
        <v>0</v>
      </c>
      <c r="BC31" s="375">
        <v>2170242.7705502384</v>
      </c>
      <c r="BE31" s="365">
        <v>1366291.2903326666</v>
      </c>
      <c r="BF31" s="370">
        <v>-38702.282446948579</v>
      </c>
      <c r="BG31" s="370">
        <v>1366291.2903326666</v>
      </c>
      <c r="BH31" s="375">
        <v>2208945.0529971868</v>
      </c>
      <c r="BJ31" s="365">
        <v>1619567.3588000014</v>
      </c>
      <c r="BK31" s="370">
        <v>1619567.3588000014</v>
      </c>
      <c r="BL31" s="370">
        <v>0</v>
      </c>
      <c r="BM31" s="375">
        <v>589377.69419718534</v>
      </c>
      <c r="BO31" s="365">
        <v>649732.74757878482</v>
      </c>
      <c r="BP31" s="370">
        <v>589377.69419718534</v>
      </c>
      <c r="BQ31" s="370">
        <v>60355.053381599486</v>
      </c>
      <c r="BR31" s="375">
        <v>0</v>
      </c>
      <c r="BT31" s="365">
        <v>7021069.1603870736</v>
      </c>
      <c r="BU31" s="370">
        <v>0</v>
      </c>
      <c r="BV31" s="370">
        <v>7021069.1603870736</v>
      </c>
      <c r="BW31" s="375">
        <v>0</v>
      </c>
      <c r="BY31" s="365">
        <v>0</v>
      </c>
      <c r="BZ31" s="373">
        <v>0</v>
      </c>
      <c r="CA31" s="375">
        <v>0</v>
      </c>
      <c r="CC31" s="365">
        <v>1791085.0673122513</v>
      </c>
      <c r="CD31" s="375">
        <v>645575.20074037975</v>
      </c>
      <c r="CF31" s="365">
        <v>1619567.3588000014</v>
      </c>
      <c r="CG31" s="375">
        <v>589377.69419718534</v>
      </c>
      <c r="CI31" s="365">
        <v>0</v>
      </c>
      <c r="CJ31" s="375">
        <v>2436660.2680526311</v>
      </c>
    </row>
    <row r="32" spans="1:88">
      <c r="G32" s="417">
        <v>28</v>
      </c>
      <c r="H32" s="251">
        <v>0</v>
      </c>
      <c r="I32" s="377">
        <v>0</v>
      </c>
      <c r="J32" s="368">
        <v>0</v>
      </c>
      <c r="K32" s="368">
        <v>5052750.1730961958</v>
      </c>
      <c r="L32" s="369">
        <v>2547432.6652562632</v>
      </c>
      <c r="N32" s="367">
        <v>2505317.5078399326</v>
      </c>
      <c r="O32" s="370">
        <v>65363224.949000001</v>
      </c>
      <c r="P32" s="370">
        <v>11421812.233100001</v>
      </c>
      <c r="Q32" s="370">
        <v>65517485.573447756</v>
      </c>
      <c r="R32" s="370">
        <v>11671896.460681599</v>
      </c>
      <c r="S32" s="370">
        <v>7021069.1603870736</v>
      </c>
      <c r="T32" s="379">
        <v>63626400</v>
      </c>
      <c r="U32" s="371">
        <v>1368568.4424832209</v>
      </c>
      <c r="V32" s="371">
        <v>0</v>
      </c>
      <c r="W32" s="372">
        <v>3873885.9503231533</v>
      </c>
      <c r="X32" s="41"/>
      <c r="Y32" s="365">
        <v>0</v>
      </c>
      <c r="Z32" s="370">
        <v>0</v>
      </c>
      <c r="AA32" s="370">
        <v>0</v>
      </c>
      <c r="AB32" s="375">
        <v>3873885.9503231533</v>
      </c>
      <c r="AC32" s="41"/>
      <c r="AD32" s="449">
        <v>0</v>
      </c>
      <c r="AE32" s="365">
        <v>107100.60208396084</v>
      </c>
      <c r="AF32" s="375">
        <v>3766785.3482391923</v>
      </c>
      <c r="AH32" s="365">
        <v>167468.79011524998</v>
      </c>
      <c r="AI32" s="370">
        <v>167468.79011524998</v>
      </c>
      <c r="AJ32" s="370">
        <v>0</v>
      </c>
      <c r="AK32" s="375">
        <v>3599316.5581239425</v>
      </c>
      <c r="AM32" s="365">
        <v>53496.192111457327</v>
      </c>
      <c r="AN32" s="370">
        <v>53496.192111457327</v>
      </c>
      <c r="AO32" s="370">
        <v>0</v>
      </c>
      <c r="AP32" s="375">
        <v>3545820.3660124852</v>
      </c>
      <c r="AR32" s="365">
        <v>0</v>
      </c>
      <c r="AS32" s="375">
        <v>2177251.9235292645</v>
      </c>
      <c r="AU32" s="378">
        <v>750000</v>
      </c>
      <c r="AV32" s="379">
        <v>750000</v>
      </c>
      <c r="AW32" s="380">
        <v>750000</v>
      </c>
      <c r="AX32" s="381">
        <v>1427251.9235292645</v>
      </c>
      <c r="AZ32" s="365">
        <v>0</v>
      </c>
      <c r="BA32" s="370">
        <v>0</v>
      </c>
      <c r="BB32" s="370">
        <v>0</v>
      </c>
      <c r="BC32" s="375">
        <v>1427251.9235292645</v>
      </c>
      <c r="BE32" s="365">
        <v>1325789.8933602439</v>
      </c>
      <c r="BF32" s="370">
        <v>-42778.549122977071</v>
      </c>
      <c r="BG32" s="370">
        <v>1325789.8933602439</v>
      </c>
      <c r="BH32" s="375">
        <v>1470030.4726522416</v>
      </c>
      <c r="BJ32" s="365">
        <v>1624291.0970999971</v>
      </c>
      <c r="BK32" s="370">
        <v>1470030.4726522416</v>
      </c>
      <c r="BL32" s="370">
        <v>154260.62444775552</v>
      </c>
      <c r="BM32" s="375">
        <v>0</v>
      </c>
      <c r="BO32" s="365">
        <v>250084.22758159786</v>
      </c>
      <c r="BP32" s="370">
        <v>0</v>
      </c>
      <c r="BQ32" s="370">
        <v>250084.22758159786</v>
      </c>
      <c r="BR32" s="375">
        <v>0</v>
      </c>
      <c r="BT32" s="365">
        <v>7021069.1603870736</v>
      </c>
      <c r="BU32" s="370">
        <v>0</v>
      </c>
      <c r="BV32" s="370">
        <v>7021069.1603870736</v>
      </c>
      <c r="BW32" s="375">
        <v>0</v>
      </c>
      <c r="BY32" s="365">
        <v>0</v>
      </c>
      <c r="BZ32" s="373">
        <v>0</v>
      </c>
      <c r="CA32" s="375">
        <v>0</v>
      </c>
      <c r="CC32" s="365">
        <v>1637499.2627674916</v>
      </c>
      <c r="CD32" s="375">
        <v>53496.192111457327</v>
      </c>
      <c r="CF32" s="365">
        <v>1470030.4726522416</v>
      </c>
      <c r="CG32" s="375">
        <v>0</v>
      </c>
      <c r="CI32" s="365">
        <v>0</v>
      </c>
      <c r="CJ32" s="375">
        <v>1690995.4548789489</v>
      </c>
    </row>
    <row r="33" spans="1:88">
      <c r="G33" s="417">
        <v>29</v>
      </c>
      <c r="H33" s="251">
        <v>0</v>
      </c>
      <c r="I33" s="377">
        <v>0</v>
      </c>
      <c r="J33" s="368">
        <v>0</v>
      </c>
      <c r="K33" s="368">
        <v>5052750.1730961958</v>
      </c>
      <c r="L33" s="369">
        <v>2548852.3838765277</v>
      </c>
      <c r="N33" s="367">
        <v>2503897.7892196681</v>
      </c>
      <c r="O33" s="370">
        <v>63734196.336300001</v>
      </c>
      <c r="P33" s="370">
        <v>11231055.359200001</v>
      </c>
      <c r="Q33" s="370">
        <v>63734196.336300001</v>
      </c>
      <c r="R33" s="370">
        <v>11248330.771735858</v>
      </c>
      <c r="S33" s="370">
        <v>7021069.1603870736</v>
      </c>
      <c r="T33" s="379">
        <v>63626400</v>
      </c>
      <c r="U33" s="371">
        <v>1327999.5431825109</v>
      </c>
      <c r="V33" s="371">
        <v>751250</v>
      </c>
      <c r="W33" s="372">
        <v>4583147.332402179</v>
      </c>
      <c r="X33" s="41"/>
      <c r="Y33" s="365">
        <v>0</v>
      </c>
      <c r="Z33" s="370">
        <v>0</v>
      </c>
      <c r="AA33" s="370">
        <v>0</v>
      </c>
      <c r="AB33" s="375">
        <v>4583147.332402179</v>
      </c>
      <c r="AC33" s="41"/>
      <c r="AD33" s="449">
        <v>0</v>
      </c>
      <c r="AE33" s="365">
        <v>105263.06399314554</v>
      </c>
      <c r="AF33" s="375">
        <v>3726634.2684090333</v>
      </c>
      <c r="AH33" s="365">
        <v>163793.71393361938</v>
      </c>
      <c r="AI33" s="370">
        <v>163793.71393361938</v>
      </c>
      <c r="AJ33" s="370">
        <v>0</v>
      </c>
      <c r="AK33" s="375">
        <v>3562840.5544754141</v>
      </c>
      <c r="AM33" s="365">
        <v>53496.192111457327</v>
      </c>
      <c r="AN33" s="370">
        <v>53496.192111457327</v>
      </c>
      <c r="AO33" s="370">
        <v>0</v>
      </c>
      <c r="AP33" s="375">
        <v>3509344.3623639569</v>
      </c>
      <c r="AR33" s="365">
        <v>0</v>
      </c>
      <c r="AS33" s="375">
        <v>2181344.819181446</v>
      </c>
      <c r="AU33" s="378">
        <v>750000</v>
      </c>
      <c r="AV33" s="379">
        <v>-1250</v>
      </c>
      <c r="AW33" s="380">
        <v>750000</v>
      </c>
      <c r="AX33" s="381">
        <v>2182594.819181446</v>
      </c>
      <c r="AZ33" s="365">
        <v>0</v>
      </c>
      <c r="BA33" s="370">
        <v>0</v>
      </c>
      <c r="BB33" s="370">
        <v>0</v>
      </c>
      <c r="BC33" s="375">
        <v>2182594.819181446</v>
      </c>
      <c r="BE33" s="365">
        <v>1303739.4362704603</v>
      </c>
      <c r="BF33" s="370">
        <v>-24260.106912050629</v>
      </c>
      <c r="BG33" s="370">
        <v>1303739.4362704603</v>
      </c>
      <c r="BH33" s="375">
        <v>2206854.9260934964</v>
      </c>
      <c r="BJ33" s="365">
        <v>1783289.2371477559</v>
      </c>
      <c r="BK33" s="370">
        <v>1783289.2371477559</v>
      </c>
      <c r="BL33" s="370">
        <v>0</v>
      </c>
      <c r="BM33" s="375">
        <v>423565.68894574046</v>
      </c>
      <c r="BO33" s="365">
        <v>440841.10148159787</v>
      </c>
      <c r="BP33" s="370">
        <v>423565.68894574046</v>
      </c>
      <c r="BQ33" s="370">
        <v>17275.412535857409</v>
      </c>
      <c r="BR33" s="375">
        <v>0</v>
      </c>
      <c r="BT33" s="365">
        <v>7021069.1603870736</v>
      </c>
      <c r="BU33" s="370">
        <v>0</v>
      </c>
      <c r="BV33" s="370">
        <v>7021069.1603870736</v>
      </c>
      <c r="BW33" s="375">
        <v>0</v>
      </c>
      <c r="BY33" s="365">
        <v>0</v>
      </c>
      <c r="BZ33" s="373">
        <v>0</v>
      </c>
      <c r="CA33" s="375">
        <v>0</v>
      </c>
      <c r="CC33" s="365">
        <v>1947082.9510813754</v>
      </c>
      <c r="CD33" s="375">
        <v>477061.88105719781</v>
      </c>
      <c r="CF33" s="365">
        <v>1783289.2371477559</v>
      </c>
      <c r="CG33" s="375">
        <v>423565.68894574046</v>
      </c>
      <c r="CI33" s="365">
        <v>0</v>
      </c>
      <c r="CJ33" s="375">
        <v>2424144.8321385733</v>
      </c>
    </row>
    <row r="34" spans="1:88" ht="15.6">
      <c r="A34" s="248" t="s">
        <v>384</v>
      </c>
      <c r="B34" s="108">
        <f>12*IRR(CC4:CC364,$B$12/12)</f>
        <v>2.9999999999999361E-2</v>
      </c>
      <c r="G34" s="417">
        <v>30</v>
      </c>
      <c r="H34" s="251">
        <v>0</v>
      </c>
      <c r="I34" s="377">
        <v>0</v>
      </c>
      <c r="J34" s="368">
        <v>0</v>
      </c>
      <c r="K34" s="368">
        <v>5052750.1730961958</v>
      </c>
      <c r="L34" s="369">
        <v>2550272.8937251479</v>
      </c>
      <c r="N34" s="367">
        <v>2502477.2793710479</v>
      </c>
      <c r="O34" s="370">
        <v>62100416.390199997</v>
      </c>
      <c r="P34" s="370">
        <v>11039265.218900001</v>
      </c>
      <c r="Q34" s="370">
        <v>62100416.390199997</v>
      </c>
      <c r="R34" s="370">
        <v>11039265.218900001</v>
      </c>
      <c r="S34" s="370">
        <v>6633011.9214349473</v>
      </c>
      <c r="T34" s="379">
        <v>63626400</v>
      </c>
      <c r="U34" s="371">
        <v>1305912.335330911</v>
      </c>
      <c r="V34" s="371">
        <v>751250</v>
      </c>
      <c r="W34" s="372">
        <v>4559639.6147019584</v>
      </c>
      <c r="X34" s="41"/>
      <c r="Y34" s="365">
        <v>0</v>
      </c>
      <c r="Z34" s="370">
        <v>0</v>
      </c>
      <c r="AA34" s="370">
        <v>0</v>
      </c>
      <c r="AB34" s="375">
        <v>4559639.6147019584</v>
      </c>
      <c r="AC34" s="41"/>
      <c r="AD34" s="449">
        <v>0</v>
      </c>
      <c r="AE34" s="365">
        <v>102504.49533552866</v>
      </c>
      <c r="AF34" s="375">
        <v>3705885.1193664297</v>
      </c>
      <c r="AH34" s="365">
        <v>159335.49084074999</v>
      </c>
      <c r="AI34" s="370">
        <v>159335.49084074999</v>
      </c>
      <c r="AJ34" s="370">
        <v>0</v>
      </c>
      <c r="AK34" s="375">
        <v>3546549.6285256799</v>
      </c>
      <c r="AM34" s="365">
        <v>51554.849370456017</v>
      </c>
      <c r="AN34" s="370">
        <v>51554.849370456017</v>
      </c>
      <c r="AO34" s="370">
        <v>0</v>
      </c>
      <c r="AP34" s="375">
        <v>3494994.7791552241</v>
      </c>
      <c r="AR34" s="365">
        <v>0</v>
      </c>
      <c r="AS34" s="375">
        <v>2189082.4438243131</v>
      </c>
      <c r="AU34" s="378">
        <v>750000</v>
      </c>
      <c r="AV34" s="379">
        <v>-1250</v>
      </c>
      <c r="AW34" s="380">
        <v>750000</v>
      </c>
      <c r="AX34" s="381">
        <v>2190332.4438243131</v>
      </c>
      <c r="AZ34" s="365">
        <v>0</v>
      </c>
      <c r="BA34" s="370">
        <v>0</v>
      </c>
      <c r="BB34" s="370">
        <v>0</v>
      </c>
      <c r="BC34" s="375">
        <v>2190332.4438243131</v>
      </c>
      <c r="BE34" s="365">
        <v>1265342.041267236</v>
      </c>
      <c r="BF34" s="370">
        <v>-40570.294063674984</v>
      </c>
      <c r="BG34" s="370">
        <v>1265342.041267236</v>
      </c>
      <c r="BH34" s="375">
        <v>2230902.7378879879</v>
      </c>
      <c r="BJ34" s="365">
        <v>1633779.946100004</v>
      </c>
      <c r="BK34" s="370">
        <v>1633779.946100004</v>
      </c>
      <c r="BL34" s="370">
        <v>0</v>
      </c>
      <c r="BM34" s="375">
        <v>597122.79178798385</v>
      </c>
      <c r="BO34" s="365">
        <v>209065.5528358575</v>
      </c>
      <c r="BP34" s="370">
        <v>209065.5528358575</v>
      </c>
      <c r="BQ34" s="370">
        <v>0</v>
      </c>
      <c r="BR34" s="375">
        <v>388057.23895212635</v>
      </c>
      <c r="BT34" s="365">
        <v>7021069.1603870736</v>
      </c>
      <c r="BU34" s="370">
        <v>388057.23895212635</v>
      </c>
      <c r="BV34" s="370">
        <v>6633011.9214349473</v>
      </c>
      <c r="BW34" s="375">
        <v>0</v>
      </c>
      <c r="BY34" s="365">
        <v>0</v>
      </c>
      <c r="BZ34" s="373">
        <v>0</v>
      </c>
      <c r="CA34" s="375">
        <v>0</v>
      </c>
      <c r="CC34" s="365">
        <v>1793115.4369407541</v>
      </c>
      <c r="CD34" s="375">
        <v>260620.40220631351</v>
      </c>
      <c r="CF34" s="365">
        <v>1633779.946100004</v>
      </c>
      <c r="CG34" s="375">
        <v>209065.5528358575</v>
      </c>
      <c r="CI34" s="365">
        <v>0</v>
      </c>
      <c r="CJ34" s="375">
        <v>2441793.078099194</v>
      </c>
    </row>
    <row r="35" spans="1:88" ht="15.6">
      <c r="A35" s="110" t="s">
        <v>385</v>
      </c>
      <c r="B35" s="108">
        <f>12*IRR(CD4:CD364,$B$13/12)</f>
        <v>5.5000000000000604E-2</v>
      </c>
      <c r="G35" s="417">
        <v>31</v>
      </c>
      <c r="H35" s="251">
        <v>0</v>
      </c>
      <c r="I35" s="377">
        <v>0</v>
      </c>
      <c r="J35" s="368">
        <v>0</v>
      </c>
      <c r="K35" s="368">
        <v>5052750.1730961958</v>
      </c>
      <c r="L35" s="369">
        <v>2551694.1952430867</v>
      </c>
      <c r="N35" s="367">
        <v>2501055.9778531091</v>
      </c>
      <c r="O35" s="370">
        <v>60461871.252499998</v>
      </c>
      <c r="P35" s="370">
        <v>10846436.215299999</v>
      </c>
      <c r="Q35" s="370">
        <v>60461871.252499998</v>
      </c>
      <c r="R35" s="370">
        <v>10846436.215299999</v>
      </c>
      <c r="S35" s="370">
        <v>6235278.7197271995</v>
      </c>
      <c r="T35" s="379">
        <v>63626400</v>
      </c>
      <c r="U35" s="371">
        <v>1267450.944669348</v>
      </c>
      <c r="V35" s="371">
        <v>751250</v>
      </c>
      <c r="W35" s="372">
        <v>4519756.9225224573</v>
      </c>
      <c r="X35" s="41"/>
      <c r="Y35" s="365">
        <v>0</v>
      </c>
      <c r="Z35" s="370">
        <v>0</v>
      </c>
      <c r="AA35" s="370">
        <v>0</v>
      </c>
      <c r="AB35" s="375">
        <v>4519756.9225224573</v>
      </c>
      <c r="AC35" s="41"/>
      <c r="AD35" s="449">
        <v>0</v>
      </c>
      <c r="AE35" s="365">
        <v>99715.866913168677</v>
      </c>
      <c r="AF35" s="375">
        <v>3668791.0556092886</v>
      </c>
      <c r="AH35" s="365">
        <v>155251.04097549999</v>
      </c>
      <c r="AI35" s="370">
        <v>155251.04097549999</v>
      </c>
      <c r="AJ35" s="370">
        <v>0</v>
      </c>
      <c r="AK35" s="375">
        <v>3513540.0146337887</v>
      </c>
      <c r="AM35" s="365">
        <v>50596.632253291667</v>
      </c>
      <c r="AN35" s="370">
        <v>50596.632253291667</v>
      </c>
      <c r="AO35" s="370">
        <v>0</v>
      </c>
      <c r="AP35" s="375">
        <v>3462943.3823804972</v>
      </c>
      <c r="AR35" s="365">
        <v>0</v>
      </c>
      <c r="AS35" s="375">
        <v>2195492.4377111495</v>
      </c>
      <c r="AU35" s="378">
        <v>750000</v>
      </c>
      <c r="AV35" s="379">
        <v>-1250</v>
      </c>
      <c r="AW35" s="380">
        <v>750000</v>
      </c>
      <c r="AX35" s="381">
        <v>2196742.4377111495</v>
      </c>
      <c r="AZ35" s="365">
        <v>0</v>
      </c>
      <c r="BA35" s="370">
        <v>0</v>
      </c>
      <c r="BB35" s="370">
        <v>0</v>
      </c>
      <c r="BC35" s="375">
        <v>2196742.4377111495</v>
      </c>
      <c r="BE35" s="365">
        <v>1235086.0393727499</v>
      </c>
      <c r="BF35" s="370">
        <v>-32364.905296598095</v>
      </c>
      <c r="BG35" s="370">
        <v>1235086.0393727499</v>
      </c>
      <c r="BH35" s="375">
        <v>2229107.3430077475</v>
      </c>
      <c r="BJ35" s="365">
        <v>1638545.1376999989</v>
      </c>
      <c r="BK35" s="370">
        <v>1638545.1376999989</v>
      </c>
      <c r="BL35" s="370">
        <v>0</v>
      </c>
      <c r="BM35" s="375">
        <v>590562.20530774863</v>
      </c>
      <c r="BO35" s="365">
        <v>192829.00360000134</v>
      </c>
      <c r="BP35" s="370">
        <v>192829.00360000134</v>
      </c>
      <c r="BQ35" s="370">
        <v>0</v>
      </c>
      <c r="BR35" s="375">
        <v>397733.2017077473</v>
      </c>
      <c r="BT35" s="365">
        <v>6633011.9214349473</v>
      </c>
      <c r="BU35" s="370">
        <v>397733.2017077473</v>
      </c>
      <c r="BV35" s="370">
        <v>6235278.7197271995</v>
      </c>
      <c r="BW35" s="375">
        <v>0</v>
      </c>
      <c r="BY35" s="365">
        <v>0</v>
      </c>
      <c r="BZ35" s="373">
        <v>0</v>
      </c>
      <c r="CA35" s="375">
        <v>0</v>
      </c>
      <c r="CC35" s="365">
        <v>1793796.1786754988</v>
      </c>
      <c r="CD35" s="375">
        <v>243425.635853293</v>
      </c>
      <c r="CF35" s="365">
        <v>1638545.1376999989</v>
      </c>
      <c r="CG35" s="375">
        <v>192829.00360000134</v>
      </c>
      <c r="CI35" s="365">
        <v>0</v>
      </c>
      <c r="CJ35" s="375">
        <v>2434955.016236539</v>
      </c>
    </row>
    <row r="36" spans="1:88" ht="15.6">
      <c r="A36" s="110" t="s">
        <v>386</v>
      </c>
      <c r="B36" s="355" t="b">
        <f>OR(SUM(AJ5:AJ364)&gt;1,BL364&gt;1)</f>
        <v>0</v>
      </c>
      <c r="G36" s="417">
        <v>32</v>
      </c>
      <c r="H36" s="251">
        <v>0</v>
      </c>
      <c r="I36" s="377">
        <v>0</v>
      </c>
      <c r="J36" s="368">
        <v>0</v>
      </c>
      <c r="K36" s="368">
        <v>5052750.1730961958</v>
      </c>
      <c r="L36" s="369">
        <v>2553116.2888715528</v>
      </c>
      <c r="N36" s="367">
        <v>2499633.884224643</v>
      </c>
      <c r="O36" s="370">
        <v>58818547.024899997</v>
      </c>
      <c r="P36" s="370">
        <v>10652562.7213</v>
      </c>
      <c r="Q36" s="370">
        <v>58818547.024899997</v>
      </c>
      <c r="R36" s="370">
        <v>10652562.7213</v>
      </c>
      <c r="S36" s="370">
        <v>5837450.0992248859</v>
      </c>
      <c r="T36" s="379">
        <v>63626400</v>
      </c>
      <c r="U36" s="371">
        <v>1237144.5161050379</v>
      </c>
      <c r="V36" s="371">
        <v>751250</v>
      </c>
      <c r="W36" s="372">
        <v>4488028.4003296811</v>
      </c>
      <c r="X36" s="41"/>
      <c r="Y36" s="365">
        <v>750000</v>
      </c>
      <c r="Z36" s="370">
        <v>750000</v>
      </c>
      <c r="AA36" s="370">
        <v>0</v>
      </c>
      <c r="AB36" s="375">
        <v>3738028.4003296811</v>
      </c>
      <c r="AC36" s="41"/>
      <c r="AD36" s="449">
        <v>750000</v>
      </c>
      <c r="AE36" s="365">
        <v>96929.482734408986</v>
      </c>
      <c r="AF36" s="375">
        <v>2889848.917595272</v>
      </c>
      <c r="AH36" s="365">
        <v>151154.67813125</v>
      </c>
      <c r="AI36" s="370">
        <v>151154.67813125</v>
      </c>
      <c r="AJ36" s="370">
        <v>0</v>
      </c>
      <c r="AK36" s="375">
        <v>2738694.2394640218</v>
      </c>
      <c r="AM36" s="365">
        <v>49712.832653458332</v>
      </c>
      <c r="AN36" s="370">
        <v>49712.832653458332</v>
      </c>
      <c r="AO36" s="370">
        <v>0</v>
      </c>
      <c r="AP36" s="375">
        <v>2688981.4068105635</v>
      </c>
      <c r="AR36" s="365">
        <v>0</v>
      </c>
      <c r="AS36" s="375">
        <v>1451836.8907055256</v>
      </c>
      <c r="AU36" s="378">
        <v>0</v>
      </c>
      <c r="AV36" s="379">
        <v>-751250</v>
      </c>
      <c r="AW36" s="380">
        <v>0</v>
      </c>
      <c r="AX36" s="381">
        <v>2203086.8907055259</v>
      </c>
      <c r="AZ36" s="365">
        <v>0</v>
      </c>
      <c r="BA36" s="370">
        <v>0</v>
      </c>
      <c r="BB36" s="370">
        <v>0</v>
      </c>
      <c r="BC36" s="375">
        <v>2203086.8907055259</v>
      </c>
      <c r="BE36" s="365">
        <v>1205205.0647082499</v>
      </c>
      <c r="BF36" s="370">
        <v>-31939.451396788005</v>
      </c>
      <c r="BG36" s="370">
        <v>1205205.0647082499</v>
      </c>
      <c r="BH36" s="375">
        <v>2235026.3421023139</v>
      </c>
      <c r="BJ36" s="365">
        <v>1643324.2276000008</v>
      </c>
      <c r="BK36" s="370">
        <v>1643324.2276000008</v>
      </c>
      <c r="BL36" s="370">
        <v>0</v>
      </c>
      <c r="BM36" s="375">
        <v>591702.11450231308</v>
      </c>
      <c r="BO36" s="365">
        <v>193873.49399999902</v>
      </c>
      <c r="BP36" s="370">
        <v>193873.49399999902</v>
      </c>
      <c r="BQ36" s="370">
        <v>0</v>
      </c>
      <c r="BR36" s="375">
        <v>397828.62050231406</v>
      </c>
      <c r="BT36" s="365">
        <v>6235278.7197271995</v>
      </c>
      <c r="BU36" s="370">
        <v>397828.62050231406</v>
      </c>
      <c r="BV36" s="370">
        <v>5837450.0992248859</v>
      </c>
      <c r="BW36" s="375">
        <v>0</v>
      </c>
      <c r="BY36" s="365">
        <v>0</v>
      </c>
      <c r="BZ36" s="373">
        <v>0</v>
      </c>
      <c r="CA36" s="375">
        <v>0</v>
      </c>
      <c r="CC36" s="365">
        <v>1794478.9057312508</v>
      </c>
      <c r="CD36" s="375">
        <v>243586.32665345736</v>
      </c>
      <c r="CF36" s="365">
        <v>1643324.2276000008</v>
      </c>
      <c r="CG36" s="375">
        <v>193873.49399999902</v>
      </c>
      <c r="CI36" s="365">
        <v>0</v>
      </c>
      <c r="CJ36" s="375">
        <v>2435893.8528870223</v>
      </c>
    </row>
    <row r="37" spans="1:88" ht="15.6">
      <c r="A37" s="111" t="s">
        <v>387</v>
      </c>
      <c r="B37" s="355" t="b">
        <f>OR(SUM(AO5:AO364)&gt;1,BQ364&gt;1)</f>
        <v>0</v>
      </c>
      <c r="E37" s="284"/>
      <c r="F37" s="403"/>
      <c r="G37" s="417">
        <v>33</v>
      </c>
      <c r="H37" s="251">
        <v>0</v>
      </c>
      <c r="I37" s="377">
        <v>1</v>
      </c>
      <c r="J37" s="368">
        <v>0</v>
      </c>
      <c r="K37" s="368">
        <v>4776823.7469708379</v>
      </c>
      <c r="L37" s="369">
        <v>2554539.1750519988</v>
      </c>
      <c r="N37" s="367">
        <v>2222284.5719188391</v>
      </c>
      <c r="O37" s="370">
        <v>57170429.768200003</v>
      </c>
      <c r="P37" s="370">
        <v>10457639.0792</v>
      </c>
      <c r="Q37" s="370">
        <v>57170429.768200003</v>
      </c>
      <c r="R37" s="370">
        <v>10457639.0792</v>
      </c>
      <c r="S37" s="370">
        <v>5716222.6796741839</v>
      </c>
      <c r="T37" s="379">
        <v>63626400</v>
      </c>
      <c r="U37" s="371">
        <v>1207213.7398160968</v>
      </c>
      <c r="V37" s="371">
        <v>0</v>
      </c>
      <c r="W37" s="372">
        <v>3429498.3117349362</v>
      </c>
      <c r="X37" s="41"/>
      <c r="Y37" s="365">
        <v>0</v>
      </c>
      <c r="Z37" s="370">
        <v>0</v>
      </c>
      <c r="AA37" s="370">
        <v>0</v>
      </c>
      <c r="AB37" s="375">
        <v>3429498.3117349362</v>
      </c>
      <c r="AC37" s="41"/>
      <c r="AD37" s="449">
        <v>0</v>
      </c>
      <c r="AE37" s="365">
        <v>94135.699806781107</v>
      </c>
      <c r="AF37" s="375">
        <v>3335362.6119281552</v>
      </c>
      <c r="AH37" s="365">
        <v>147046.36756224997</v>
      </c>
      <c r="AI37" s="370">
        <v>147046.36756224997</v>
      </c>
      <c r="AJ37" s="370">
        <v>0</v>
      </c>
      <c r="AK37" s="375">
        <v>3188316.2443659054</v>
      </c>
      <c r="AM37" s="365">
        <v>48824.245805958337</v>
      </c>
      <c r="AN37" s="370">
        <v>48824.245805958337</v>
      </c>
      <c r="AO37" s="370">
        <v>0</v>
      </c>
      <c r="AP37" s="375">
        <v>3139491.9985599471</v>
      </c>
      <c r="AR37" s="365">
        <v>0</v>
      </c>
      <c r="AS37" s="375">
        <v>1932278.2587438503</v>
      </c>
      <c r="AU37" s="378">
        <v>0</v>
      </c>
      <c r="AV37" s="379">
        <v>0</v>
      </c>
      <c r="AW37" s="380">
        <v>0</v>
      </c>
      <c r="AX37" s="381">
        <v>1932278.2587438503</v>
      </c>
      <c r="AZ37" s="365">
        <v>0</v>
      </c>
      <c r="BA37" s="370">
        <v>0</v>
      </c>
      <c r="BB37" s="370">
        <v>0</v>
      </c>
      <c r="BC37" s="375">
        <v>1932278.2587438503</v>
      </c>
      <c r="BE37" s="365">
        <v>1175223.68020925</v>
      </c>
      <c r="BF37" s="370">
        <v>-31990.059606846888</v>
      </c>
      <c r="BG37" s="370">
        <v>1175223.68020925</v>
      </c>
      <c r="BH37" s="375">
        <v>1964268.3183506972</v>
      </c>
      <c r="BJ37" s="365">
        <v>1648117.2566999942</v>
      </c>
      <c r="BK37" s="370">
        <v>1648117.2566999942</v>
      </c>
      <c r="BL37" s="370">
        <v>0</v>
      </c>
      <c r="BM37" s="375">
        <v>316151.06165070296</v>
      </c>
      <c r="BO37" s="365">
        <v>194923.64210000075</v>
      </c>
      <c r="BP37" s="370">
        <v>194923.64210000075</v>
      </c>
      <c r="BQ37" s="370">
        <v>0</v>
      </c>
      <c r="BR37" s="375">
        <v>121227.41955070221</v>
      </c>
      <c r="BT37" s="365">
        <v>5837450.0992248859</v>
      </c>
      <c r="BU37" s="370">
        <v>121227.41955070221</v>
      </c>
      <c r="BV37" s="370">
        <v>5716222.6796741839</v>
      </c>
      <c r="BW37" s="375">
        <v>0</v>
      </c>
      <c r="BY37" s="365">
        <v>0</v>
      </c>
      <c r="BZ37" s="373">
        <v>0</v>
      </c>
      <c r="CA37" s="375">
        <v>0</v>
      </c>
      <c r="CC37" s="365">
        <v>1795163.6242622442</v>
      </c>
      <c r="CD37" s="375">
        <v>243747.8879059591</v>
      </c>
      <c r="CF37" s="365">
        <v>1648117.2566999942</v>
      </c>
      <c r="CG37" s="375">
        <v>194923.64210000075</v>
      </c>
      <c r="CI37" s="365">
        <v>0</v>
      </c>
      <c r="CJ37" s="375">
        <v>2160138.9317189055</v>
      </c>
    </row>
    <row r="38" spans="1:88" ht="15.6">
      <c r="A38" s="109" t="s">
        <v>281</v>
      </c>
      <c r="B38" s="163">
        <v>10</v>
      </c>
      <c r="G38" s="417">
        <v>34</v>
      </c>
      <c r="H38" s="251">
        <v>0</v>
      </c>
      <c r="I38" s="377">
        <v>0</v>
      </c>
      <c r="J38" s="368">
        <v>0</v>
      </c>
      <c r="K38" s="368">
        <v>5055756.26562881</v>
      </c>
      <c r="L38" s="369">
        <v>2555962.8542261259</v>
      </c>
      <c r="N38" s="367">
        <v>2499793.4114026842</v>
      </c>
      <c r="O38" s="370">
        <v>55517505.502899997</v>
      </c>
      <c r="P38" s="370">
        <v>10261659.6007</v>
      </c>
      <c r="Q38" s="370">
        <v>55871132.776264399</v>
      </c>
      <c r="R38" s="370">
        <v>10457639.0792</v>
      </c>
      <c r="S38" s="370">
        <v>5716222.6796741839</v>
      </c>
      <c r="T38" s="379">
        <v>63626400</v>
      </c>
      <c r="U38" s="371">
        <v>1177182.386342932</v>
      </c>
      <c r="V38" s="371">
        <v>0</v>
      </c>
      <c r="W38" s="372">
        <v>3676975.7977456162</v>
      </c>
      <c r="X38" s="41"/>
      <c r="Y38" s="365">
        <v>0</v>
      </c>
      <c r="Z38" s="370">
        <v>0</v>
      </c>
      <c r="AA38" s="370">
        <v>0</v>
      </c>
      <c r="AB38" s="375">
        <v>3676975.7977456162</v>
      </c>
      <c r="AC38" s="41"/>
      <c r="AD38" s="449">
        <v>0</v>
      </c>
      <c r="AE38" s="365">
        <v>91680.364408842725</v>
      </c>
      <c r="AF38" s="375">
        <v>3585295.4333367734</v>
      </c>
      <c r="AH38" s="365">
        <v>142926.07442049999</v>
      </c>
      <c r="AI38" s="370">
        <v>142926.07442049999</v>
      </c>
      <c r="AJ38" s="370">
        <v>0</v>
      </c>
      <c r="AK38" s="375">
        <v>3442369.3589162733</v>
      </c>
      <c r="AM38" s="365">
        <v>47930.845779666663</v>
      </c>
      <c r="AN38" s="370">
        <v>47930.845779666663</v>
      </c>
      <c r="AO38" s="370">
        <v>0</v>
      </c>
      <c r="AP38" s="375">
        <v>3394438.5131366067</v>
      </c>
      <c r="AR38" s="365">
        <v>0</v>
      </c>
      <c r="AS38" s="375">
        <v>2217256.1267936747</v>
      </c>
      <c r="AU38" s="378">
        <v>950000</v>
      </c>
      <c r="AV38" s="379">
        <v>950000</v>
      </c>
      <c r="AW38" s="380">
        <v>950000</v>
      </c>
      <c r="AX38" s="381">
        <v>1267256.1267936747</v>
      </c>
      <c r="AZ38" s="365">
        <v>0</v>
      </c>
      <c r="BA38" s="370">
        <v>0</v>
      </c>
      <c r="BB38" s="370">
        <v>0</v>
      </c>
      <c r="BC38" s="375">
        <v>1267256.1267936747</v>
      </c>
      <c r="BE38" s="365">
        <v>1145141.5212010001</v>
      </c>
      <c r="BF38" s="370">
        <v>-32040.865141931921</v>
      </c>
      <c r="BG38" s="370">
        <v>1145141.5212010001</v>
      </c>
      <c r="BH38" s="375">
        <v>1299296.9919356066</v>
      </c>
      <c r="BJ38" s="365">
        <v>1652924.2653000057</v>
      </c>
      <c r="BK38" s="370">
        <v>1299296.9919356066</v>
      </c>
      <c r="BL38" s="370">
        <v>353627.27336439909</v>
      </c>
      <c r="BM38" s="375">
        <v>0</v>
      </c>
      <c r="BO38" s="365">
        <v>195979.47849999927</v>
      </c>
      <c r="BP38" s="370">
        <v>0</v>
      </c>
      <c r="BQ38" s="370">
        <v>195979.47849999927</v>
      </c>
      <c r="BR38" s="375">
        <v>0</v>
      </c>
      <c r="BT38" s="365">
        <v>5716222.6796741839</v>
      </c>
      <c r="BU38" s="370">
        <v>0</v>
      </c>
      <c r="BV38" s="370">
        <v>5716222.6796741839</v>
      </c>
      <c r="BW38" s="375">
        <v>0</v>
      </c>
      <c r="BY38" s="365">
        <v>0</v>
      </c>
      <c r="BZ38" s="373">
        <v>0</v>
      </c>
      <c r="CA38" s="375">
        <v>0</v>
      </c>
      <c r="CC38" s="365">
        <v>1442223.0663561067</v>
      </c>
      <c r="CD38" s="375">
        <v>47930.845779666663</v>
      </c>
      <c r="CF38" s="365">
        <v>1299296.9919356033</v>
      </c>
      <c r="CG38" s="375">
        <v>0</v>
      </c>
      <c r="CI38" s="365">
        <v>0</v>
      </c>
      <c r="CJ38" s="375">
        <v>1490153.9121357733</v>
      </c>
    </row>
    <row r="39" spans="1:88" ht="15.6">
      <c r="A39" s="249" t="s">
        <v>344</v>
      </c>
      <c r="B39" s="356">
        <f>Class_C_Bal</f>
        <v>10790200</v>
      </c>
      <c r="G39" s="417">
        <v>35</v>
      </c>
      <c r="H39" s="251">
        <v>0</v>
      </c>
      <c r="I39" s="377">
        <v>4</v>
      </c>
      <c r="J39" s="368">
        <v>0</v>
      </c>
      <c r="K39" s="368">
        <v>3788256.26562881</v>
      </c>
      <c r="L39" s="369">
        <v>2557387.3268358791</v>
      </c>
      <c r="N39" s="367">
        <v>1230868.9387929309</v>
      </c>
      <c r="O39" s="370">
        <v>53859760.208499998</v>
      </c>
      <c r="P39" s="370">
        <v>10064618.5667</v>
      </c>
      <c r="Q39" s="370">
        <v>55544947.400946349</v>
      </c>
      <c r="R39" s="370">
        <v>10457639.0792</v>
      </c>
      <c r="S39" s="370">
        <v>5716222.6796741839</v>
      </c>
      <c r="T39" s="379">
        <v>63626400</v>
      </c>
      <c r="U39" s="371">
        <v>1147050.0904030018</v>
      </c>
      <c r="V39" s="371">
        <v>951583.33333333337</v>
      </c>
      <c r="W39" s="372">
        <v>3329502.3625292662</v>
      </c>
      <c r="X39" s="41"/>
      <c r="Y39" s="365">
        <v>0</v>
      </c>
      <c r="Z39" s="370">
        <v>0</v>
      </c>
      <c r="AA39" s="370">
        <v>0</v>
      </c>
      <c r="AB39" s="375">
        <v>3329502.3625292662</v>
      </c>
      <c r="AC39" s="41"/>
      <c r="AD39" s="449">
        <v>0</v>
      </c>
      <c r="AE39" s="365">
        <v>90056.243168923218</v>
      </c>
      <c r="AF39" s="375">
        <v>2287862.7860270096</v>
      </c>
      <c r="AH39" s="365">
        <v>139677.83194066098</v>
      </c>
      <c r="AI39" s="370">
        <v>139677.83194066098</v>
      </c>
      <c r="AJ39" s="370">
        <v>0</v>
      </c>
      <c r="AK39" s="375">
        <v>2148184.9540863484</v>
      </c>
      <c r="AM39" s="365">
        <v>47930.845779666663</v>
      </c>
      <c r="AN39" s="370">
        <v>47930.845779666663</v>
      </c>
      <c r="AO39" s="370">
        <v>0</v>
      </c>
      <c r="AP39" s="375">
        <v>2100254.1083066817</v>
      </c>
      <c r="AR39" s="365">
        <v>0</v>
      </c>
      <c r="AS39" s="375">
        <v>953204.01790367998</v>
      </c>
      <c r="AU39" s="378">
        <v>1600000</v>
      </c>
      <c r="AV39" s="379">
        <v>648416.66666666663</v>
      </c>
      <c r="AW39" s="380">
        <v>1600000</v>
      </c>
      <c r="AX39" s="381">
        <v>304787.35123701335</v>
      </c>
      <c r="AZ39" s="365">
        <v>0</v>
      </c>
      <c r="BA39" s="370">
        <v>0</v>
      </c>
      <c r="BB39" s="370">
        <v>0</v>
      </c>
      <c r="BC39" s="375">
        <v>304787.35123701335</v>
      </c>
      <c r="BE39" s="365">
        <v>1125652.066321966</v>
      </c>
      <c r="BF39" s="370">
        <v>-21398.02408103575</v>
      </c>
      <c r="BG39" s="370">
        <v>1125652.066321966</v>
      </c>
      <c r="BH39" s="375">
        <v>326185.3753180491</v>
      </c>
      <c r="BJ39" s="365">
        <v>2011372.5677644014</v>
      </c>
      <c r="BK39" s="370">
        <v>326185.3753180491</v>
      </c>
      <c r="BL39" s="370">
        <v>1685187.1924463524</v>
      </c>
      <c r="BM39" s="375">
        <v>0</v>
      </c>
      <c r="BO39" s="365">
        <v>393020.51249999925</v>
      </c>
      <c r="BP39" s="370">
        <v>0</v>
      </c>
      <c r="BQ39" s="370">
        <v>393020.51249999925</v>
      </c>
      <c r="BR39" s="375">
        <v>0</v>
      </c>
      <c r="BT39" s="365">
        <v>5716222.6796741839</v>
      </c>
      <c r="BU39" s="370">
        <v>0</v>
      </c>
      <c r="BV39" s="370">
        <v>5716222.6796741839</v>
      </c>
      <c r="BW39" s="375">
        <v>0</v>
      </c>
      <c r="BY39" s="365">
        <v>0</v>
      </c>
      <c r="BZ39" s="373">
        <v>0</v>
      </c>
      <c r="CA39" s="375">
        <v>0</v>
      </c>
      <c r="CC39" s="365">
        <v>465863.20725871006</v>
      </c>
      <c r="CD39" s="375">
        <v>47930.845779666663</v>
      </c>
      <c r="CF39" s="365">
        <v>326185.37531805038</v>
      </c>
      <c r="CG39" s="375">
        <v>0</v>
      </c>
      <c r="CI39" s="365">
        <v>0</v>
      </c>
      <c r="CJ39" s="375">
        <v>513794.05303837673</v>
      </c>
    </row>
    <row r="40" spans="1:88" ht="15.6">
      <c r="A40" s="147"/>
      <c r="B40" s="148"/>
      <c r="G40" s="417">
        <v>36</v>
      </c>
      <c r="H40" s="251">
        <v>0</v>
      </c>
      <c r="I40" s="377">
        <v>0</v>
      </c>
      <c r="J40" s="368">
        <v>0</v>
      </c>
      <c r="K40" s="368">
        <v>5077434.5219236733</v>
      </c>
      <c r="L40" s="369">
        <v>2558812.593323451</v>
      </c>
      <c r="N40" s="367">
        <v>2518621.9286002223</v>
      </c>
      <c r="O40" s="370">
        <v>52197179.823600002</v>
      </c>
      <c r="P40" s="370">
        <v>9866510.2270999998</v>
      </c>
      <c r="Q40" s="370">
        <v>53293331.664004296</v>
      </c>
      <c r="R40" s="370">
        <v>10457639.0792</v>
      </c>
      <c r="S40" s="370">
        <v>5716222.6796741839</v>
      </c>
      <c r="T40" s="379">
        <v>63626400</v>
      </c>
      <c r="U40" s="371">
        <v>1127528.1530991693</v>
      </c>
      <c r="V40" s="371">
        <v>1602666.6666666667</v>
      </c>
      <c r="W40" s="372">
        <v>5248816.7483660579</v>
      </c>
      <c r="X40" s="41"/>
      <c r="Y40" s="365">
        <v>0</v>
      </c>
      <c r="Z40" s="370">
        <v>0</v>
      </c>
      <c r="AA40" s="370">
        <v>0</v>
      </c>
      <c r="AB40" s="375">
        <v>5248816.7483660579</v>
      </c>
      <c r="AC40" s="41"/>
      <c r="AD40" s="449">
        <v>0</v>
      </c>
      <c r="AE40" s="365">
        <v>89648.511449775659</v>
      </c>
      <c r="AF40" s="375">
        <v>3556501.5702496152</v>
      </c>
      <c r="AH40" s="365">
        <v>138862.36850236586</v>
      </c>
      <c r="AI40" s="370">
        <v>138862.36850236586</v>
      </c>
      <c r="AJ40" s="370">
        <v>0</v>
      </c>
      <c r="AK40" s="375">
        <v>3417639.2017472493</v>
      </c>
      <c r="AM40" s="365">
        <v>47930.845779666663</v>
      </c>
      <c r="AN40" s="370">
        <v>47930.845779666663</v>
      </c>
      <c r="AO40" s="370">
        <v>0</v>
      </c>
      <c r="AP40" s="375">
        <v>3369708.3559675827</v>
      </c>
      <c r="AR40" s="365">
        <v>0</v>
      </c>
      <c r="AS40" s="375">
        <v>2242180.2028684132</v>
      </c>
      <c r="AU40" s="378">
        <v>1600000</v>
      </c>
      <c r="AV40" s="379">
        <v>-2666.6666666667443</v>
      </c>
      <c r="AW40" s="380">
        <v>1600000</v>
      </c>
      <c r="AX40" s="381">
        <v>2244846.8695350802</v>
      </c>
      <c r="AZ40" s="365">
        <v>0</v>
      </c>
      <c r="BA40" s="370">
        <v>0</v>
      </c>
      <c r="BB40" s="370">
        <v>0</v>
      </c>
      <c r="BC40" s="375">
        <v>2244846.8695350802</v>
      </c>
      <c r="BE40" s="365">
        <v>1120759.2856921952</v>
      </c>
      <c r="BF40" s="370">
        <v>-6768.867406974081</v>
      </c>
      <c r="BG40" s="370">
        <v>1120759.2856921952</v>
      </c>
      <c r="BH40" s="375">
        <v>2251615.7369420542</v>
      </c>
      <c r="BJ40" s="365">
        <v>3347767.5773463473</v>
      </c>
      <c r="BK40" s="370">
        <v>2251615.7369420542</v>
      </c>
      <c r="BL40" s="370">
        <v>1096151.840404293</v>
      </c>
      <c r="BM40" s="375">
        <v>0</v>
      </c>
      <c r="BO40" s="365">
        <v>591128.85209999979</v>
      </c>
      <c r="BP40" s="370">
        <v>0</v>
      </c>
      <c r="BQ40" s="370">
        <v>591128.85209999979</v>
      </c>
      <c r="BR40" s="375">
        <v>0</v>
      </c>
      <c r="BT40" s="365">
        <v>5716222.6796741839</v>
      </c>
      <c r="BU40" s="370">
        <v>0</v>
      </c>
      <c r="BV40" s="370">
        <v>5716222.6796741839</v>
      </c>
      <c r="BW40" s="375">
        <v>0</v>
      </c>
      <c r="BY40" s="365">
        <v>0</v>
      </c>
      <c r="BZ40" s="373">
        <v>0</v>
      </c>
      <c r="CA40" s="375">
        <v>0</v>
      </c>
      <c r="CC40" s="365">
        <v>2390478.1054444201</v>
      </c>
      <c r="CD40" s="375">
        <v>47930.845779666663</v>
      </c>
      <c r="CF40" s="365">
        <v>2251615.7369420528</v>
      </c>
      <c r="CG40" s="375">
        <v>0</v>
      </c>
      <c r="CI40" s="365">
        <v>0</v>
      </c>
      <c r="CJ40" s="375">
        <v>2438408.9512240868</v>
      </c>
    </row>
    <row r="41" spans="1:88" ht="15.6">
      <c r="A41" s="110" t="s">
        <v>440</v>
      </c>
      <c r="B41" s="150" t="s">
        <v>282</v>
      </c>
      <c r="G41" s="417">
        <v>37</v>
      </c>
      <c r="H41" s="251">
        <v>0</v>
      </c>
      <c r="I41" s="377">
        <v>1</v>
      </c>
      <c r="J41" s="368">
        <v>0</v>
      </c>
      <c r="K41" s="368">
        <v>4831434.5219236733</v>
      </c>
      <c r="L41" s="369">
        <v>2560238.6541312812</v>
      </c>
      <c r="N41" s="367">
        <v>2271195.8677923921</v>
      </c>
      <c r="O41" s="370">
        <v>50529750.245999999</v>
      </c>
      <c r="P41" s="370">
        <v>9667328.8005999997</v>
      </c>
      <c r="Q41" s="370">
        <v>51251825.128066562</v>
      </c>
      <c r="R41" s="370">
        <v>10457639.0792</v>
      </c>
      <c r="S41" s="370">
        <v>5716222.6796741839</v>
      </c>
      <c r="T41" s="379">
        <v>63626400</v>
      </c>
      <c r="U41" s="371">
        <v>1122627.2178350154</v>
      </c>
      <c r="V41" s="371">
        <v>1602666.6666666667</v>
      </c>
      <c r="W41" s="372">
        <v>4996489.7522940747</v>
      </c>
      <c r="X41" s="41"/>
      <c r="Y41" s="365">
        <v>0</v>
      </c>
      <c r="Z41" s="370">
        <v>0</v>
      </c>
      <c r="AA41" s="370">
        <v>0</v>
      </c>
      <c r="AB41" s="375">
        <v>4996489.7522940747</v>
      </c>
      <c r="AC41" s="41"/>
      <c r="AD41" s="449">
        <v>0</v>
      </c>
      <c r="AE41" s="365">
        <v>86833.991778598094</v>
      </c>
      <c r="AF41" s="375">
        <v>3306989.0938488096</v>
      </c>
      <c r="AH41" s="365">
        <v>133233.32916001073</v>
      </c>
      <c r="AI41" s="370">
        <v>133233.32916001073</v>
      </c>
      <c r="AJ41" s="370">
        <v>0</v>
      </c>
      <c r="AK41" s="375">
        <v>3173755.7646887987</v>
      </c>
      <c r="AM41" s="365">
        <v>47930.845779666663</v>
      </c>
      <c r="AN41" s="370">
        <v>47930.845779666663</v>
      </c>
      <c r="AO41" s="370">
        <v>0</v>
      </c>
      <c r="AP41" s="375">
        <v>3125824.918909132</v>
      </c>
      <c r="AR41" s="365">
        <v>0</v>
      </c>
      <c r="AS41" s="375">
        <v>2003197.7010741166</v>
      </c>
      <c r="AU41" s="378">
        <v>1600000</v>
      </c>
      <c r="AV41" s="379">
        <v>-2666.6666666667443</v>
      </c>
      <c r="AW41" s="380">
        <v>1600000</v>
      </c>
      <c r="AX41" s="381">
        <v>2005864.3677407834</v>
      </c>
      <c r="AZ41" s="365">
        <v>0</v>
      </c>
      <c r="BA41" s="370">
        <v>0</v>
      </c>
      <c r="BB41" s="370">
        <v>0</v>
      </c>
      <c r="BC41" s="375">
        <v>2005864.3677407834</v>
      </c>
      <c r="BE41" s="365">
        <v>1086985.0496380643</v>
      </c>
      <c r="BF41" s="370">
        <v>-35642.168196951039</v>
      </c>
      <c r="BG41" s="370">
        <v>1086985.0496380643</v>
      </c>
      <c r="BH41" s="375">
        <v>2041506.5359377344</v>
      </c>
      <c r="BJ41" s="365">
        <v>2763581.4180042967</v>
      </c>
      <c r="BK41" s="370">
        <v>2041506.5359377344</v>
      </c>
      <c r="BL41" s="370">
        <v>722074.88206656231</v>
      </c>
      <c r="BM41" s="375">
        <v>0</v>
      </c>
      <c r="BO41" s="365">
        <v>790310.27859999985</v>
      </c>
      <c r="BP41" s="370">
        <v>0</v>
      </c>
      <c r="BQ41" s="370">
        <v>790310.27859999985</v>
      </c>
      <c r="BR41" s="375">
        <v>0</v>
      </c>
      <c r="BT41" s="365">
        <v>5716222.6796741839</v>
      </c>
      <c r="BU41" s="370">
        <v>0</v>
      </c>
      <c r="BV41" s="370">
        <v>5716222.6796741839</v>
      </c>
      <c r="BW41" s="375">
        <v>0</v>
      </c>
      <c r="BY41" s="365">
        <v>0</v>
      </c>
      <c r="BZ41" s="373">
        <v>0</v>
      </c>
      <c r="CA41" s="375">
        <v>0</v>
      </c>
      <c r="CC41" s="365">
        <v>2174739.8650977453</v>
      </c>
      <c r="CD41" s="375">
        <v>47930.845779666663</v>
      </c>
      <c r="CF41" s="365">
        <v>2041506.5359377339</v>
      </c>
      <c r="CG41" s="375">
        <v>0</v>
      </c>
      <c r="CI41" s="365">
        <v>0</v>
      </c>
      <c r="CJ41" s="375">
        <v>2222670.710877412</v>
      </c>
    </row>
    <row r="42" spans="1:88" ht="15.6">
      <c r="A42" s="111" t="s">
        <v>441</v>
      </c>
      <c r="B42" s="151" t="s">
        <v>282</v>
      </c>
      <c r="G42" s="417">
        <v>38</v>
      </c>
      <c r="H42" s="251">
        <v>0</v>
      </c>
      <c r="I42" s="377">
        <v>0</v>
      </c>
      <c r="J42" s="368">
        <v>0</v>
      </c>
      <c r="K42" s="368">
        <v>5081878.2977811797</v>
      </c>
      <c r="L42" s="369">
        <v>2561665.5097020543</v>
      </c>
      <c r="N42" s="367">
        <v>2520212.7880791253</v>
      </c>
      <c r="O42" s="370">
        <v>48857457.332000002</v>
      </c>
      <c r="P42" s="370">
        <v>9467068.4748</v>
      </c>
      <c r="Q42" s="370">
        <v>48956853.950740814</v>
      </c>
      <c r="R42" s="370">
        <v>10457639.0792</v>
      </c>
      <c r="S42" s="370">
        <v>5716222.6796741839</v>
      </c>
      <c r="T42" s="379">
        <v>63626400</v>
      </c>
      <c r="U42" s="371">
        <v>1088796.691387461</v>
      </c>
      <c r="V42" s="371">
        <v>1602666.6666666667</v>
      </c>
      <c r="W42" s="372">
        <v>5211676.1461332534</v>
      </c>
      <c r="X42" s="41"/>
      <c r="Y42" s="365">
        <v>950000</v>
      </c>
      <c r="Z42" s="370">
        <v>950000</v>
      </c>
      <c r="AA42" s="370">
        <v>0</v>
      </c>
      <c r="AB42" s="375">
        <v>4261676.1461332534</v>
      </c>
      <c r="AC42" s="41"/>
      <c r="AD42" s="449">
        <v>950000</v>
      </c>
      <c r="AE42" s="365">
        <v>84282.108608675931</v>
      </c>
      <c r="AF42" s="375">
        <v>2574727.3708579103</v>
      </c>
      <c r="AH42" s="365">
        <v>128129.56282016641</v>
      </c>
      <c r="AI42" s="370">
        <v>128129.56282016641</v>
      </c>
      <c r="AJ42" s="370">
        <v>0</v>
      </c>
      <c r="AK42" s="375">
        <v>2446597.8080377439</v>
      </c>
      <c r="AM42" s="365">
        <v>47930.845779666663</v>
      </c>
      <c r="AN42" s="370">
        <v>47930.845779666663</v>
      </c>
      <c r="AO42" s="370">
        <v>0</v>
      </c>
      <c r="AP42" s="375">
        <v>2398666.9622580772</v>
      </c>
      <c r="AR42" s="365">
        <v>0</v>
      </c>
      <c r="AS42" s="375">
        <v>1309870.2708706162</v>
      </c>
      <c r="AU42" s="378">
        <v>650000</v>
      </c>
      <c r="AV42" s="379">
        <v>-952666.66666666674</v>
      </c>
      <c r="AW42" s="380">
        <v>650000</v>
      </c>
      <c r="AX42" s="381">
        <v>2262536.9375372827</v>
      </c>
      <c r="AZ42" s="365">
        <v>0</v>
      </c>
      <c r="BA42" s="370">
        <v>0</v>
      </c>
      <c r="BB42" s="370">
        <v>0</v>
      </c>
      <c r="BC42" s="375">
        <v>2262536.9375372827</v>
      </c>
      <c r="BE42" s="365">
        <v>1056362.4515989984</v>
      </c>
      <c r="BF42" s="370">
        <v>-32434.239788462641</v>
      </c>
      <c r="BG42" s="370">
        <v>1056362.4515989984</v>
      </c>
      <c r="BH42" s="375">
        <v>2294971.1773257451</v>
      </c>
      <c r="BJ42" s="365">
        <v>2394367.7960665599</v>
      </c>
      <c r="BK42" s="370">
        <v>2294971.1773257451</v>
      </c>
      <c r="BL42" s="370">
        <v>99396.618740814738</v>
      </c>
      <c r="BM42" s="375">
        <v>0</v>
      </c>
      <c r="BO42" s="365">
        <v>990570.6043999996</v>
      </c>
      <c r="BP42" s="370">
        <v>0</v>
      </c>
      <c r="BQ42" s="370">
        <v>990570.6043999996</v>
      </c>
      <c r="BR42" s="375">
        <v>0</v>
      </c>
      <c r="BT42" s="365">
        <v>5716222.6796741839</v>
      </c>
      <c r="BU42" s="370">
        <v>0</v>
      </c>
      <c r="BV42" s="370">
        <v>5716222.6796741839</v>
      </c>
      <c r="BW42" s="375">
        <v>0</v>
      </c>
      <c r="BY42" s="365">
        <v>0</v>
      </c>
      <c r="BZ42" s="373">
        <v>0</v>
      </c>
      <c r="CA42" s="375">
        <v>0</v>
      </c>
      <c r="CC42" s="365">
        <v>2423100.7401459115</v>
      </c>
      <c r="CD42" s="375">
        <v>47930.845779666663</v>
      </c>
      <c r="CF42" s="365">
        <v>2294971.1773257479</v>
      </c>
      <c r="CG42" s="375">
        <v>0</v>
      </c>
      <c r="CI42" s="365">
        <v>0</v>
      </c>
      <c r="CJ42" s="375">
        <v>2471031.5859255781</v>
      </c>
    </row>
    <row r="43" spans="1:88" ht="15.6">
      <c r="A43" s="146"/>
      <c r="B43" s="250"/>
      <c r="G43" s="417">
        <v>39</v>
      </c>
      <c r="H43" s="251">
        <v>0</v>
      </c>
      <c r="I43" s="377">
        <v>0</v>
      </c>
      <c r="J43" s="368">
        <v>0</v>
      </c>
      <c r="K43" s="368">
        <v>5081878.2977811797</v>
      </c>
      <c r="L43" s="369">
        <v>2563093.1604787027</v>
      </c>
      <c r="N43" s="367">
        <v>2518785.1373024769</v>
      </c>
      <c r="O43" s="370">
        <v>47180286.897100002</v>
      </c>
      <c r="P43" s="370">
        <v>9265723.4055000003</v>
      </c>
      <c r="Q43" s="370">
        <v>47180286.897100002</v>
      </c>
      <c r="R43" s="370">
        <v>9929888.865752656</v>
      </c>
      <c r="S43" s="370">
        <v>5716222.6796741839</v>
      </c>
      <c r="T43" s="379">
        <v>63626400</v>
      </c>
      <c r="U43" s="371">
        <v>1058123.0556849968</v>
      </c>
      <c r="V43" s="371">
        <v>651083.33333333337</v>
      </c>
      <c r="W43" s="372">
        <v>4227991.5263208067</v>
      </c>
      <c r="X43" s="41"/>
      <c r="Y43" s="365">
        <v>650000</v>
      </c>
      <c r="Z43" s="370">
        <v>650000</v>
      </c>
      <c r="AA43" s="370">
        <v>0</v>
      </c>
      <c r="AB43" s="375">
        <v>3577991.5263208067</v>
      </c>
      <c r="AC43" s="41"/>
      <c r="AD43" s="449">
        <v>650000</v>
      </c>
      <c r="AE43" s="365">
        <v>81413.394637018748</v>
      </c>
      <c r="AF43" s="375">
        <v>2845494.7983504543</v>
      </c>
      <c r="AH43" s="365">
        <v>122392.13487685203</v>
      </c>
      <c r="AI43" s="370">
        <v>122392.13487685203</v>
      </c>
      <c r="AJ43" s="370">
        <v>0</v>
      </c>
      <c r="AK43" s="375">
        <v>2723102.6634736024</v>
      </c>
      <c r="AM43" s="365">
        <v>47930.845779666663</v>
      </c>
      <c r="AN43" s="370">
        <v>47930.845779666663</v>
      </c>
      <c r="AO43" s="370">
        <v>0</v>
      </c>
      <c r="AP43" s="375">
        <v>2675171.8176939357</v>
      </c>
      <c r="AR43" s="365">
        <v>0</v>
      </c>
      <c r="AS43" s="375">
        <v>1617048.7620089389</v>
      </c>
      <c r="AU43" s="378">
        <v>0</v>
      </c>
      <c r="AV43" s="379">
        <v>-651083.33333333337</v>
      </c>
      <c r="AW43" s="380">
        <v>0</v>
      </c>
      <c r="AX43" s="381">
        <v>2268132.0953422724</v>
      </c>
      <c r="AZ43" s="365">
        <v>0</v>
      </c>
      <c r="BA43" s="370">
        <v>0</v>
      </c>
      <c r="BB43" s="370">
        <v>0</v>
      </c>
      <c r="BC43" s="375">
        <v>2268132.0953422724</v>
      </c>
      <c r="BE43" s="365">
        <v>1021937.8839391122</v>
      </c>
      <c r="BF43" s="370">
        <v>-36185.171745884581</v>
      </c>
      <c r="BG43" s="370">
        <v>1021937.8839391122</v>
      </c>
      <c r="BH43" s="375">
        <v>2304317.2670881571</v>
      </c>
      <c r="BJ43" s="365">
        <v>1776567.0536408126</v>
      </c>
      <c r="BK43" s="370">
        <v>1776567.0536408126</v>
      </c>
      <c r="BL43" s="370">
        <v>0</v>
      </c>
      <c r="BM43" s="375">
        <v>527750.21344734449</v>
      </c>
      <c r="BO43" s="365">
        <v>1191915.6736999992</v>
      </c>
      <c r="BP43" s="370">
        <v>527750.21344734449</v>
      </c>
      <c r="BQ43" s="370">
        <v>664165.46025265474</v>
      </c>
      <c r="BR43" s="375">
        <v>0</v>
      </c>
      <c r="BT43" s="365">
        <v>5716222.6796741839</v>
      </c>
      <c r="BU43" s="370">
        <v>0</v>
      </c>
      <c r="BV43" s="370">
        <v>5716222.6796741839</v>
      </c>
      <c r="BW43" s="375">
        <v>0</v>
      </c>
      <c r="BY43" s="365">
        <v>0</v>
      </c>
      <c r="BZ43" s="373">
        <v>0</v>
      </c>
      <c r="CA43" s="375">
        <v>0</v>
      </c>
      <c r="CC43" s="365">
        <v>1898959.1885176646</v>
      </c>
      <c r="CD43" s="375">
        <v>575681.05922701117</v>
      </c>
      <c r="CF43" s="365">
        <v>1776567.0536408126</v>
      </c>
      <c r="CG43" s="375">
        <v>527750.21344734356</v>
      </c>
      <c r="CI43" s="365">
        <v>0</v>
      </c>
      <c r="CJ43" s="375">
        <v>2474640.2477446757</v>
      </c>
    </row>
    <row r="44" spans="1:88" ht="15.6">
      <c r="A44" s="146"/>
      <c r="B44" s="250"/>
      <c r="G44" s="417">
        <v>40</v>
      </c>
      <c r="H44" s="251">
        <v>0</v>
      </c>
      <c r="I44" s="377">
        <v>0</v>
      </c>
      <c r="J44" s="368">
        <v>0</v>
      </c>
      <c r="K44" s="368">
        <v>5081878.2977811797</v>
      </c>
      <c r="L44" s="369">
        <v>2564521.6069044052</v>
      </c>
      <c r="N44" s="367">
        <v>2517356.6908767745</v>
      </c>
      <c r="O44" s="370">
        <v>45498224.715099998</v>
      </c>
      <c r="P44" s="370">
        <v>9063287.7171</v>
      </c>
      <c r="Q44" s="370">
        <v>45812061.045672856</v>
      </c>
      <c r="R44" s="370">
        <v>9929888.865752656</v>
      </c>
      <c r="S44" s="370">
        <v>5716222.6796741839</v>
      </c>
      <c r="T44" s="379">
        <v>63626400</v>
      </c>
      <c r="U44" s="371">
        <v>1023641.1137456774</v>
      </c>
      <c r="V44" s="371">
        <v>0</v>
      </c>
      <c r="W44" s="372">
        <v>3540997.8046224518</v>
      </c>
      <c r="X44" s="41"/>
      <c r="Y44" s="365">
        <v>0</v>
      </c>
      <c r="Z44" s="370">
        <v>0</v>
      </c>
      <c r="AA44" s="370">
        <v>0</v>
      </c>
      <c r="AB44" s="375">
        <v>3540997.8046224518</v>
      </c>
      <c r="AC44" s="41"/>
      <c r="AD44" s="449">
        <v>0</v>
      </c>
      <c r="AE44" s="365">
        <v>78532.998053158546</v>
      </c>
      <c r="AF44" s="375">
        <v>3462464.8065692931</v>
      </c>
      <c r="AH44" s="365">
        <v>117950.71724275</v>
      </c>
      <c r="AI44" s="370">
        <v>117950.71724275</v>
      </c>
      <c r="AJ44" s="370">
        <v>0</v>
      </c>
      <c r="AK44" s="375">
        <v>3344514.0893265433</v>
      </c>
      <c r="AM44" s="365">
        <v>45511.990634699672</v>
      </c>
      <c r="AN44" s="370">
        <v>45511.990634699672</v>
      </c>
      <c r="AO44" s="370">
        <v>0</v>
      </c>
      <c r="AP44" s="375">
        <v>3299002.0986918435</v>
      </c>
      <c r="AR44" s="365">
        <v>0</v>
      </c>
      <c r="AS44" s="375">
        <v>2275360.9849461662</v>
      </c>
      <c r="AU44" s="378">
        <v>950000</v>
      </c>
      <c r="AV44" s="379">
        <v>950000</v>
      </c>
      <c r="AW44" s="380">
        <v>950000</v>
      </c>
      <c r="AX44" s="381">
        <v>1325360.9849461662</v>
      </c>
      <c r="AZ44" s="365">
        <v>0</v>
      </c>
      <c r="BA44" s="370">
        <v>0</v>
      </c>
      <c r="BB44" s="370">
        <v>0</v>
      </c>
      <c r="BC44" s="375">
        <v>1325360.9849461662</v>
      </c>
      <c r="BE44" s="365">
        <v>980776.24726469803</v>
      </c>
      <c r="BF44" s="370">
        <v>-42864.86648097937</v>
      </c>
      <c r="BG44" s="370">
        <v>980776.24726469803</v>
      </c>
      <c r="BH44" s="375">
        <v>1368225.8514271455</v>
      </c>
      <c r="BJ44" s="365">
        <v>1682062.1820000038</v>
      </c>
      <c r="BK44" s="370">
        <v>1368225.8514271455</v>
      </c>
      <c r="BL44" s="370">
        <v>313836.33057285822</v>
      </c>
      <c r="BM44" s="375">
        <v>0</v>
      </c>
      <c r="BO44" s="365">
        <v>866601.148652656</v>
      </c>
      <c r="BP44" s="370">
        <v>0</v>
      </c>
      <c r="BQ44" s="370">
        <v>866601.148652656</v>
      </c>
      <c r="BR44" s="375">
        <v>0</v>
      </c>
      <c r="BT44" s="365">
        <v>5716222.6796741839</v>
      </c>
      <c r="BU44" s="370">
        <v>0</v>
      </c>
      <c r="BV44" s="370">
        <v>5716222.6796741839</v>
      </c>
      <c r="BW44" s="375">
        <v>0</v>
      </c>
      <c r="BY44" s="365">
        <v>0</v>
      </c>
      <c r="BZ44" s="373">
        <v>0</v>
      </c>
      <c r="CA44" s="375">
        <v>0</v>
      </c>
      <c r="CC44" s="365">
        <v>1486176.5686698956</v>
      </c>
      <c r="CD44" s="375">
        <v>45511.990634699672</v>
      </c>
      <c r="CF44" s="365">
        <v>1368225.8514271453</v>
      </c>
      <c r="CG44" s="375">
        <v>0</v>
      </c>
      <c r="CI44" s="365">
        <v>0</v>
      </c>
      <c r="CJ44" s="375">
        <v>1531688.5593045952</v>
      </c>
    </row>
    <row r="45" spans="1:88" ht="15.6">
      <c r="A45" s="109" t="s">
        <v>365</v>
      </c>
      <c r="B45" s="261">
        <v>0</v>
      </c>
      <c r="G45" s="417">
        <v>41</v>
      </c>
      <c r="H45" s="251">
        <v>0</v>
      </c>
      <c r="I45" s="377">
        <v>1</v>
      </c>
      <c r="J45" s="368">
        <v>0</v>
      </c>
      <c r="K45" s="368">
        <v>4725033.5937058274</v>
      </c>
      <c r="L45" s="369">
        <v>2565950.849422588</v>
      </c>
      <c r="N45" s="367">
        <v>2159082.7442832394</v>
      </c>
      <c r="O45" s="370">
        <v>43811256.518399999</v>
      </c>
      <c r="P45" s="370">
        <v>8859755.5021000002</v>
      </c>
      <c r="Q45" s="370">
        <v>43866101.812193856</v>
      </c>
      <c r="R45" s="370">
        <v>9929888.865752656</v>
      </c>
      <c r="S45" s="370">
        <v>5716222.6796741839</v>
      </c>
      <c r="T45" s="379">
        <v>63626400</v>
      </c>
      <c r="U45" s="371">
        <v>982410.87434347253</v>
      </c>
      <c r="V45" s="371">
        <v>951583.33333333337</v>
      </c>
      <c r="W45" s="372">
        <v>4093076.9519600454</v>
      </c>
      <c r="X45" s="41"/>
      <c r="Y45" s="365">
        <v>0</v>
      </c>
      <c r="Z45" s="370">
        <v>0</v>
      </c>
      <c r="AA45" s="370">
        <v>0</v>
      </c>
      <c r="AB45" s="375">
        <v>4093076.9519600454</v>
      </c>
      <c r="AC45" s="41"/>
      <c r="AD45" s="449">
        <v>0</v>
      </c>
      <c r="AE45" s="365">
        <v>76822.715738874613</v>
      </c>
      <c r="AF45" s="375">
        <v>3064670.9028878375</v>
      </c>
      <c r="AH45" s="365">
        <v>114530.15261418214</v>
      </c>
      <c r="AI45" s="370">
        <v>114530.15261418214</v>
      </c>
      <c r="AJ45" s="370">
        <v>0</v>
      </c>
      <c r="AK45" s="375">
        <v>2950140.7502736552</v>
      </c>
      <c r="AM45" s="365">
        <v>45511.990634699672</v>
      </c>
      <c r="AN45" s="370">
        <v>45511.990634699672</v>
      </c>
      <c r="AO45" s="370">
        <v>0</v>
      </c>
      <c r="AP45" s="375">
        <v>2904628.7596389554</v>
      </c>
      <c r="AR45" s="365">
        <v>0</v>
      </c>
      <c r="AS45" s="375">
        <v>1922217.8852954828</v>
      </c>
      <c r="AU45" s="378">
        <v>950000</v>
      </c>
      <c r="AV45" s="379">
        <v>-1583.3333333333721</v>
      </c>
      <c r="AW45" s="380">
        <v>950000</v>
      </c>
      <c r="AX45" s="381">
        <v>1923801.2186288163</v>
      </c>
      <c r="AZ45" s="365">
        <v>0</v>
      </c>
      <c r="BA45" s="370">
        <v>0</v>
      </c>
      <c r="BB45" s="370">
        <v>0</v>
      </c>
      <c r="BC45" s="375">
        <v>1923801.2186288163</v>
      </c>
      <c r="BE45" s="365">
        <v>960252.85949329089</v>
      </c>
      <c r="BF45" s="370">
        <v>-22158.014850181644</v>
      </c>
      <c r="BG45" s="370">
        <v>960252.85949329089</v>
      </c>
      <c r="BH45" s="375">
        <v>1945959.2334789978</v>
      </c>
      <c r="BJ45" s="365">
        <v>2000804.5272728577</v>
      </c>
      <c r="BK45" s="370">
        <v>1945959.2334789978</v>
      </c>
      <c r="BL45" s="370">
        <v>54845.293793859892</v>
      </c>
      <c r="BM45" s="375">
        <v>0</v>
      </c>
      <c r="BO45" s="365">
        <v>1070133.3636526559</v>
      </c>
      <c r="BP45" s="370">
        <v>0</v>
      </c>
      <c r="BQ45" s="370">
        <v>1070133.3636526559</v>
      </c>
      <c r="BR45" s="375">
        <v>0</v>
      </c>
      <c r="BT45" s="365">
        <v>5716222.6796741839</v>
      </c>
      <c r="BU45" s="370">
        <v>0</v>
      </c>
      <c r="BV45" s="370">
        <v>5716222.6796741839</v>
      </c>
      <c r="BW45" s="375">
        <v>0</v>
      </c>
      <c r="BY45" s="365">
        <v>0</v>
      </c>
      <c r="BZ45" s="373">
        <v>0</v>
      </c>
      <c r="CA45" s="375">
        <v>0</v>
      </c>
      <c r="CC45" s="365">
        <v>2060489.3860931799</v>
      </c>
      <c r="CD45" s="375">
        <v>45511.990634699672</v>
      </c>
      <c r="CF45" s="365">
        <v>1945959.2334790006</v>
      </c>
      <c r="CG45" s="375">
        <v>0</v>
      </c>
      <c r="CI45" s="365">
        <v>0</v>
      </c>
      <c r="CJ45" s="375">
        <v>2106001.3767278795</v>
      </c>
    </row>
    <row r="46" spans="1:88" ht="15.6">
      <c r="A46" s="110" t="s">
        <v>366</v>
      </c>
      <c r="B46" s="262">
        <v>0</v>
      </c>
      <c r="C46" s="41"/>
      <c r="G46" s="417">
        <v>42</v>
      </c>
      <c r="H46" s="251">
        <v>0</v>
      </c>
      <c r="I46" s="377">
        <v>0</v>
      </c>
      <c r="J46" s="368">
        <v>0</v>
      </c>
      <c r="K46" s="368">
        <v>5084578.6823008992</v>
      </c>
      <c r="L46" s="369">
        <v>2567380.8884769236</v>
      </c>
      <c r="N46" s="367">
        <v>2517197.7938239756</v>
      </c>
      <c r="O46" s="370">
        <v>42119367.997699998</v>
      </c>
      <c r="P46" s="370">
        <v>8655120.8209000006</v>
      </c>
      <c r="Q46" s="370">
        <v>42119367.997699998</v>
      </c>
      <c r="R46" s="370">
        <v>9356619.2550167404</v>
      </c>
      <c r="S46" s="370">
        <v>5716222.6796741839</v>
      </c>
      <c r="T46" s="379">
        <v>63626400</v>
      </c>
      <c r="U46" s="371">
        <v>961853.28092577972</v>
      </c>
      <c r="V46" s="371">
        <v>951583.33333333337</v>
      </c>
      <c r="W46" s="372">
        <v>4430634.4080830887</v>
      </c>
      <c r="X46" s="41"/>
      <c r="Y46" s="365">
        <v>0</v>
      </c>
      <c r="Z46" s="370">
        <v>0</v>
      </c>
      <c r="AA46" s="370">
        <v>0</v>
      </c>
      <c r="AB46" s="375">
        <v>4430634.4080830887</v>
      </c>
      <c r="AC46" s="41"/>
      <c r="AD46" s="449">
        <v>0</v>
      </c>
      <c r="AE46" s="365">
        <v>74390.266697025872</v>
      </c>
      <c r="AF46" s="375">
        <v>3404660.8080527293</v>
      </c>
      <c r="AH46" s="365">
        <v>109665.25453048463</v>
      </c>
      <c r="AI46" s="370">
        <v>109665.25453048463</v>
      </c>
      <c r="AJ46" s="370">
        <v>0</v>
      </c>
      <c r="AK46" s="375">
        <v>3294995.5535222446</v>
      </c>
      <c r="AM46" s="365">
        <v>45511.990634699672</v>
      </c>
      <c r="AN46" s="370">
        <v>45511.990634699672</v>
      </c>
      <c r="AO46" s="370">
        <v>0</v>
      </c>
      <c r="AP46" s="375">
        <v>3249483.5628875447</v>
      </c>
      <c r="AR46" s="365">
        <v>0</v>
      </c>
      <c r="AS46" s="375">
        <v>2287630.2819617651</v>
      </c>
      <c r="AU46" s="378">
        <v>950000</v>
      </c>
      <c r="AV46" s="379">
        <v>-1583.3333333333721</v>
      </c>
      <c r="AW46" s="380">
        <v>950000</v>
      </c>
      <c r="AX46" s="381">
        <v>2289213.6152950986</v>
      </c>
      <c r="AZ46" s="365">
        <v>0</v>
      </c>
      <c r="BA46" s="370">
        <v>0</v>
      </c>
      <c r="BB46" s="370">
        <v>0</v>
      </c>
      <c r="BC46" s="375">
        <v>2289213.6152950986</v>
      </c>
      <c r="BE46" s="365">
        <v>931063.47099110589</v>
      </c>
      <c r="BF46" s="370">
        <v>-30789.809934673831</v>
      </c>
      <c r="BG46" s="370">
        <v>931063.47099110589</v>
      </c>
      <c r="BH46" s="375">
        <v>2320003.4252297725</v>
      </c>
      <c r="BJ46" s="365">
        <v>1746733.8144938573</v>
      </c>
      <c r="BK46" s="370">
        <v>1746733.8144938573</v>
      </c>
      <c r="BL46" s="370">
        <v>0</v>
      </c>
      <c r="BM46" s="375">
        <v>573269.61073591514</v>
      </c>
      <c r="BO46" s="365">
        <v>1274768.0448526554</v>
      </c>
      <c r="BP46" s="370">
        <v>573269.61073591514</v>
      </c>
      <c r="BQ46" s="370">
        <v>701498.43411674025</v>
      </c>
      <c r="BR46" s="375">
        <v>0</v>
      </c>
      <c r="BT46" s="365">
        <v>5716222.6796741839</v>
      </c>
      <c r="BU46" s="370">
        <v>0</v>
      </c>
      <c r="BV46" s="370">
        <v>5716222.6796741839</v>
      </c>
      <c r="BW46" s="375">
        <v>0</v>
      </c>
      <c r="BY46" s="365">
        <v>0</v>
      </c>
      <c r="BZ46" s="373">
        <v>0</v>
      </c>
      <c r="CA46" s="375">
        <v>0</v>
      </c>
      <c r="CC46" s="365">
        <v>1856399.0690243419</v>
      </c>
      <c r="CD46" s="375">
        <v>618781.60137061484</v>
      </c>
      <c r="CF46" s="365">
        <v>1746733.8144938573</v>
      </c>
      <c r="CG46" s="375">
        <v>573269.6107359156</v>
      </c>
      <c r="CI46" s="365">
        <v>0</v>
      </c>
      <c r="CJ46" s="375">
        <v>2475180.6703949566</v>
      </c>
    </row>
    <row r="47" spans="1:88" ht="15.6">
      <c r="A47" s="110" t="s">
        <v>363</v>
      </c>
      <c r="B47" s="263">
        <v>0</v>
      </c>
      <c r="C47" s="41"/>
      <c r="G47" s="417">
        <v>43</v>
      </c>
      <c r="H47" s="251">
        <v>0</v>
      </c>
      <c r="I47" s="377">
        <v>0</v>
      </c>
      <c r="J47" s="368">
        <v>0</v>
      </c>
      <c r="K47" s="368">
        <v>5084578.6823008992</v>
      </c>
      <c r="L47" s="369">
        <v>2568811.7245113333</v>
      </c>
      <c r="N47" s="367">
        <v>2515766.9577895659</v>
      </c>
      <c r="O47" s="370">
        <v>40422544.802299999</v>
      </c>
      <c r="P47" s="370">
        <v>8449377.7017999999</v>
      </c>
      <c r="Q47" s="370">
        <v>40422544.802299999</v>
      </c>
      <c r="R47" s="370">
        <v>8712247.6526581086</v>
      </c>
      <c r="S47" s="370">
        <v>5716222.6796741839</v>
      </c>
      <c r="T47" s="379">
        <v>63626400</v>
      </c>
      <c r="U47" s="371">
        <v>932615.24344275775</v>
      </c>
      <c r="V47" s="371">
        <v>951583.33333333337</v>
      </c>
      <c r="W47" s="372">
        <v>4399965.5345656574</v>
      </c>
      <c r="X47" s="41"/>
      <c r="Y47" s="365">
        <v>0</v>
      </c>
      <c r="Z47" s="370">
        <v>0</v>
      </c>
      <c r="AA47" s="370">
        <v>0</v>
      </c>
      <c r="AB47" s="375">
        <v>4399965.5345656574</v>
      </c>
      <c r="AC47" s="41"/>
      <c r="AD47" s="449">
        <v>0</v>
      </c>
      <c r="AE47" s="365">
        <v>71490.262415488643</v>
      </c>
      <c r="AF47" s="375">
        <v>3376891.9388168352</v>
      </c>
      <c r="AH47" s="365">
        <v>105298.41999425</v>
      </c>
      <c r="AI47" s="370">
        <v>105298.41999425</v>
      </c>
      <c r="AJ47" s="370">
        <v>0</v>
      </c>
      <c r="AK47" s="375">
        <v>3271593.5188225852</v>
      </c>
      <c r="AM47" s="365">
        <v>42884.504918826729</v>
      </c>
      <c r="AN47" s="370">
        <v>42884.504918826729</v>
      </c>
      <c r="AO47" s="370">
        <v>0</v>
      </c>
      <c r="AP47" s="375">
        <v>3228709.0139037585</v>
      </c>
      <c r="AR47" s="365">
        <v>0</v>
      </c>
      <c r="AS47" s="375">
        <v>2296093.7704610005</v>
      </c>
      <c r="AU47" s="378">
        <v>950000</v>
      </c>
      <c r="AV47" s="379">
        <v>-1583.3333333333721</v>
      </c>
      <c r="AW47" s="380">
        <v>950000</v>
      </c>
      <c r="AX47" s="381">
        <v>2297677.103794334</v>
      </c>
      <c r="AZ47" s="365">
        <v>0</v>
      </c>
      <c r="BA47" s="370">
        <v>0</v>
      </c>
      <c r="BB47" s="370">
        <v>0</v>
      </c>
      <c r="BC47" s="375">
        <v>2297677.103794334</v>
      </c>
      <c r="BE47" s="365">
        <v>889097.54947846034</v>
      </c>
      <c r="BF47" s="370">
        <v>-43517.693964297418</v>
      </c>
      <c r="BG47" s="370">
        <v>889097.54947846034</v>
      </c>
      <c r="BH47" s="375">
        <v>2341194.7977586314</v>
      </c>
      <c r="BJ47" s="365">
        <v>1696823.1953999996</v>
      </c>
      <c r="BK47" s="370">
        <v>1696823.1953999996</v>
      </c>
      <c r="BL47" s="370">
        <v>0</v>
      </c>
      <c r="BM47" s="375">
        <v>644371.60235863179</v>
      </c>
      <c r="BO47" s="365">
        <v>907241.55321674049</v>
      </c>
      <c r="BP47" s="370">
        <v>644371.60235863179</v>
      </c>
      <c r="BQ47" s="370">
        <v>262869.9508581087</v>
      </c>
      <c r="BR47" s="375">
        <v>0</v>
      </c>
      <c r="BT47" s="365">
        <v>5716222.6796741839</v>
      </c>
      <c r="BU47" s="370">
        <v>0</v>
      </c>
      <c r="BV47" s="370">
        <v>5716222.6796741839</v>
      </c>
      <c r="BW47" s="375">
        <v>0</v>
      </c>
      <c r="BY47" s="365">
        <v>0</v>
      </c>
      <c r="BZ47" s="373">
        <v>0</v>
      </c>
      <c r="CA47" s="375">
        <v>0</v>
      </c>
      <c r="CC47" s="365">
        <v>1802121.6153942496</v>
      </c>
      <c r="CD47" s="375">
        <v>687256.10727745853</v>
      </c>
      <c r="CF47" s="365">
        <v>1696823.1953999996</v>
      </c>
      <c r="CG47" s="375">
        <v>644371.60235863179</v>
      </c>
      <c r="CI47" s="365">
        <v>0</v>
      </c>
      <c r="CJ47" s="375">
        <v>2489377.7226717081</v>
      </c>
    </row>
    <row r="48" spans="1:88" ht="15.6">
      <c r="A48" s="111" t="s">
        <v>364</v>
      </c>
      <c r="B48" s="264">
        <v>0</v>
      </c>
      <c r="G48" s="417">
        <v>44</v>
      </c>
      <c r="H48" s="251">
        <v>0</v>
      </c>
      <c r="I48" s="377">
        <v>1</v>
      </c>
      <c r="J48" s="368">
        <v>0</v>
      </c>
      <c r="K48" s="368">
        <v>4739578.6823008992</v>
      </c>
      <c r="L48" s="369">
        <v>2570243.3579699844</v>
      </c>
      <c r="N48" s="367">
        <v>2169335.3243309148</v>
      </c>
      <c r="O48" s="370">
        <v>38720772.539099999</v>
      </c>
      <c r="P48" s="370">
        <v>8242520.1409</v>
      </c>
      <c r="Q48" s="370">
        <v>38720772.539099999</v>
      </c>
      <c r="R48" s="370">
        <v>8407998.1279475912</v>
      </c>
      <c r="S48" s="370">
        <v>5716222.6796741839</v>
      </c>
      <c r="T48" s="379">
        <v>63626400</v>
      </c>
      <c r="U48" s="371">
        <v>890579.37872759113</v>
      </c>
      <c r="V48" s="371">
        <v>951583.33333333337</v>
      </c>
      <c r="W48" s="372">
        <v>4011498.0363918394</v>
      </c>
      <c r="X48" s="41"/>
      <c r="Y48" s="365">
        <v>950000</v>
      </c>
      <c r="Z48" s="370">
        <v>950000</v>
      </c>
      <c r="AA48" s="370">
        <v>0</v>
      </c>
      <c r="AB48" s="375">
        <v>3061498.0363918394</v>
      </c>
      <c r="AC48" s="41"/>
      <c r="AD48" s="449">
        <v>950000</v>
      </c>
      <c r="AE48" s="365">
        <v>68563.768918290356</v>
      </c>
      <c r="AF48" s="375">
        <v>2041350.9341402156</v>
      </c>
      <c r="AH48" s="365">
        <v>101056.36200574999</v>
      </c>
      <c r="AI48" s="370">
        <v>101056.36200574999</v>
      </c>
      <c r="AJ48" s="370">
        <v>0</v>
      </c>
      <c r="AK48" s="375">
        <v>1940294.5721344657</v>
      </c>
      <c r="AM48" s="365">
        <v>39931.135074682999</v>
      </c>
      <c r="AN48" s="370">
        <v>39931.135074682999</v>
      </c>
      <c r="AO48" s="370">
        <v>0</v>
      </c>
      <c r="AP48" s="375">
        <v>1900363.4370597827</v>
      </c>
      <c r="AR48" s="365">
        <v>0</v>
      </c>
      <c r="AS48" s="375">
        <v>1009784.0583321915</v>
      </c>
      <c r="AU48" s="378">
        <v>0</v>
      </c>
      <c r="AV48" s="379">
        <v>-951583.33333333337</v>
      </c>
      <c r="AW48" s="380">
        <v>0</v>
      </c>
      <c r="AX48" s="381">
        <v>1961367.3916655248</v>
      </c>
      <c r="AZ48" s="365">
        <v>0</v>
      </c>
      <c r="BA48" s="370">
        <v>0</v>
      </c>
      <c r="BB48" s="370">
        <v>0</v>
      </c>
      <c r="BC48" s="375">
        <v>1961367.3916655248</v>
      </c>
      <c r="BE48" s="365">
        <v>845924.98248259793</v>
      </c>
      <c r="BF48" s="370">
        <v>-44654.396244993201</v>
      </c>
      <c r="BG48" s="370">
        <v>845924.98248259793</v>
      </c>
      <c r="BH48" s="375">
        <v>2006021.787910518</v>
      </c>
      <c r="BJ48" s="365">
        <v>1701772.2631999999</v>
      </c>
      <c r="BK48" s="370">
        <v>1701772.2631999999</v>
      </c>
      <c r="BL48" s="370">
        <v>0</v>
      </c>
      <c r="BM48" s="375">
        <v>304249.52471051808</v>
      </c>
      <c r="BO48" s="365">
        <v>469727.51175810862</v>
      </c>
      <c r="BP48" s="370">
        <v>304249.52471051808</v>
      </c>
      <c r="BQ48" s="370">
        <v>165477.98704759055</v>
      </c>
      <c r="BR48" s="375">
        <v>0</v>
      </c>
      <c r="BT48" s="365">
        <v>5716222.6796741839</v>
      </c>
      <c r="BU48" s="370">
        <v>0</v>
      </c>
      <c r="BV48" s="370">
        <v>5716222.6796741839</v>
      </c>
      <c r="BW48" s="375">
        <v>0</v>
      </c>
      <c r="BY48" s="365">
        <v>0</v>
      </c>
      <c r="BZ48" s="373">
        <v>0</v>
      </c>
      <c r="CA48" s="375">
        <v>0</v>
      </c>
      <c r="CC48" s="365">
        <v>1802828.6252057499</v>
      </c>
      <c r="CD48" s="375">
        <v>344180.65978520107</v>
      </c>
      <c r="CF48" s="365">
        <v>1701772.2631999999</v>
      </c>
      <c r="CG48" s="375">
        <v>304249.52471051738</v>
      </c>
      <c r="CI48" s="365">
        <v>0</v>
      </c>
      <c r="CJ48" s="375">
        <v>2147009.284990951</v>
      </c>
    </row>
    <row r="49" spans="1:88" ht="15.6">
      <c r="A49" s="110" t="s">
        <v>283</v>
      </c>
      <c r="B49" s="112">
        <f>IFERROR(12*IRR(BW4:BW364,-1%),"Infinity")</f>
        <v>0.3244333229507097</v>
      </c>
      <c r="G49" s="417">
        <v>45</v>
      </c>
      <c r="H49" s="251">
        <v>0</v>
      </c>
      <c r="I49" s="377">
        <v>0</v>
      </c>
      <c r="J49" s="368">
        <v>0</v>
      </c>
      <c r="K49" s="368">
        <v>5091971.1767050764</v>
      </c>
      <c r="L49" s="369">
        <v>2571675.789297292</v>
      </c>
      <c r="N49" s="367">
        <v>2520295.3874077844</v>
      </c>
      <c r="O49" s="370">
        <v>37014036.773599997</v>
      </c>
      <c r="P49" s="370">
        <v>8034542.1014999999</v>
      </c>
      <c r="Q49" s="370">
        <v>37014036.773599997</v>
      </c>
      <c r="R49" s="370">
        <v>8034542.1014999999</v>
      </c>
      <c r="S49" s="370">
        <v>5442210.5944832284</v>
      </c>
      <c r="T49" s="379">
        <v>63626400</v>
      </c>
      <c r="U49" s="371">
        <v>847334.85745340225</v>
      </c>
      <c r="V49" s="371">
        <v>0</v>
      </c>
      <c r="W49" s="372">
        <v>3367630.2448611865</v>
      </c>
      <c r="X49" s="41"/>
      <c r="Y49" s="365">
        <v>0</v>
      </c>
      <c r="Z49" s="370">
        <v>0</v>
      </c>
      <c r="AA49" s="370">
        <v>0</v>
      </c>
      <c r="AB49" s="375">
        <v>3367630.2448611865</v>
      </c>
      <c r="AC49" s="41"/>
      <c r="AD49" s="449">
        <v>0</v>
      </c>
      <c r="AE49" s="365">
        <v>66056.241683402215</v>
      </c>
      <c r="AF49" s="375">
        <v>3301574.0031777844</v>
      </c>
      <c r="AH49" s="365">
        <v>96801.931347749996</v>
      </c>
      <c r="AI49" s="370">
        <v>96801.931347749996</v>
      </c>
      <c r="AJ49" s="370">
        <v>0</v>
      </c>
      <c r="AK49" s="375">
        <v>3204772.0718300343</v>
      </c>
      <c r="AM49" s="365">
        <v>38536.658086426462</v>
      </c>
      <c r="AN49" s="370">
        <v>38536.658086426462</v>
      </c>
      <c r="AO49" s="370">
        <v>0</v>
      </c>
      <c r="AP49" s="375">
        <v>3166235.4137436077</v>
      </c>
      <c r="AR49" s="365">
        <v>0</v>
      </c>
      <c r="AS49" s="375">
        <v>2318900.5562902056</v>
      </c>
      <c r="AU49" s="378">
        <v>0</v>
      </c>
      <c r="AV49" s="379">
        <v>0</v>
      </c>
      <c r="AW49" s="380">
        <v>0</v>
      </c>
      <c r="AX49" s="381">
        <v>2318900.5562902056</v>
      </c>
      <c r="AZ49" s="365">
        <v>0</v>
      </c>
      <c r="BA49" s="370">
        <v>0</v>
      </c>
      <c r="BB49" s="370">
        <v>0</v>
      </c>
      <c r="BC49" s="375">
        <v>2318900.5562902056</v>
      </c>
      <c r="BE49" s="365">
        <v>812031.5366050587</v>
      </c>
      <c r="BF49" s="370">
        <v>-35303.320848343545</v>
      </c>
      <c r="BG49" s="370">
        <v>812031.5366050587</v>
      </c>
      <c r="BH49" s="375">
        <v>2354203.877138549</v>
      </c>
      <c r="BJ49" s="365">
        <v>1706735.7655000016</v>
      </c>
      <c r="BK49" s="370">
        <v>1706735.7655000016</v>
      </c>
      <c r="BL49" s="370">
        <v>0</v>
      </c>
      <c r="BM49" s="375">
        <v>647468.11163854739</v>
      </c>
      <c r="BO49" s="365">
        <v>373456.02644759137</v>
      </c>
      <c r="BP49" s="370">
        <v>373456.02644759137</v>
      </c>
      <c r="BQ49" s="370">
        <v>0</v>
      </c>
      <c r="BR49" s="375">
        <v>274012.08519095602</v>
      </c>
      <c r="BT49" s="365">
        <v>5716222.6796741839</v>
      </c>
      <c r="BU49" s="370">
        <v>274012.08519095602</v>
      </c>
      <c r="BV49" s="370">
        <v>5442210.5944832284</v>
      </c>
      <c r="BW49" s="375">
        <v>0</v>
      </c>
      <c r="BY49" s="365">
        <v>0</v>
      </c>
      <c r="BZ49" s="373">
        <v>0</v>
      </c>
      <c r="CA49" s="375">
        <v>0</v>
      </c>
      <c r="CC49" s="365">
        <v>1803537.6968477515</v>
      </c>
      <c r="CD49" s="375">
        <v>411992.68453401781</v>
      </c>
      <c r="CF49" s="365">
        <v>1706735.7655000016</v>
      </c>
      <c r="CG49" s="375">
        <v>373456.02644759137</v>
      </c>
      <c r="CI49" s="365">
        <v>0</v>
      </c>
      <c r="CJ49" s="375">
        <v>2489542.4665727257</v>
      </c>
    </row>
    <row r="50" spans="1:88" ht="15.6">
      <c r="A50" s="110" t="s">
        <v>284</v>
      </c>
      <c r="B50" s="113">
        <v>6.7400000000000002E-2</v>
      </c>
      <c r="G50" s="417">
        <v>46</v>
      </c>
      <c r="H50" s="251">
        <v>0</v>
      </c>
      <c r="I50" s="377">
        <v>0</v>
      </c>
      <c r="J50" s="368">
        <v>0</v>
      </c>
      <c r="K50" s="368">
        <v>5091971.1767050764</v>
      </c>
      <c r="L50" s="369">
        <v>2573109.0189379198</v>
      </c>
      <c r="N50" s="367">
        <v>2518862.1577671566</v>
      </c>
      <c r="O50" s="370">
        <v>35302323.028700002</v>
      </c>
      <c r="P50" s="370">
        <v>7825437.5142999999</v>
      </c>
      <c r="Q50" s="370">
        <v>36250423.716131546</v>
      </c>
      <c r="R50" s="370">
        <v>8034542.1014999999</v>
      </c>
      <c r="S50" s="370">
        <v>5442210.5944832284</v>
      </c>
      <c r="T50" s="379">
        <v>63626400</v>
      </c>
      <c r="U50" s="371">
        <v>813384.92249940045</v>
      </c>
      <c r="V50" s="371">
        <v>0</v>
      </c>
      <c r="W50" s="372">
        <v>3332247.0802665572</v>
      </c>
      <c r="X50" s="41"/>
      <c r="Y50" s="365">
        <v>0</v>
      </c>
      <c r="Z50" s="370">
        <v>0</v>
      </c>
      <c r="AA50" s="370">
        <v>0</v>
      </c>
      <c r="AB50" s="375">
        <v>3332247.0802665572</v>
      </c>
      <c r="AC50" s="41"/>
      <c r="AD50" s="449">
        <v>0</v>
      </c>
      <c r="AE50" s="365">
        <v>63113.486836979027</v>
      </c>
      <c r="AF50" s="375">
        <v>3269133.593429578</v>
      </c>
      <c r="AH50" s="365">
        <v>92535.091933999996</v>
      </c>
      <c r="AI50" s="370">
        <v>92535.091933999996</v>
      </c>
      <c r="AJ50" s="370">
        <v>0</v>
      </c>
      <c r="AK50" s="375">
        <v>3176598.5014955779</v>
      </c>
      <c r="AM50" s="365">
        <v>36824.984631874999</v>
      </c>
      <c r="AN50" s="370">
        <v>36824.984631874999</v>
      </c>
      <c r="AO50" s="370">
        <v>0</v>
      </c>
      <c r="AP50" s="375">
        <v>3139773.5168637028</v>
      </c>
      <c r="AR50" s="365">
        <v>0</v>
      </c>
      <c r="AS50" s="375">
        <v>2326388.5943643022</v>
      </c>
      <c r="AU50" s="378">
        <v>1600000</v>
      </c>
      <c r="AV50" s="379">
        <v>1600000</v>
      </c>
      <c r="AW50" s="380">
        <v>1600000</v>
      </c>
      <c r="AX50" s="381">
        <v>726388.59436430223</v>
      </c>
      <c r="AZ50" s="365">
        <v>0</v>
      </c>
      <c r="BA50" s="370">
        <v>0</v>
      </c>
      <c r="BB50" s="370">
        <v>0</v>
      </c>
      <c r="BC50" s="375">
        <v>726388.59436430223</v>
      </c>
      <c r="BE50" s="365">
        <v>776160.45939524996</v>
      </c>
      <c r="BF50" s="370">
        <v>-37224.463104150491</v>
      </c>
      <c r="BG50" s="370">
        <v>776160.45939524996</v>
      </c>
      <c r="BH50" s="375">
        <v>763613.05746845272</v>
      </c>
      <c r="BJ50" s="365">
        <v>1711713.7448999956</v>
      </c>
      <c r="BK50" s="370">
        <v>763613.05746845272</v>
      </c>
      <c r="BL50" s="370">
        <v>948100.6874315429</v>
      </c>
      <c r="BM50" s="375">
        <v>0</v>
      </c>
      <c r="BO50" s="365">
        <v>209104.58719999995</v>
      </c>
      <c r="BP50" s="370">
        <v>0</v>
      </c>
      <c r="BQ50" s="370">
        <v>209104.58719999995</v>
      </c>
      <c r="BR50" s="375">
        <v>0</v>
      </c>
      <c r="BT50" s="365">
        <v>5442210.5944832284</v>
      </c>
      <c r="BU50" s="370">
        <v>0</v>
      </c>
      <c r="BV50" s="370">
        <v>5442210.5944832284</v>
      </c>
      <c r="BW50" s="375">
        <v>0</v>
      </c>
      <c r="BY50" s="365">
        <v>0</v>
      </c>
      <c r="BZ50" s="373">
        <v>0</v>
      </c>
      <c r="CA50" s="375">
        <v>0</v>
      </c>
      <c r="CC50" s="365">
        <v>856148.14940245275</v>
      </c>
      <c r="CD50" s="375">
        <v>36824.984631874999</v>
      </c>
      <c r="CF50" s="365">
        <v>763613.05746845156</v>
      </c>
      <c r="CG50" s="375">
        <v>0</v>
      </c>
      <c r="CI50" s="365">
        <v>0</v>
      </c>
      <c r="CJ50" s="375">
        <v>892973.1340343277</v>
      </c>
    </row>
    <row r="51" spans="1:88" ht="15.6">
      <c r="A51" s="110"/>
      <c r="B51" s="114"/>
      <c r="G51" s="417">
        <v>47</v>
      </c>
      <c r="H51" s="251">
        <v>0</v>
      </c>
      <c r="I51" s="377">
        <v>5</v>
      </c>
      <c r="J51" s="368">
        <v>0</v>
      </c>
      <c r="K51" s="368">
        <v>3487078.6823008992</v>
      </c>
      <c r="L51" s="369">
        <v>2574543.0473367772</v>
      </c>
      <c r="N51" s="367">
        <v>912535.63496412197</v>
      </c>
      <c r="O51" s="370">
        <v>33585616.785400003</v>
      </c>
      <c r="P51" s="370">
        <v>7615200.2774</v>
      </c>
      <c r="Q51" s="370">
        <v>35512083.63231042</v>
      </c>
      <c r="R51" s="370">
        <v>8034542.1014999999</v>
      </c>
      <c r="S51" s="370">
        <v>5442210.5944832284</v>
      </c>
      <c r="T51" s="379">
        <v>63626400</v>
      </c>
      <c r="U51" s="371">
        <v>777454.06016090873</v>
      </c>
      <c r="V51" s="371">
        <v>1602666.6666666667</v>
      </c>
      <c r="W51" s="372">
        <v>3292656.3617916973</v>
      </c>
      <c r="X51" s="41"/>
      <c r="Y51" s="365">
        <v>0</v>
      </c>
      <c r="Z51" s="370">
        <v>0</v>
      </c>
      <c r="AA51" s="370">
        <v>0</v>
      </c>
      <c r="AB51" s="375">
        <v>3292656.3617916973</v>
      </c>
      <c r="AC51" s="41"/>
      <c r="AD51" s="449">
        <v>0</v>
      </c>
      <c r="AE51" s="365">
        <v>62158.970515143468</v>
      </c>
      <c r="AF51" s="375">
        <v>1627830.7246098872</v>
      </c>
      <c r="AH51" s="365">
        <v>90626.059290328863</v>
      </c>
      <c r="AI51" s="370">
        <v>90626.059290328863</v>
      </c>
      <c r="AJ51" s="370">
        <v>0</v>
      </c>
      <c r="AK51" s="375">
        <v>1537204.6653195585</v>
      </c>
      <c r="AM51" s="365">
        <v>36824.984631874999</v>
      </c>
      <c r="AN51" s="370">
        <v>36824.984631874999</v>
      </c>
      <c r="AO51" s="370">
        <v>0</v>
      </c>
      <c r="AP51" s="375">
        <v>1500379.6806876834</v>
      </c>
      <c r="AR51" s="365">
        <v>0</v>
      </c>
      <c r="AS51" s="375">
        <v>722925.62052677467</v>
      </c>
      <c r="AU51" s="378">
        <v>1600000</v>
      </c>
      <c r="AV51" s="379">
        <v>-2666.6666666667443</v>
      </c>
      <c r="AW51" s="380">
        <v>1600000</v>
      </c>
      <c r="AX51" s="381">
        <v>725592.28719344141</v>
      </c>
      <c r="AZ51" s="365">
        <v>0</v>
      </c>
      <c r="BA51" s="370">
        <v>0</v>
      </c>
      <c r="BB51" s="370">
        <v>0</v>
      </c>
      <c r="BC51" s="375">
        <v>725592.28719344141</v>
      </c>
      <c r="BE51" s="365">
        <v>764706.26353322319</v>
      </c>
      <c r="BF51" s="370">
        <v>-12747.796627685544</v>
      </c>
      <c r="BG51" s="370">
        <v>764706.26353322319</v>
      </c>
      <c r="BH51" s="375">
        <v>738340.08382112696</v>
      </c>
      <c r="BJ51" s="365">
        <v>2664806.9307315424</v>
      </c>
      <c r="BK51" s="370">
        <v>738340.08382112696</v>
      </c>
      <c r="BL51" s="370">
        <v>1926466.8469104155</v>
      </c>
      <c r="BM51" s="375">
        <v>0</v>
      </c>
      <c r="BO51" s="365">
        <v>419341.82409999985</v>
      </c>
      <c r="BP51" s="370">
        <v>0</v>
      </c>
      <c r="BQ51" s="370">
        <v>419341.82409999985</v>
      </c>
      <c r="BR51" s="375">
        <v>0</v>
      </c>
      <c r="BT51" s="365">
        <v>5442210.5944832284</v>
      </c>
      <c r="BU51" s="370">
        <v>0</v>
      </c>
      <c r="BV51" s="370">
        <v>5442210.5944832284</v>
      </c>
      <c r="BW51" s="375">
        <v>0</v>
      </c>
      <c r="BY51" s="365">
        <v>0</v>
      </c>
      <c r="BZ51" s="373">
        <v>0</v>
      </c>
      <c r="CA51" s="375">
        <v>0</v>
      </c>
      <c r="CC51" s="365">
        <v>828966.14311145584</v>
      </c>
      <c r="CD51" s="375">
        <v>36824.984631874999</v>
      </c>
      <c r="CF51" s="365">
        <v>738340.08382112533</v>
      </c>
      <c r="CG51" s="375">
        <v>0</v>
      </c>
      <c r="CI51" s="365">
        <v>0</v>
      </c>
      <c r="CJ51" s="375">
        <v>865791.12774333078</v>
      </c>
    </row>
    <row r="52" spans="1:88" ht="15.6">
      <c r="A52" s="110" t="s">
        <v>285</v>
      </c>
      <c r="B52" s="265">
        <v>35.1517253105458</v>
      </c>
      <c r="G52" s="417">
        <v>48</v>
      </c>
      <c r="H52" s="251">
        <v>0</v>
      </c>
      <c r="I52" s="377">
        <v>1</v>
      </c>
      <c r="J52" s="368">
        <v>0</v>
      </c>
      <c r="K52" s="368">
        <v>4794636.9247823432</v>
      </c>
      <c r="L52" s="369">
        <v>2575977.8749390244</v>
      </c>
      <c r="N52" s="367">
        <v>2218659.0498433188</v>
      </c>
      <c r="O52" s="370">
        <v>31863903.4822</v>
      </c>
      <c r="P52" s="370">
        <v>7403824.2554000001</v>
      </c>
      <c r="Q52" s="370">
        <v>33465249.543226913</v>
      </c>
      <c r="R52" s="370">
        <v>8034542.1014999999</v>
      </c>
      <c r="S52" s="370">
        <v>5442210.5944832284</v>
      </c>
      <c r="T52" s="379">
        <v>63626400</v>
      </c>
      <c r="U52" s="371">
        <v>765980.77397244528</v>
      </c>
      <c r="V52" s="371">
        <v>1602666.6666666667</v>
      </c>
      <c r="W52" s="372">
        <v>4587306.4904824309</v>
      </c>
      <c r="X52" s="41"/>
      <c r="Y52" s="365">
        <v>0</v>
      </c>
      <c r="Z52" s="370">
        <v>0</v>
      </c>
      <c r="AA52" s="370">
        <v>0</v>
      </c>
      <c r="AB52" s="375">
        <v>4587306.4904824309</v>
      </c>
      <c r="AC52" s="41"/>
      <c r="AD52" s="449">
        <v>0</v>
      </c>
      <c r="AE52" s="365">
        <v>61236.045410367056</v>
      </c>
      <c r="AF52" s="375">
        <v>2923403.7784053967</v>
      </c>
      <c r="AH52" s="365">
        <v>88780.209080776054</v>
      </c>
      <c r="AI52" s="370">
        <v>88780.209080776054</v>
      </c>
      <c r="AJ52" s="370">
        <v>0</v>
      </c>
      <c r="AK52" s="375">
        <v>2834623.5693246205</v>
      </c>
      <c r="AM52" s="365">
        <v>36824.984631874999</v>
      </c>
      <c r="AN52" s="370">
        <v>36824.984631874999</v>
      </c>
      <c r="AO52" s="370">
        <v>0</v>
      </c>
      <c r="AP52" s="375">
        <v>2797798.5846927455</v>
      </c>
      <c r="AR52" s="365">
        <v>0</v>
      </c>
      <c r="AS52" s="375">
        <v>2031817.8107203003</v>
      </c>
      <c r="AU52" s="378">
        <v>1600000</v>
      </c>
      <c r="AV52" s="379">
        <v>-2666.6666666667443</v>
      </c>
      <c r="AW52" s="380">
        <v>1600000</v>
      </c>
      <c r="AX52" s="381">
        <v>2034484.477386967</v>
      </c>
      <c r="AZ52" s="365">
        <v>0</v>
      </c>
      <c r="BA52" s="370">
        <v>0</v>
      </c>
      <c r="BB52" s="370">
        <v>0</v>
      </c>
      <c r="BC52" s="375">
        <v>2034484.477386967</v>
      </c>
      <c r="BE52" s="365">
        <v>753631.1622759063</v>
      </c>
      <c r="BF52" s="370">
        <v>-12349.611696538981</v>
      </c>
      <c r="BG52" s="370">
        <v>753631.1622759063</v>
      </c>
      <c r="BH52" s="375">
        <v>2046834.089083506</v>
      </c>
      <c r="BJ52" s="365">
        <v>3648180.1501104198</v>
      </c>
      <c r="BK52" s="370">
        <v>2046834.089083506</v>
      </c>
      <c r="BL52" s="370">
        <v>1601346.0610269138</v>
      </c>
      <c r="BM52" s="375">
        <v>0</v>
      </c>
      <c r="BO52" s="365">
        <v>630717.84609999973</v>
      </c>
      <c r="BP52" s="370">
        <v>0</v>
      </c>
      <c r="BQ52" s="370">
        <v>630717.84609999973</v>
      </c>
      <c r="BR52" s="375">
        <v>0</v>
      </c>
      <c r="BT52" s="365">
        <v>5442210.5944832284</v>
      </c>
      <c r="BU52" s="370">
        <v>0</v>
      </c>
      <c r="BV52" s="370">
        <v>5442210.5944832284</v>
      </c>
      <c r="BW52" s="375">
        <v>0</v>
      </c>
      <c r="BY52" s="365">
        <v>0</v>
      </c>
      <c r="BZ52" s="373">
        <v>0</v>
      </c>
      <c r="CA52" s="375">
        <v>0</v>
      </c>
      <c r="CC52" s="365">
        <v>2135614.298164282</v>
      </c>
      <c r="CD52" s="375">
        <v>36824.984631874999</v>
      </c>
      <c r="CF52" s="365">
        <v>2046834.0890835077</v>
      </c>
      <c r="CG52" s="375">
        <v>0</v>
      </c>
      <c r="CI52" s="365">
        <v>0</v>
      </c>
      <c r="CJ52" s="375">
        <v>2172439.2827961571</v>
      </c>
    </row>
    <row r="53" spans="1:88" ht="15.6">
      <c r="A53" s="111" t="s">
        <v>286</v>
      </c>
      <c r="B53" s="268">
        <v>47.879930225584047</v>
      </c>
      <c r="D53" s="41"/>
      <c r="G53" s="417">
        <v>49</v>
      </c>
      <c r="H53" s="251">
        <v>0</v>
      </c>
      <c r="I53" s="377">
        <v>0</v>
      </c>
      <c r="J53" s="368">
        <v>0</v>
      </c>
      <c r="K53" s="368">
        <v>5124668.003233375</v>
      </c>
      <c r="L53" s="369">
        <v>2577413.5021900674</v>
      </c>
      <c r="N53" s="367">
        <v>2547254.5010433076</v>
      </c>
      <c r="O53" s="370">
        <v>30137168.5152</v>
      </c>
      <c r="P53" s="370">
        <v>7191303.2799000004</v>
      </c>
      <c r="Q53" s="370">
        <v>31062535.423532516</v>
      </c>
      <c r="R53" s="370">
        <v>8034542.1014999999</v>
      </c>
      <c r="S53" s="370">
        <v>5442210.5944832284</v>
      </c>
      <c r="T53" s="379">
        <v>63626400</v>
      </c>
      <c r="U53" s="371">
        <v>754887.21421303286</v>
      </c>
      <c r="V53" s="371">
        <v>1602666.6666666667</v>
      </c>
      <c r="W53" s="372">
        <v>4904808.3819230068</v>
      </c>
      <c r="X53" s="41"/>
      <c r="Y53" s="365">
        <v>0</v>
      </c>
      <c r="Z53" s="370">
        <v>0</v>
      </c>
      <c r="AA53" s="370">
        <v>0</v>
      </c>
      <c r="AB53" s="375">
        <v>4904808.3819230068</v>
      </c>
      <c r="AC53" s="41"/>
      <c r="AD53" s="449">
        <v>0</v>
      </c>
      <c r="AE53" s="365">
        <v>58677.502799012676</v>
      </c>
      <c r="AF53" s="375">
        <v>3243464.2124573272</v>
      </c>
      <c r="AH53" s="365">
        <v>83663.12385806728</v>
      </c>
      <c r="AI53" s="370">
        <v>83663.12385806728</v>
      </c>
      <c r="AJ53" s="370">
        <v>0</v>
      </c>
      <c r="AK53" s="375">
        <v>3159801.08859926</v>
      </c>
      <c r="AM53" s="365">
        <v>36824.984631874999</v>
      </c>
      <c r="AN53" s="370">
        <v>36824.984631874999</v>
      </c>
      <c r="AO53" s="370">
        <v>0</v>
      </c>
      <c r="AP53" s="375">
        <v>3122976.1039673849</v>
      </c>
      <c r="AR53" s="365">
        <v>0</v>
      </c>
      <c r="AS53" s="375">
        <v>2368088.8897543522</v>
      </c>
      <c r="AU53" s="378">
        <v>1600000</v>
      </c>
      <c r="AV53" s="379">
        <v>-2666.6666666667443</v>
      </c>
      <c r="AW53" s="380">
        <v>1600000</v>
      </c>
      <c r="AX53" s="381">
        <v>2370755.5564210191</v>
      </c>
      <c r="AZ53" s="365">
        <v>0</v>
      </c>
      <c r="BA53" s="370">
        <v>0</v>
      </c>
      <c r="BB53" s="370">
        <v>0</v>
      </c>
      <c r="BC53" s="375">
        <v>2370755.5564210191</v>
      </c>
      <c r="BE53" s="365">
        <v>722928.65093965363</v>
      </c>
      <c r="BF53" s="370">
        <v>-31958.56327337923</v>
      </c>
      <c r="BG53" s="370">
        <v>722928.65093965363</v>
      </c>
      <c r="BH53" s="375">
        <v>2402714.1196943983</v>
      </c>
      <c r="BJ53" s="365">
        <v>3328081.0280269124</v>
      </c>
      <c r="BK53" s="370">
        <v>2402714.1196943983</v>
      </c>
      <c r="BL53" s="370">
        <v>925366.90833251411</v>
      </c>
      <c r="BM53" s="375">
        <v>0</v>
      </c>
      <c r="BO53" s="365">
        <v>843238.82159999944</v>
      </c>
      <c r="BP53" s="370">
        <v>0</v>
      </c>
      <c r="BQ53" s="370">
        <v>843238.82159999944</v>
      </c>
      <c r="BR53" s="375">
        <v>0</v>
      </c>
      <c r="BT53" s="365">
        <v>5442210.5944832284</v>
      </c>
      <c r="BU53" s="370">
        <v>0</v>
      </c>
      <c r="BV53" s="370">
        <v>5442210.5944832284</v>
      </c>
      <c r="BW53" s="375">
        <v>0</v>
      </c>
      <c r="BY53" s="365">
        <v>0</v>
      </c>
      <c r="BZ53" s="373">
        <v>0</v>
      </c>
      <c r="CA53" s="375">
        <v>0</v>
      </c>
      <c r="CC53" s="365">
        <v>2486377.2435524655</v>
      </c>
      <c r="CD53" s="375">
        <v>36824.984631874999</v>
      </c>
      <c r="CF53" s="365">
        <v>2402714.1196943969</v>
      </c>
      <c r="CG53" s="375">
        <v>0</v>
      </c>
      <c r="CI53" s="365">
        <v>0</v>
      </c>
      <c r="CJ53" s="375">
        <v>2523202.2281843405</v>
      </c>
    </row>
    <row r="54" spans="1:88" ht="15.6">
      <c r="A54" s="146"/>
      <c r="B54" s="267"/>
      <c r="D54" s="152"/>
      <c r="G54" s="417">
        <v>50</v>
      </c>
      <c r="H54" s="251">
        <v>0</v>
      </c>
      <c r="I54" s="377">
        <v>2</v>
      </c>
      <c r="J54" s="368">
        <v>0</v>
      </c>
      <c r="K54" s="368">
        <v>4480260.5501880338</v>
      </c>
      <c r="L54" s="369">
        <v>2578849.9295355617</v>
      </c>
      <c r="N54" s="367">
        <v>1901410.6206524721</v>
      </c>
      <c r="O54" s="370">
        <v>28405397.2379</v>
      </c>
      <c r="P54" s="370">
        <v>6977631.1491999999</v>
      </c>
      <c r="Q54" s="370">
        <v>29291367.976673163</v>
      </c>
      <c r="R54" s="370">
        <v>8034542.1014999999</v>
      </c>
      <c r="S54" s="370">
        <v>5442210.5944832284</v>
      </c>
      <c r="T54" s="379">
        <v>63626400</v>
      </c>
      <c r="U54" s="371">
        <v>724133.53202455305</v>
      </c>
      <c r="V54" s="371">
        <v>1602666.6666666667</v>
      </c>
      <c r="W54" s="372">
        <v>4228210.8193436917</v>
      </c>
      <c r="X54" s="41"/>
      <c r="Y54" s="365">
        <v>1600000</v>
      </c>
      <c r="Z54" s="370">
        <v>1600000</v>
      </c>
      <c r="AA54" s="370">
        <v>0</v>
      </c>
      <c r="AB54" s="375">
        <v>2628210.8193436917</v>
      </c>
      <c r="AC54" s="41"/>
      <c r="AD54" s="449">
        <v>1600000</v>
      </c>
      <c r="AE54" s="365">
        <v>55674.110149394677</v>
      </c>
      <c r="AF54" s="375">
        <v>969870.04252763023</v>
      </c>
      <c r="AH54" s="365">
        <v>77656.338558831281</v>
      </c>
      <c r="AI54" s="370">
        <v>77656.338558831281</v>
      </c>
      <c r="AJ54" s="370">
        <v>0</v>
      </c>
      <c r="AK54" s="375">
        <v>892213.70396879897</v>
      </c>
      <c r="AM54" s="365">
        <v>36824.984631874999</v>
      </c>
      <c r="AN54" s="370">
        <v>36824.984631874999</v>
      </c>
      <c r="AO54" s="370">
        <v>0</v>
      </c>
      <c r="AP54" s="375">
        <v>855388.71933692403</v>
      </c>
      <c r="AR54" s="365">
        <v>0</v>
      </c>
      <c r="AS54" s="375">
        <v>131255.18731237098</v>
      </c>
      <c r="AU54" s="378">
        <v>0</v>
      </c>
      <c r="AV54" s="379">
        <v>-1602666.6666666667</v>
      </c>
      <c r="AW54" s="380">
        <v>0</v>
      </c>
      <c r="AX54" s="381">
        <v>1733921.8539790376</v>
      </c>
      <c r="AZ54" s="365">
        <v>0</v>
      </c>
      <c r="BA54" s="370">
        <v>0</v>
      </c>
      <c r="BB54" s="370">
        <v>0</v>
      </c>
      <c r="BC54" s="375">
        <v>1733921.8539790376</v>
      </c>
      <c r="BE54" s="365">
        <v>686887.93914423767</v>
      </c>
      <c r="BF54" s="370">
        <v>-37245.59288031538</v>
      </c>
      <c r="BG54" s="370">
        <v>686887.93914423767</v>
      </c>
      <c r="BH54" s="375">
        <v>1771167.446859353</v>
      </c>
      <c r="BJ54" s="365">
        <v>2657138.1856325157</v>
      </c>
      <c r="BK54" s="370">
        <v>1771167.446859353</v>
      </c>
      <c r="BL54" s="370">
        <v>885970.73877316271</v>
      </c>
      <c r="BM54" s="375">
        <v>0</v>
      </c>
      <c r="BO54" s="365">
        <v>1056910.9523</v>
      </c>
      <c r="BP54" s="370">
        <v>0</v>
      </c>
      <c r="BQ54" s="370">
        <v>1056910.9523</v>
      </c>
      <c r="BR54" s="375">
        <v>0</v>
      </c>
      <c r="BT54" s="365">
        <v>5442210.5944832284</v>
      </c>
      <c r="BU54" s="370">
        <v>0</v>
      </c>
      <c r="BV54" s="370">
        <v>5442210.5944832284</v>
      </c>
      <c r="BW54" s="375">
        <v>0</v>
      </c>
      <c r="BY54" s="365">
        <v>0</v>
      </c>
      <c r="BZ54" s="373">
        <v>0</v>
      </c>
      <c r="CA54" s="375">
        <v>0</v>
      </c>
      <c r="CC54" s="365">
        <v>1848823.7854181842</v>
      </c>
      <c r="CD54" s="375">
        <v>36824.984631874999</v>
      </c>
      <c r="CF54" s="365">
        <v>1771167.4468593523</v>
      </c>
      <c r="CG54" s="375">
        <v>0</v>
      </c>
      <c r="CI54" s="365">
        <v>0</v>
      </c>
      <c r="CJ54" s="375">
        <v>1885648.7700500593</v>
      </c>
    </row>
    <row r="55" spans="1:88" ht="15.6">
      <c r="A55" s="146"/>
      <c r="B55" s="267"/>
      <c r="D55" s="102"/>
      <c r="G55" s="417">
        <v>51</v>
      </c>
      <c r="H55" s="251">
        <v>0</v>
      </c>
      <c r="I55" s="377">
        <v>0</v>
      </c>
      <c r="J55" s="368">
        <v>0</v>
      </c>
      <c r="K55" s="368">
        <v>5125581.2666475829</v>
      </c>
      <c r="L55" s="369">
        <v>2580287.1574214105</v>
      </c>
      <c r="N55" s="367">
        <v>2545294.1092261723</v>
      </c>
      <c r="O55" s="370">
        <v>26668574.960999999</v>
      </c>
      <c r="P55" s="370">
        <v>6762801.6277000001</v>
      </c>
      <c r="Q55" s="370">
        <v>26881875.097926572</v>
      </c>
      <c r="R55" s="370">
        <v>8034542.1014999999</v>
      </c>
      <c r="S55" s="370">
        <v>5442210.5944832284</v>
      </c>
      <c r="T55" s="379">
        <v>63626400</v>
      </c>
      <c r="U55" s="371">
        <v>688032.75237614475</v>
      </c>
      <c r="V55" s="371">
        <v>0</v>
      </c>
      <c r="W55" s="372">
        <v>3233326.8616023171</v>
      </c>
      <c r="X55" s="41"/>
      <c r="Y55" s="365">
        <v>0</v>
      </c>
      <c r="Z55" s="370">
        <v>0</v>
      </c>
      <c r="AA55" s="370">
        <v>0</v>
      </c>
      <c r="AB55" s="375">
        <v>3233326.8616023171</v>
      </c>
      <c r="AC55" s="41"/>
      <c r="AD55" s="449">
        <v>0</v>
      </c>
      <c r="AE55" s="365">
        <v>53460.15084082049</v>
      </c>
      <c r="AF55" s="375">
        <v>3179866.7107614968</v>
      </c>
      <c r="AH55" s="365">
        <v>73228.419941682907</v>
      </c>
      <c r="AI55" s="370">
        <v>73228.419941682907</v>
      </c>
      <c r="AJ55" s="370">
        <v>0</v>
      </c>
      <c r="AK55" s="375">
        <v>3106638.290819814</v>
      </c>
      <c r="AM55" s="365">
        <v>36824.984631874999</v>
      </c>
      <c r="AN55" s="370">
        <v>36824.984631874999</v>
      </c>
      <c r="AO55" s="370">
        <v>0</v>
      </c>
      <c r="AP55" s="375">
        <v>3069813.3061879389</v>
      </c>
      <c r="AR55" s="365">
        <v>0</v>
      </c>
      <c r="AS55" s="375">
        <v>2381780.5538117941</v>
      </c>
      <c r="AU55" s="378">
        <v>0</v>
      </c>
      <c r="AV55" s="379">
        <v>0</v>
      </c>
      <c r="AW55" s="380">
        <v>0</v>
      </c>
      <c r="AX55" s="381">
        <v>2381780.5538117941</v>
      </c>
      <c r="AZ55" s="365">
        <v>0</v>
      </c>
      <c r="BA55" s="370">
        <v>0</v>
      </c>
      <c r="BB55" s="370">
        <v>0</v>
      </c>
      <c r="BC55" s="375">
        <v>2381780.5538117941</v>
      </c>
      <c r="BE55" s="365">
        <v>660320.42744134739</v>
      </c>
      <c r="BF55" s="370">
        <v>-27712.324934797361</v>
      </c>
      <c r="BG55" s="370">
        <v>660320.42744134739</v>
      </c>
      <c r="BH55" s="375">
        <v>2409492.8787465915</v>
      </c>
      <c r="BJ55" s="365">
        <v>2622793.0156731643</v>
      </c>
      <c r="BK55" s="370">
        <v>2409492.8787465915</v>
      </c>
      <c r="BL55" s="370">
        <v>213300.13692657277</v>
      </c>
      <c r="BM55" s="375">
        <v>0</v>
      </c>
      <c r="BO55" s="365">
        <v>1271740.4737999998</v>
      </c>
      <c r="BP55" s="370">
        <v>0</v>
      </c>
      <c r="BQ55" s="370">
        <v>1271740.4737999998</v>
      </c>
      <c r="BR55" s="375">
        <v>0</v>
      </c>
      <c r="BT55" s="365">
        <v>5442210.5944832284</v>
      </c>
      <c r="BU55" s="370">
        <v>0</v>
      </c>
      <c r="BV55" s="370">
        <v>5442210.5944832284</v>
      </c>
      <c r="BW55" s="375">
        <v>0</v>
      </c>
      <c r="BY55" s="365">
        <v>0</v>
      </c>
      <c r="BZ55" s="373">
        <v>0</v>
      </c>
      <c r="CA55" s="375">
        <v>0</v>
      </c>
      <c r="CC55" s="365">
        <v>2482721.2986882743</v>
      </c>
      <c r="CD55" s="375">
        <v>36824.984631874999</v>
      </c>
      <c r="CF55" s="365">
        <v>2409492.8787465915</v>
      </c>
      <c r="CG55" s="375">
        <v>0</v>
      </c>
      <c r="CI55" s="365">
        <v>0</v>
      </c>
      <c r="CJ55" s="375">
        <v>2519546.2833201494</v>
      </c>
    </row>
    <row r="56" spans="1:88" ht="15.6">
      <c r="A56" s="146"/>
      <c r="B56" s="266"/>
      <c r="D56" s="102"/>
      <c r="G56" s="417">
        <v>52</v>
      </c>
      <c r="H56" s="251">
        <v>0</v>
      </c>
      <c r="I56" s="377">
        <v>0</v>
      </c>
      <c r="J56" s="368">
        <v>0</v>
      </c>
      <c r="K56" s="368">
        <v>5125581.2666475829</v>
      </c>
      <c r="L56" s="369">
        <v>2581725.1862937659</v>
      </c>
      <c r="N56" s="367">
        <v>2543856.080353817</v>
      </c>
      <c r="O56" s="370">
        <v>24926686.952500001</v>
      </c>
      <c r="P56" s="370">
        <v>6546808.4463999998</v>
      </c>
      <c r="Q56" s="370">
        <v>25305254.0474649</v>
      </c>
      <c r="R56" s="370">
        <v>8034542.1014999999</v>
      </c>
      <c r="S56" s="370">
        <v>5442210.5944832284</v>
      </c>
      <c r="T56" s="379">
        <v>63626400</v>
      </c>
      <c r="U56" s="371">
        <v>661420.961487083</v>
      </c>
      <c r="V56" s="371">
        <v>0</v>
      </c>
      <c r="W56" s="372">
        <v>3205277.0418408997</v>
      </c>
      <c r="X56" s="41"/>
      <c r="Y56" s="365">
        <v>0</v>
      </c>
      <c r="Z56" s="370">
        <v>0</v>
      </c>
      <c r="AA56" s="370">
        <v>0</v>
      </c>
      <c r="AB56" s="375">
        <v>3205277.0418408997</v>
      </c>
      <c r="AC56" s="41"/>
      <c r="AD56" s="449">
        <v>0</v>
      </c>
      <c r="AE56" s="365">
        <v>50448.284742387252</v>
      </c>
      <c r="AF56" s="375">
        <v>3154828.7570985123</v>
      </c>
      <c r="AH56" s="365">
        <v>67204.68774481643</v>
      </c>
      <c r="AI56" s="370">
        <v>67204.68774481643</v>
      </c>
      <c r="AJ56" s="370">
        <v>0</v>
      </c>
      <c r="AK56" s="375">
        <v>3087624.069353696</v>
      </c>
      <c r="AM56" s="365">
        <v>36824.984631874999</v>
      </c>
      <c r="AN56" s="370">
        <v>36824.984631874999</v>
      </c>
      <c r="AO56" s="370">
        <v>0</v>
      </c>
      <c r="AP56" s="375">
        <v>3050799.0847218209</v>
      </c>
      <c r="AR56" s="365">
        <v>0</v>
      </c>
      <c r="AS56" s="375">
        <v>2389378.1232347377</v>
      </c>
      <c r="AU56" s="378">
        <v>850000</v>
      </c>
      <c r="AV56" s="379">
        <v>850000</v>
      </c>
      <c r="AW56" s="380">
        <v>850000</v>
      </c>
      <c r="AX56" s="381">
        <v>1539378.1232347377</v>
      </c>
      <c r="AZ56" s="365">
        <v>0</v>
      </c>
      <c r="BA56" s="370">
        <v>0</v>
      </c>
      <c r="BB56" s="370">
        <v>0</v>
      </c>
      <c r="BC56" s="375">
        <v>1539378.1232347377</v>
      </c>
      <c r="BE56" s="365">
        <v>624178.03426014853</v>
      </c>
      <c r="BF56" s="370">
        <v>-37242.927226934466</v>
      </c>
      <c r="BG56" s="370">
        <v>624178.03426014853</v>
      </c>
      <c r="BH56" s="375">
        <v>1576621.0504616722</v>
      </c>
      <c r="BJ56" s="365">
        <v>1955188.1454265714</v>
      </c>
      <c r="BK56" s="370">
        <v>1576621.0504616722</v>
      </c>
      <c r="BL56" s="370">
        <v>378567.09496489912</v>
      </c>
      <c r="BM56" s="375">
        <v>0</v>
      </c>
      <c r="BO56" s="365">
        <v>1487733.6551000001</v>
      </c>
      <c r="BP56" s="370">
        <v>0</v>
      </c>
      <c r="BQ56" s="370">
        <v>1487733.6551000001</v>
      </c>
      <c r="BR56" s="375">
        <v>0</v>
      </c>
      <c r="BT56" s="365">
        <v>5442210.5944832284</v>
      </c>
      <c r="BU56" s="370">
        <v>0</v>
      </c>
      <c r="BV56" s="370">
        <v>5442210.5944832284</v>
      </c>
      <c r="BW56" s="375">
        <v>0</v>
      </c>
      <c r="BY56" s="365">
        <v>0</v>
      </c>
      <c r="BZ56" s="373">
        <v>0</v>
      </c>
      <c r="CA56" s="375">
        <v>0</v>
      </c>
      <c r="CC56" s="365">
        <v>1643825.7382064888</v>
      </c>
      <c r="CD56" s="375">
        <v>36824.984631874999</v>
      </c>
      <c r="CF56" s="365">
        <v>1576621.0504616722</v>
      </c>
      <c r="CG56" s="375">
        <v>0</v>
      </c>
      <c r="CI56" s="365">
        <v>0</v>
      </c>
      <c r="CJ56" s="375">
        <v>1680650.7228383636</v>
      </c>
    </row>
    <row r="57" spans="1:88" ht="15.6">
      <c r="A57" s="115" t="s">
        <v>288</v>
      </c>
      <c r="B57" s="357" t="s">
        <v>287</v>
      </c>
      <c r="D57" s="41"/>
      <c r="G57" s="417">
        <v>53</v>
      </c>
      <c r="H57" s="251">
        <v>0</v>
      </c>
      <c r="I57" s="377">
        <v>3</v>
      </c>
      <c r="J57" s="368">
        <v>0</v>
      </c>
      <c r="K57" s="368">
        <v>4229816.7743305266</v>
      </c>
      <c r="L57" s="369">
        <v>2583164.0165990279</v>
      </c>
      <c r="N57" s="367">
        <v>1646652.7577314987</v>
      </c>
      <c r="O57" s="370">
        <v>23179718.4373</v>
      </c>
      <c r="P57" s="370">
        <v>6329645.3019000003</v>
      </c>
      <c r="Q57" s="370">
        <v>23781060.63876589</v>
      </c>
      <c r="R57" s="370">
        <v>8034542.1014999999</v>
      </c>
      <c r="S57" s="370">
        <v>5442210.5944832284</v>
      </c>
      <c r="T57" s="379">
        <v>63626400</v>
      </c>
      <c r="U57" s="371">
        <v>625218.33098391548</v>
      </c>
      <c r="V57" s="371">
        <v>851416.66666666674</v>
      </c>
      <c r="W57" s="372">
        <v>3123287.755382081</v>
      </c>
      <c r="X57" s="41"/>
      <c r="Y57" s="365">
        <v>0</v>
      </c>
      <c r="Z57" s="370">
        <v>0</v>
      </c>
      <c r="AA57" s="370">
        <v>0</v>
      </c>
      <c r="AB57" s="375">
        <v>3123287.755382081</v>
      </c>
      <c r="AC57" s="41"/>
      <c r="AD57" s="449">
        <v>0</v>
      </c>
      <c r="AE57" s="365">
        <v>48477.508429310161</v>
      </c>
      <c r="AF57" s="375">
        <v>2223393.5802861042</v>
      </c>
      <c r="AH57" s="365">
        <v>63263.135118662249</v>
      </c>
      <c r="AI57" s="370">
        <v>63263.135118662249</v>
      </c>
      <c r="AJ57" s="370">
        <v>0</v>
      </c>
      <c r="AK57" s="375">
        <v>2160130.4451674419</v>
      </c>
      <c r="AM57" s="365">
        <v>36824.984631874999</v>
      </c>
      <c r="AN57" s="370">
        <v>36824.984631874999</v>
      </c>
      <c r="AO57" s="370">
        <v>0</v>
      </c>
      <c r="AP57" s="375">
        <v>2123305.4605355668</v>
      </c>
      <c r="AR57" s="365">
        <v>0</v>
      </c>
      <c r="AS57" s="375">
        <v>1498087.1295516514</v>
      </c>
      <c r="AU57" s="378">
        <v>850000</v>
      </c>
      <c r="AV57" s="379">
        <v>-1416.6666666667443</v>
      </c>
      <c r="AW57" s="380">
        <v>850000</v>
      </c>
      <c r="AX57" s="381">
        <v>1499503.7962183182</v>
      </c>
      <c r="AZ57" s="365">
        <v>0</v>
      </c>
      <c r="BA57" s="370">
        <v>0</v>
      </c>
      <c r="BB57" s="370">
        <v>0</v>
      </c>
      <c r="BC57" s="375">
        <v>1499503.7962183182</v>
      </c>
      <c r="BE57" s="365">
        <v>600528.7185032235</v>
      </c>
      <c r="BF57" s="370">
        <v>-24689.612480691983</v>
      </c>
      <c r="BG57" s="370">
        <v>600528.7185032235</v>
      </c>
      <c r="BH57" s="375">
        <v>1524193.40869901</v>
      </c>
      <c r="BJ57" s="365">
        <v>2125535.6101648994</v>
      </c>
      <c r="BK57" s="370">
        <v>1524193.40869901</v>
      </c>
      <c r="BL57" s="370">
        <v>601342.20146588935</v>
      </c>
      <c r="BM57" s="375">
        <v>0</v>
      </c>
      <c r="BO57" s="365">
        <v>1704896.7995999996</v>
      </c>
      <c r="BP57" s="370">
        <v>0</v>
      </c>
      <c r="BQ57" s="370">
        <v>1704896.7995999996</v>
      </c>
      <c r="BR57" s="375">
        <v>0</v>
      </c>
      <c r="BT57" s="365">
        <v>5442210.5944832284</v>
      </c>
      <c r="BU57" s="370">
        <v>0</v>
      </c>
      <c r="BV57" s="370">
        <v>5442210.5944832284</v>
      </c>
      <c r="BW57" s="375">
        <v>0</v>
      </c>
      <c r="BY57" s="365">
        <v>0</v>
      </c>
      <c r="BZ57" s="373">
        <v>0</v>
      </c>
      <c r="CA57" s="375">
        <v>0</v>
      </c>
      <c r="CC57" s="365">
        <v>1587456.5438176722</v>
      </c>
      <c r="CD57" s="375">
        <v>36824.984631874999</v>
      </c>
      <c r="CF57" s="365">
        <v>1524193.4086990096</v>
      </c>
      <c r="CG57" s="375">
        <v>0</v>
      </c>
      <c r="CI57" s="365">
        <v>0</v>
      </c>
      <c r="CJ57" s="375">
        <v>1624281.5284495472</v>
      </c>
    </row>
    <row r="58" spans="1:88" ht="15.6">
      <c r="A58" s="140" t="s">
        <v>289</v>
      </c>
      <c r="B58" s="440">
        <v>1</v>
      </c>
      <c r="D58" s="41"/>
      <c r="G58" s="417">
        <v>54</v>
      </c>
      <c r="H58" s="251">
        <v>0</v>
      </c>
      <c r="I58" s="377">
        <v>2</v>
      </c>
      <c r="J58" s="368">
        <v>0</v>
      </c>
      <c r="K58" s="368">
        <v>4460885.6359525546</v>
      </c>
      <c r="L58" s="369">
        <v>2584603.6487838468</v>
      </c>
      <c r="N58" s="367">
        <v>1876281.9871687079</v>
      </c>
      <c r="O58" s="370">
        <v>21427654.5973</v>
      </c>
      <c r="P58" s="370">
        <v>6111305.8570999997</v>
      </c>
      <c r="Q58" s="370">
        <v>22022348.105499752</v>
      </c>
      <c r="R58" s="370">
        <v>8034542.1014999999</v>
      </c>
      <c r="S58" s="370">
        <v>5442210.5944832284</v>
      </c>
      <c r="T58" s="379">
        <v>63626400</v>
      </c>
      <c r="U58" s="371">
        <v>601529.5997007289</v>
      </c>
      <c r="V58" s="371">
        <v>851416.66666666674</v>
      </c>
      <c r="W58" s="372">
        <v>3329228.2535361033</v>
      </c>
      <c r="X58" s="41"/>
      <c r="Y58" s="365">
        <v>0</v>
      </c>
      <c r="Z58" s="370">
        <v>0</v>
      </c>
      <c r="AA58" s="370">
        <v>0</v>
      </c>
      <c r="AB58" s="375">
        <v>3329228.2535361033</v>
      </c>
      <c r="AC58" s="41"/>
      <c r="AD58" s="449">
        <v>0</v>
      </c>
      <c r="AE58" s="365">
        <v>46572.266668436394</v>
      </c>
      <c r="AF58" s="375">
        <v>2431239.3202009997</v>
      </c>
      <c r="AH58" s="365">
        <v>59452.651596914722</v>
      </c>
      <c r="AI58" s="370">
        <v>59452.651596914722</v>
      </c>
      <c r="AJ58" s="370">
        <v>0</v>
      </c>
      <c r="AK58" s="375">
        <v>2371786.6686040852</v>
      </c>
      <c r="AM58" s="365">
        <v>36824.984631874999</v>
      </c>
      <c r="AN58" s="370">
        <v>36824.984631874999</v>
      </c>
      <c r="AO58" s="370">
        <v>0</v>
      </c>
      <c r="AP58" s="375">
        <v>2334961.6839722102</v>
      </c>
      <c r="AR58" s="365">
        <v>0</v>
      </c>
      <c r="AS58" s="375">
        <v>1733432.0842714813</v>
      </c>
      <c r="AU58" s="378">
        <v>850000</v>
      </c>
      <c r="AV58" s="379">
        <v>-1416.6666666667443</v>
      </c>
      <c r="AW58" s="380">
        <v>850000</v>
      </c>
      <c r="AX58" s="381">
        <v>1734848.750938148</v>
      </c>
      <c r="AZ58" s="365">
        <v>0</v>
      </c>
      <c r="BA58" s="370">
        <v>0</v>
      </c>
      <c r="BB58" s="370">
        <v>0</v>
      </c>
      <c r="BC58" s="375">
        <v>1734848.750938148</v>
      </c>
      <c r="BE58" s="365">
        <v>577665.81737273838</v>
      </c>
      <c r="BF58" s="370">
        <v>-23863.782327990513</v>
      </c>
      <c r="BG58" s="370">
        <v>577665.81737273838</v>
      </c>
      <c r="BH58" s="375">
        <v>1758712.5332661385</v>
      </c>
      <c r="BJ58" s="365">
        <v>2353406.0414658897</v>
      </c>
      <c r="BK58" s="370">
        <v>1758712.5332661385</v>
      </c>
      <c r="BL58" s="370">
        <v>594693.50819975114</v>
      </c>
      <c r="BM58" s="375">
        <v>0</v>
      </c>
      <c r="BO58" s="365">
        <v>1923236.2444000002</v>
      </c>
      <c r="BP58" s="370">
        <v>0</v>
      </c>
      <c r="BQ58" s="370">
        <v>1923236.2444000002</v>
      </c>
      <c r="BR58" s="375">
        <v>0</v>
      </c>
      <c r="BT58" s="365">
        <v>5442210.5944832284</v>
      </c>
      <c r="BU58" s="370">
        <v>0</v>
      </c>
      <c r="BV58" s="370">
        <v>5442210.5944832284</v>
      </c>
      <c r="BW58" s="375">
        <v>0</v>
      </c>
      <c r="BY58" s="365">
        <v>0</v>
      </c>
      <c r="BZ58" s="373">
        <v>0</v>
      </c>
      <c r="CA58" s="375">
        <v>0</v>
      </c>
      <c r="CC58" s="365">
        <v>1818165.1848630533</v>
      </c>
      <c r="CD58" s="375">
        <v>36824.984631874999</v>
      </c>
      <c r="CF58" s="365">
        <v>1758712.5332661383</v>
      </c>
      <c r="CG58" s="375">
        <v>0</v>
      </c>
      <c r="CI58" s="365">
        <v>0</v>
      </c>
      <c r="CJ58" s="375">
        <v>1854990.1694949283</v>
      </c>
    </row>
    <row r="59" spans="1:88" ht="15.6">
      <c r="A59" s="143" t="s">
        <v>290</v>
      </c>
      <c r="B59" s="441">
        <v>0.9</v>
      </c>
      <c r="G59" s="417">
        <v>55</v>
      </c>
      <c r="H59" s="251">
        <v>0</v>
      </c>
      <c r="I59" s="377">
        <v>0</v>
      </c>
      <c r="J59" s="368">
        <v>0</v>
      </c>
      <c r="K59" s="368">
        <v>5138211.5798697043</v>
      </c>
      <c r="L59" s="369">
        <v>2586044.0832951204</v>
      </c>
      <c r="N59" s="367">
        <v>2552167.4965745839</v>
      </c>
      <c r="O59" s="370">
        <v>19670480.5711</v>
      </c>
      <c r="P59" s="370">
        <v>5891783.7403999995</v>
      </c>
      <c r="Q59" s="370">
        <v>20527675.208794698</v>
      </c>
      <c r="R59" s="370">
        <v>8034542.1014999999</v>
      </c>
      <c r="S59" s="370">
        <v>5442210.5944832284</v>
      </c>
      <c r="T59" s="379">
        <v>63626400</v>
      </c>
      <c r="U59" s="371">
        <v>578628.59373502631</v>
      </c>
      <c r="V59" s="371">
        <v>851416.66666666674</v>
      </c>
      <c r="W59" s="372">
        <v>3982212.7569762771</v>
      </c>
      <c r="X59" s="41"/>
      <c r="Y59" s="365">
        <v>0</v>
      </c>
      <c r="Z59" s="370">
        <v>0</v>
      </c>
      <c r="AA59" s="370">
        <v>0</v>
      </c>
      <c r="AB59" s="375">
        <v>3982212.7569762771</v>
      </c>
      <c r="AC59" s="41"/>
      <c r="AD59" s="449">
        <v>0</v>
      </c>
      <c r="AE59" s="365">
        <v>44373.876001853721</v>
      </c>
      <c r="AF59" s="375">
        <v>3086422.2143077571</v>
      </c>
      <c r="AH59" s="365">
        <v>55055.870263749377</v>
      </c>
      <c r="AI59" s="370">
        <v>55055.870263749377</v>
      </c>
      <c r="AJ59" s="370">
        <v>0</v>
      </c>
      <c r="AK59" s="375">
        <v>3031366.3440440078</v>
      </c>
      <c r="AM59" s="365">
        <v>36824.984631874999</v>
      </c>
      <c r="AN59" s="370">
        <v>36824.984631874999</v>
      </c>
      <c r="AO59" s="370">
        <v>0</v>
      </c>
      <c r="AP59" s="375">
        <v>2994541.3594121328</v>
      </c>
      <c r="AR59" s="365">
        <v>0</v>
      </c>
      <c r="AS59" s="375">
        <v>2415912.7656771066</v>
      </c>
      <c r="AU59" s="378">
        <v>1800000</v>
      </c>
      <c r="AV59" s="379">
        <v>948583.33333333326</v>
      </c>
      <c r="AW59" s="380">
        <v>1800000</v>
      </c>
      <c r="AX59" s="381">
        <v>1467329.4323437733</v>
      </c>
      <c r="AZ59" s="365">
        <v>0</v>
      </c>
      <c r="BA59" s="370">
        <v>0</v>
      </c>
      <c r="BB59" s="370">
        <v>0</v>
      </c>
      <c r="BC59" s="375">
        <v>1467329.4323437733</v>
      </c>
      <c r="BE59" s="365">
        <v>551285.12937374623</v>
      </c>
      <c r="BF59" s="370">
        <v>-27343.464361280086</v>
      </c>
      <c r="BG59" s="370">
        <v>551285.12937374623</v>
      </c>
      <c r="BH59" s="375">
        <v>1494672.8967050533</v>
      </c>
      <c r="BJ59" s="365">
        <v>2351867.5343997516</v>
      </c>
      <c r="BK59" s="370">
        <v>1494672.8967050533</v>
      </c>
      <c r="BL59" s="370">
        <v>857194.63769469829</v>
      </c>
      <c r="BM59" s="375">
        <v>0</v>
      </c>
      <c r="BO59" s="365">
        <v>2142758.3611000003</v>
      </c>
      <c r="BP59" s="370">
        <v>0</v>
      </c>
      <c r="BQ59" s="370">
        <v>2142758.3611000003</v>
      </c>
      <c r="BR59" s="375">
        <v>0</v>
      </c>
      <c r="BT59" s="365">
        <v>5442210.5944832284</v>
      </c>
      <c r="BU59" s="370">
        <v>0</v>
      </c>
      <c r="BV59" s="370">
        <v>5442210.5944832284</v>
      </c>
      <c r="BW59" s="375">
        <v>0</v>
      </c>
      <c r="BY59" s="365">
        <v>0</v>
      </c>
      <c r="BZ59" s="373">
        <v>0</v>
      </c>
      <c r="CA59" s="375">
        <v>0</v>
      </c>
      <c r="CC59" s="365">
        <v>1549728.7669688025</v>
      </c>
      <c r="CD59" s="375">
        <v>36824.984631874999</v>
      </c>
      <c r="CF59" s="365">
        <v>1494672.8967050537</v>
      </c>
      <c r="CG59" s="375">
        <v>0</v>
      </c>
      <c r="CI59" s="365">
        <v>0</v>
      </c>
      <c r="CJ59" s="375">
        <v>1586553.7516006776</v>
      </c>
    </row>
    <row r="60" spans="1:88" ht="15.6">
      <c r="A60" s="143" t="s">
        <v>291</v>
      </c>
      <c r="B60" s="442">
        <v>20</v>
      </c>
      <c r="G60" s="417">
        <v>56</v>
      </c>
      <c r="H60" s="251">
        <v>0</v>
      </c>
      <c r="I60" s="377">
        <v>3</v>
      </c>
      <c r="J60" s="368">
        <v>0</v>
      </c>
      <c r="K60" s="368">
        <v>4213045.0813379763</v>
      </c>
      <c r="L60" s="369">
        <v>2587485.3205799963</v>
      </c>
      <c r="N60" s="367">
        <v>1625559.7607579799</v>
      </c>
      <c r="O60" s="370">
        <v>17908181.453899998</v>
      </c>
      <c r="P60" s="370">
        <v>5671072.5455</v>
      </c>
      <c r="Q60" s="370">
        <v>19006426.253572021</v>
      </c>
      <c r="R60" s="370">
        <v>8034542.1014999999</v>
      </c>
      <c r="S60" s="370">
        <v>5442210.5944832284</v>
      </c>
      <c r="T60" s="379">
        <v>63626400</v>
      </c>
      <c r="U60" s="371">
        <v>552203.93792270252</v>
      </c>
      <c r="V60" s="371">
        <v>1803000</v>
      </c>
      <c r="W60" s="372">
        <v>3980763.6986806826</v>
      </c>
      <c r="X60" s="41"/>
      <c r="Y60" s="365">
        <v>850000</v>
      </c>
      <c r="Z60" s="370">
        <v>850000</v>
      </c>
      <c r="AA60" s="370">
        <v>0</v>
      </c>
      <c r="AB60" s="375">
        <v>3130763.6986806826</v>
      </c>
      <c r="AC60" s="41"/>
      <c r="AD60" s="449">
        <v>850000</v>
      </c>
      <c r="AE60" s="365">
        <v>42505.534880972409</v>
      </c>
      <c r="AF60" s="375">
        <v>1285258.1637997101</v>
      </c>
      <c r="AH60" s="365">
        <v>51319.188021986745</v>
      </c>
      <c r="AI60" s="370">
        <v>51319.188021986745</v>
      </c>
      <c r="AJ60" s="370">
        <v>0</v>
      </c>
      <c r="AK60" s="375">
        <v>1233938.9757777234</v>
      </c>
      <c r="AM60" s="365">
        <v>36824.984631874999</v>
      </c>
      <c r="AN60" s="370">
        <v>36824.984631874999</v>
      </c>
      <c r="AO60" s="370">
        <v>0</v>
      </c>
      <c r="AP60" s="375">
        <v>1197113.9911458483</v>
      </c>
      <c r="AR60" s="365">
        <v>0</v>
      </c>
      <c r="AS60" s="375">
        <v>644910.05322314578</v>
      </c>
      <c r="AU60" s="378">
        <v>950000</v>
      </c>
      <c r="AV60" s="379">
        <v>-853000</v>
      </c>
      <c r="AW60" s="380">
        <v>950000</v>
      </c>
      <c r="AX60" s="381">
        <v>1497910.0532231457</v>
      </c>
      <c r="AZ60" s="365">
        <v>0</v>
      </c>
      <c r="BA60" s="370">
        <v>0</v>
      </c>
      <c r="BB60" s="370">
        <v>0</v>
      </c>
      <c r="BC60" s="375">
        <v>1497910.0532231457</v>
      </c>
      <c r="BE60" s="365">
        <v>528865.03592317051</v>
      </c>
      <c r="BF60" s="370">
        <v>-23338.901999532012</v>
      </c>
      <c r="BG60" s="370">
        <v>528865.03592317051</v>
      </c>
      <c r="BH60" s="375">
        <v>1521248.9552226777</v>
      </c>
      <c r="BJ60" s="365">
        <v>2619493.7548946999</v>
      </c>
      <c r="BK60" s="370">
        <v>1521248.9552226777</v>
      </c>
      <c r="BL60" s="370">
        <v>1098244.7996720222</v>
      </c>
      <c r="BM60" s="375">
        <v>0</v>
      </c>
      <c r="BO60" s="365">
        <v>2363469.5559999999</v>
      </c>
      <c r="BP60" s="370">
        <v>0</v>
      </c>
      <c r="BQ60" s="370">
        <v>2363469.5559999999</v>
      </c>
      <c r="BR60" s="375">
        <v>0</v>
      </c>
      <c r="BT60" s="365">
        <v>5442210.5944832284</v>
      </c>
      <c r="BU60" s="370">
        <v>0</v>
      </c>
      <c r="BV60" s="370">
        <v>5442210.5944832284</v>
      </c>
      <c r="BW60" s="375">
        <v>0</v>
      </c>
      <c r="BY60" s="365">
        <v>0</v>
      </c>
      <c r="BZ60" s="373">
        <v>0</v>
      </c>
      <c r="CA60" s="375">
        <v>0</v>
      </c>
      <c r="CC60" s="365">
        <v>1572568.1432446644</v>
      </c>
      <c r="CD60" s="375">
        <v>36824.984631874999</v>
      </c>
      <c r="CF60" s="365">
        <v>1521248.9552226774</v>
      </c>
      <c r="CG60" s="375">
        <v>0</v>
      </c>
      <c r="CI60" s="365">
        <v>0</v>
      </c>
      <c r="CJ60" s="375">
        <v>1609393.1278765395</v>
      </c>
    </row>
    <row r="61" spans="1:88" ht="15.6">
      <c r="A61" s="143" t="s">
        <v>292</v>
      </c>
      <c r="B61" s="442">
        <v>0.06</v>
      </c>
      <c r="G61" s="417">
        <v>57</v>
      </c>
      <c r="H61" s="251">
        <v>0</v>
      </c>
      <c r="I61" s="377">
        <v>1</v>
      </c>
      <c r="J61" s="368">
        <v>0</v>
      </c>
      <c r="K61" s="368">
        <v>4782618.5348920515</v>
      </c>
      <c r="L61" s="369">
        <v>2588927.3610858712</v>
      </c>
      <c r="N61" s="367">
        <v>2193691.1738061802</v>
      </c>
      <c r="O61" s="370">
        <v>16140742.297700001</v>
      </c>
      <c r="P61" s="370">
        <v>5449165.8316000002</v>
      </c>
      <c r="Q61" s="370">
        <v>16912396.594330378</v>
      </c>
      <c r="R61" s="370">
        <v>8034542.1014999999</v>
      </c>
      <c r="S61" s="370">
        <v>5442210.5944832284</v>
      </c>
      <c r="T61" s="379">
        <v>63626400</v>
      </c>
      <c r="U61" s="371">
        <v>529746.47764970909</v>
      </c>
      <c r="V61" s="371">
        <v>951583.33333333337</v>
      </c>
      <c r="W61" s="372">
        <v>3675020.9847892225</v>
      </c>
      <c r="X61" s="41"/>
      <c r="Y61" s="365">
        <v>0</v>
      </c>
      <c r="Z61" s="370">
        <v>0</v>
      </c>
      <c r="AA61" s="370">
        <v>0</v>
      </c>
      <c r="AB61" s="375">
        <v>3675020.9847892225</v>
      </c>
      <c r="AC61" s="41"/>
      <c r="AD61" s="449">
        <v>0</v>
      </c>
      <c r="AE61" s="365">
        <v>40603.97368694406</v>
      </c>
      <c r="AF61" s="375">
        <v>2682833.6777689448</v>
      </c>
      <c r="AH61" s="365">
        <v>47516.065633930048</v>
      </c>
      <c r="AI61" s="370">
        <v>47516.065633930048</v>
      </c>
      <c r="AJ61" s="370">
        <v>0</v>
      </c>
      <c r="AK61" s="375">
        <v>2635317.6121350145</v>
      </c>
      <c r="AM61" s="365">
        <v>36824.984631874999</v>
      </c>
      <c r="AN61" s="370">
        <v>36824.984631874999</v>
      </c>
      <c r="AO61" s="370">
        <v>0</v>
      </c>
      <c r="AP61" s="375">
        <v>2598492.6275031394</v>
      </c>
      <c r="AR61" s="365">
        <v>0</v>
      </c>
      <c r="AS61" s="375">
        <v>2068746.1498534302</v>
      </c>
      <c r="AU61" s="378">
        <v>950000</v>
      </c>
      <c r="AV61" s="379">
        <v>-1583.3333333333721</v>
      </c>
      <c r="AW61" s="380">
        <v>950000</v>
      </c>
      <c r="AX61" s="381">
        <v>2070329.4831867637</v>
      </c>
      <c r="AZ61" s="365">
        <v>0</v>
      </c>
      <c r="BA61" s="370">
        <v>0</v>
      </c>
      <c r="BB61" s="370">
        <v>0</v>
      </c>
      <c r="BC61" s="375">
        <v>2070329.4831867637</v>
      </c>
      <c r="BE61" s="365">
        <v>506046.30159483029</v>
      </c>
      <c r="BF61" s="370">
        <v>-23700.176054878801</v>
      </c>
      <c r="BG61" s="370">
        <v>506046.30159483029</v>
      </c>
      <c r="BH61" s="375">
        <v>2094029.6592416426</v>
      </c>
      <c r="BJ61" s="365">
        <v>2865683.9558720198</v>
      </c>
      <c r="BK61" s="370">
        <v>2094029.6592416426</v>
      </c>
      <c r="BL61" s="370">
        <v>771654.29663037718</v>
      </c>
      <c r="BM61" s="375">
        <v>0</v>
      </c>
      <c r="BO61" s="365">
        <v>2585376.2698999997</v>
      </c>
      <c r="BP61" s="370">
        <v>0</v>
      </c>
      <c r="BQ61" s="370">
        <v>2585376.2698999997</v>
      </c>
      <c r="BR61" s="375">
        <v>0</v>
      </c>
      <c r="BT61" s="365">
        <v>5442210.5944832284</v>
      </c>
      <c r="BU61" s="370">
        <v>0</v>
      </c>
      <c r="BV61" s="370">
        <v>5442210.5944832284</v>
      </c>
      <c r="BW61" s="375">
        <v>0</v>
      </c>
      <c r="BY61" s="365">
        <v>0</v>
      </c>
      <c r="BZ61" s="373">
        <v>0</v>
      </c>
      <c r="CA61" s="375">
        <v>0</v>
      </c>
      <c r="CC61" s="365">
        <v>2141545.7248755726</v>
      </c>
      <c r="CD61" s="375">
        <v>36824.984631874999</v>
      </c>
      <c r="CF61" s="365">
        <v>2094029.6592416428</v>
      </c>
      <c r="CG61" s="375">
        <v>0</v>
      </c>
      <c r="CI61" s="365">
        <v>0</v>
      </c>
      <c r="CJ61" s="375">
        <v>2178370.7095074477</v>
      </c>
    </row>
    <row r="62" spans="1:88" ht="15.6">
      <c r="A62" s="143" t="s">
        <v>293</v>
      </c>
      <c r="B62" s="443">
        <v>0.47</v>
      </c>
      <c r="G62" s="417">
        <v>58</v>
      </c>
      <c r="H62" s="251">
        <v>0</v>
      </c>
      <c r="I62" s="377">
        <v>1</v>
      </c>
      <c r="J62" s="368">
        <v>0</v>
      </c>
      <c r="K62" s="368">
        <v>4824495.6610069908</v>
      </c>
      <c r="L62" s="369">
        <v>2590370.2052603904</v>
      </c>
      <c r="N62" s="367">
        <v>2234125.4557466004</v>
      </c>
      <c r="O62" s="370">
        <v>14368148.1106</v>
      </c>
      <c r="P62" s="370">
        <v>5226057.1229999997</v>
      </c>
      <c r="Q62" s="370">
        <v>14761526.362589754</v>
      </c>
      <c r="R62" s="370">
        <v>8034542.1014999999</v>
      </c>
      <c r="S62" s="370">
        <v>5442210.5944832284</v>
      </c>
      <c r="T62" s="379">
        <v>63626400</v>
      </c>
      <c r="U62" s="371">
        <v>506889.71209748834</v>
      </c>
      <c r="V62" s="371">
        <v>951583.33333333337</v>
      </c>
      <c r="W62" s="372">
        <v>3692598.5011774222</v>
      </c>
      <c r="X62" s="41"/>
      <c r="Y62" s="365">
        <v>0</v>
      </c>
      <c r="Z62" s="370">
        <v>0</v>
      </c>
      <c r="AA62" s="370">
        <v>0</v>
      </c>
      <c r="AB62" s="375">
        <v>3692598.5011774222</v>
      </c>
      <c r="AC62" s="41"/>
      <c r="AD62" s="449">
        <v>0</v>
      </c>
      <c r="AE62" s="365">
        <v>37986.436612892008</v>
      </c>
      <c r="AF62" s="375">
        <v>2703028.7312311968</v>
      </c>
      <c r="AH62" s="365">
        <v>42280.991485825944</v>
      </c>
      <c r="AI62" s="370">
        <v>42280.991485825944</v>
      </c>
      <c r="AJ62" s="370">
        <v>0</v>
      </c>
      <c r="AK62" s="375">
        <v>2660747.739745371</v>
      </c>
      <c r="AM62" s="365">
        <v>36824.984631874999</v>
      </c>
      <c r="AN62" s="370">
        <v>36824.984631874999</v>
      </c>
      <c r="AO62" s="370">
        <v>0</v>
      </c>
      <c r="AP62" s="375">
        <v>2623922.755113496</v>
      </c>
      <c r="AR62" s="365">
        <v>0</v>
      </c>
      <c r="AS62" s="375">
        <v>2117033.0430160076</v>
      </c>
      <c r="AU62" s="378">
        <v>950000</v>
      </c>
      <c r="AV62" s="379">
        <v>-1583.3333333333721</v>
      </c>
      <c r="AW62" s="380">
        <v>950000</v>
      </c>
      <c r="AX62" s="381">
        <v>2118616.3763493411</v>
      </c>
      <c r="AZ62" s="365">
        <v>0</v>
      </c>
      <c r="BA62" s="370">
        <v>0</v>
      </c>
      <c r="BB62" s="370">
        <v>0</v>
      </c>
      <c r="BC62" s="375">
        <v>2118616.3763493411</v>
      </c>
      <c r="BE62" s="365">
        <v>474635.85670620564</v>
      </c>
      <c r="BF62" s="370">
        <v>-32253.855391282705</v>
      </c>
      <c r="BG62" s="370">
        <v>474635.85670620564</v>
      </c>
      <c r="BH62" s="375">
        <v>2150870.2317406237</v>
      </c>
      <c r="BJ62" s="365">
        <v>2544248.4837303776</v>
      </c>
      <c r="BK62" s="370">
        <v>2150870.2317406237</v>
      </c>
      <c r="BL62" s="370">
        <v>393378.25198975392</v>
      </c>
      <c r="BM62" s="375">
        <v>0</v>
      </c>
      <c r="BO62" s="365">
        <v>2808484.9785000002</v>
      </c>
      <c r="BP62" s="370">
        <v>0</v>
      </c>
      <c r="BQ62" s="370">
        <v>2808484.9785000002</v>
      </c>
      <c r="BR62" s="375">
        <v>0</v>
      </c>
      <c r="BT62" s="365">
        <v>5442210.5944832284</v>
      </c>
      <c r="BU62" s="370">
        <v>0</v>
      </c>
      <c r="BV62" s="370">
        <v>5442210.5944832284</v>
      </c>
      <c r="BW62" s="375">
        <v>0</v>
      </c>
      <c r="BY62" s="365">
        <v>0</v>
      </c>
      <c r="BZ62" s="373">
        <v>0</v>
      </c>
      <c r="CA62" s="375">
        <v>0</v>
      </c>
      <c r="CC62" s="365">
        <v>2193151.2232264495</v>
      </c>
      <c r="CD62" s="375">
        <v>36824.984631874999</v>
      </c>
      <c r="CF62" s="365">
        <v>2150870.2317406237</v>
      </c>
      <c r="CG62" s="375">
        <v>0</v>
      </c>
      <c r="CI62" s="365">
        <v>0</v>
      </c>
      <c r="CJ62" s="375">
        <v>2229976.2078583245</v>
      </c>
    </row>
    <row r="63" spans="1:88" ht="15.6">
      <c r="A63" s="143" t="s">
        <v>294</v>
      </c>
      <c r="B63" s="442">
        <v>1.05</v>
      </c>
      <c r="D63" s="41"/>
      <c r="G63" s="417">
        <v>59</v>
      </c>
      <c r="H63" s="251">
        <v>0</v>
      </c>
      <c r="I63" s="377">
        <v>3</v>
      </c>
      <c r="J63" s="368">
        <v>0</v>
      </c>
      <c r="K63" s="368">
        <v>4186226.4605010799</v>
      </c>
      <c r="L63" s="369">
        <v>2591813.8535514493</v>
      </c>
      <c r="N63" s="367">
        <v>1594412.6069496307</v>
      </c>
      <c r="O63" s="370">
        <v>12590383.857100001</v>
      </c>
      <c r="P63" s="370">
        <v>5001739.9089000002</v>
      </c>
      <c r="Q63" s="370">
        <v>14191502.958431069</v>
      </c>
      <c r="R63" s="370">
        <v>8034542.1014999999</v>
      </c>
      <c r="S63" s="370">
        <v>5442210.5944832284</v>
      </c>
      <c r="T63" s="379">
        <v>63626400</v>
      </c>
      <c r="U63" s="371">
        <v>475426.91646738263</v>
      </c>
      <c r="V63" s="371">
        <v>951583.33333333337</v>
      </c>
      <c r="W63" s="372">
        <v>3021422.8567503467</v>
      </c>
      <c r="X63" s="41"/>
      <c r="Y63" s="365">
        <v>950000</v>
      </c>
      <c r="Z63" s="370">
        <v>950000</v>
      </c>
      <c r="AA63" s="370">
        <v>0</v>
      </c>
      <c r="AB63" s="375">
        <v>2071422.8567503467</v>
      </c>
      <c r="AC63" s="41"/>
      <c r="AD63" s="449">
        <v>950000</v>
      </c>
      <c r="AE63" s="365">
        <v>35297.848823216227</v>
      </c>
      <c r="AF63" s="375">
        <v>1084541.674593797</v>
      </c>
      <c r="AH63" s="365">
        <v>36903.815906474381</v>
      </c>
      <c r="AI63" s="370">
        <v>36903.815906474381</v>
      </c>
      <c r="AJ63" s="370">
        <v>0</v>
      </c>
      <c r="AK63" s="375">
        <v>1047637.8586873226</v>
      </c>
      <c r="AM63" s="365">
        <v>36824.984631874999</v>
      </c>
      <c r="AN63" s="370">
        <v>36824.984631874999</v>
      </c>
      <c r="AO63" s="370">
        <v>0</v>
      </c>
      <c r="AP63" s="375">
        <v>1010812.8740554476</v>
      </c>
      <c r="AR63" s="365">
        <v>0</v>
      </c>
      <c r="AS63" s="375">
        <v>535385.95758806495</v>
      </c>
      <c r="AU63" s="378">
        <v>950000</v>
      </c>
      <c r="AV63" s="379">
        <v>-1583.3333333333721</v>
      </c>
      <c r="AW63" s="380">
        <v>950000</v>
      </c>
      <c r="AX63" s="381">
        <v>536969.29092139832</v>
      </c>
      <c r="AZ63" s="365">
        <v>0</v>
      </c>
      <c r="BA63" s="370">
        <v>0</v>
      </c>
      <c r="BB63" s="370">
        <v>0</v>
      </c>
      <c r="BC63" s="375">
        <v>536969.29092139832</v>
      </c>
      <c r="BE63" s="365">
        <v>442372.8032300963</v>
      </c>
      <c r="BF63" s="370">
        <v>-33054.113237286336</v>
      </c>
      <c r="BG63" s="370">
        <v>442372.8032300963</v>
      </c>
      <c r="BH63" s="375">
        <v>570023.40415868466</v>
      </c>
      <c r="BJ63" s="365">
        <v>2171142.5054897536</v>
      </c>
      <c r="BK63" s="370">
        <v>570023.40415868466</v>
      </c>
      <c r="BL63" s="370">
        <v>1601119.1013310689</v>
      </c>
      <c r="BM63" s="375">
        <v>0</v>
      </c>
      <c r="BO63" s="365">
        <v>3032802.1925999997</v>
      </c>
      <c r="BP63" s="370">
        <v>0</v>
      </c>
      <c r="BQ63" s="370">
        <v>3032802.1925999997</v>
      </c>
      <c r="BR63" s="375">
        <v>0</v>
      </c>
      <c r="BT63" s="365">
        <v>5442210.5944832284</v>
      </c>
      <c r="BU63" s="370">
        <v>0</v>
      </c>
      <c r="BV63" s="370">
        <v>5442210.5944832284</v>
      </c>
      <c r="BW63" s="375">
        <v>0</v>
      </c>
      <c r="BY63" s="365">
        <v>0</v>
      </c>
      <c r="BZ63" s="373">
        <v>0</v>
      </c>
      <c r="CA63" s="375">
        <v>0</v>
      </c>
      <c r="CC63" s="365">
        <v>606927.22006515902</v>
      </c>
      <c r="CD63" s="375">
        <v>36824.984631874999</v>
      </c>
      <c r="CF63" s="365">
        <v>570023.40415868536</v>
      </c>
      <c r="CG63" s="375">
        <v>0</v>
      </c>
      <c r="CI63" s="365">
        <v>0</v>
      </c>
      <c r="CJ63" s="375">
        <v>643752.20469703409</v>
      </c>
    </row>
    <row r="64" spans="1:88" ht="15.6">
      <c r="A64" s="143" t="s">
        <v>295</v>
      </c>
      <c r="B64" s="442">
        <v>0.01</v>
      </c>
      <c r="D64" s="41"/>
      <c r="E64" s="284"/>
      <c r="F64" s="403"/>
      <c r="G64" s="417">
        <v>60</v>
      </c>
      <c r="H64" s="251">
        <v>0</v>
      </c>
      <c r="I64" s="377">
        <v>0</v>
      </c>
      <c r="J64" s="368">
        <v>0</v>
      </c>
      <c r="K64" s="368">
        <v>5158317.220554335</v>
      </c>
      <c r="L64" s="369">
        <v>2593258.3064071932</v>
      </c>
      <c r="N64" s="367">
        <v>2565058.9141471419</v>
      </c>
      <c r="O64" s="370">
        <v>10807434.457900001</v>
      </c>
      <c r="P64" s="370">
        <v>4776207.6431999998</v>
      </c>
      <c r="Q64" s="370">
        <v>11722462.1334788</v>
      </c>
      <c r="R64" s="370">
        <v>8034542.1014999999</v>
      </c>
      <c r="S64" s="370">
        <v>5442210.5944832284</v>
      </c>
      <c r="T64" s="379">
        <v>63626400</v>
      </c>
      <c r="U64" s="371">
        <v>443110.09123547981</v>
      </c>
      <c r="V64" s="371">
        <v>951583.33333333337</v>
      </c>
      <c r="W64" s="372">
        <v>3959752.3387159551</v>
      </c>
      <c r="X64" s="41"/>
      <c r="Y64" s="365">
        <v>0</v>
      </c>
      <c r="Z64" s="370">
        <v>0</v>
      </c>
      <c r="AA64" s="370">
        <v>0</v>
      </c>
      <c r="AB64" s="375">
        <v>3959752.3387159551</v>
      </c>
      <c r="AC64" s="41"/>
      <c r="AD64" s="449">
        <v>0</v>
      </c>
      <c r="AE64" s="365">
        <v>34585.319568017869</v>
      </c>
      <c r="AF64" s="375">
        <v>2973583.6858146037</v>
      </c>
      <c r="AH64" s="365">
        <v>35478.757396077672</v>
      </c>
      <c r="AI64" s="370">
        <v>35478.757396077672</v>
      </c>
      <c r="AJ64" s="370">
        <v>0</v>
      </c>
      <c r="AK64" s="375">
        <v>2938104.928418526</v>
      </c>
      <c r="AM64" s="365">
        <v>36824.984631874999</v>
      </c>
      <c r="AN64" s="370">
        <v>36824.984631874999</v>
      </c>
      <c r="AO64" s="370">
        <v>0</v>
      </c>
      <c r="AP64" s="375">
        <v>2901279.9437866509</v>
      </c>
      <c r="AR64" s="365">
        <v>0</v>
      </c>
      <c r="AS64" s="375">
        <v>2458169.8525511711</v>
      </c>
      <c r="AU64" s="378">
        <v>950000</v>
      </c>
      <c r="AV64" s="379">
        <v>-1583.3333333333721</v>
      </c>
      <c r="AW64" s="380">
        <v>950000</v>
      </c>
      <c r="AX64" s="381">
        <v>2459753.1858845046</v>
      </c>
      <c r="AZ64" s="365">
        <v>0</v>
      </c>
      <c r="BA64" s="370">
        <v>0</v>
      </c>
      <c r="BB64" s="370">
        <v>0</v>
      </c>
      <c r="BC64" s="375">
        <v>2459753.1858845046</v>
      </c>
      <c r="BE64" s="365">
        <v>433822.45216771599</v>
      </c>
      <c r="BF64" s="370">
        <v>-9287.6390677638119</v>
      </c>
      <c r="BG64" s="370">
        <v>433822.45216771599</v>
      </c>
      <c r="BH64" s="375">
        <v>2469040.8249522685</v>
      </c>
      <c r="BJ64" s="365">
        <v>3384068.5005310681</v>
      </c>
      <c r="BK64" s="370">
        <v>2469040.8249522685</v>
      </c>
      <c r="BL64" s="370">
        <v>915027.67557879956</v>
      </c>
      <c r="BM64" s="375">
        <v>0</v>
      </c>
      <c r="BO64" s="365">
        <v>3258334.4583000001</v>
      </c>
      <c r="BP64" s="370">
        <v>0</v>
      </c>
      <c r="BQ64" s="370">
        <v>3258334.4583000001</v>
      </c>
      <c r="BR64" s="375">
        <v>0</v>
      </c>
      <c r="BT64" s="365">
        <v>5442210.5944832284</v>
      </c>
      <c r="BU64" s="370">
        <v>0</v>
      </c>
      <c r="BV64" s="370">
        <v>5442210.5944832284</v>
      </c>
      <c r="BW64" s="375">
        <v>0</v>
      </c>
      <c r="BY64" s="365">
        <v>0</v>
      </c>
      <c r="BZ64" s="373">
        <v>0</v>
      </c>
      <c r="CA64" s="375">
        <v>0</v>
      </c>
      <c r="CC64" s="365">
        <v>2504519.5823483462</v>
      </c>
      <c r="CD64" s="375">
        <v>36824.984631874999</v>
      </c>
      <c r="CF64" s="365">
        <v>2469040.824952269</v>
      </c>
      <c r="CG64" s="375">
        <v>0</v>
      </c>
      <c r="CI64" s="365">
        <v>0</v>
      </c>
      <c r="CJ64" s="375">
        <v>2541344.5669802213</v>
      </c>
    </row>
    <row r="65" spans="1:88" ht="16.2" thickBot="1">
      <c r="A65" s="143" t="s">
        <v>296</v>
      </c>
      <c r="B65" s="444">
        <v>0.01</v>
      </c>
      <c r="D65" s="41"/>
      <c r="G65" s="417">
        <v>61</v>
      </c>
      <c r="H65" s="251">
        <v>0</v>
      </c>
      <c r="I65" s="377">
        <v>0</v>
      </c>
      <c r="J65" s="368">
        <v>0</v>
      </c>
      <c r="K65" s="368">
        <v>5158317.220554335</v>
      </c>
      <c r="L65" s="369">
        <v>2594703.5642760172</v>
      </c>
      <c r="N65" s="367">
        <v>2563613.6562783178</v>
      </c>
      <c r="O65" s="370">
        <v>9019284.7895999998</v>
      </c>
      <c r="P65" s="370">
        <v>4549453.7444000002</v>
      </c>
      <c r="Q65" s="370">
        <v>9217136.6525749844</v>
      </c>
      <c r="R65" s="370">
        <v>8034542.1014999999</v>
      </c>
      <c r="S65" s="370">
        <v>5442210.5944832284</v>
      </c>
      <c r="T65" s="379">
        <v>63626400</v>
      </c>
      <c r="U65" s="371">
        <v>434545.48958799551</v>
      </c>
      <c r="V65" s="371">
        <v>951583.33333333337</v>
      </c>
      <c r="W65" s="372">
        <v>3949742.4791996465</v>
      </c>
      <c r="X65" s="41"/>
      <c r="Y65" s="365">
        <v>0</v>
      </c>
      <c r="Z65" s="370">
        <v>0</v>
      </c>
      <c r="AA65" s="370">
        <v>0</v>
      </c>
      <c r="AB65" s="375">
        <v>3949742.4791996465</v>
      </c>
      <c r="AC65" s="41"/>
      <c r="AD65" s="449">
        <v>0</v>
      </c>
      <c r="AE65" s="365">
        <v>31499.018536827534</v>
      </c>
      <c r="AF65" s="375">
        <v>2966660.1273294855</v>
      </c>
      <c r="AH65" s="365">
        <v>29306.155333696999</v>
      </c>
      <c r="AI65" s="370">
        <v>29306.155333696999</v>
      </c>
      <c r="AJ65" s="370">
        <v>0</v>
      </c>
      <c r="AK65" s="375">
        <v>2937353.9719957886</v>
      </c>
      <c r="AM65" s="365">
        <v>36824.984631874999</v>
      </c>
      <c r="AN65" s="370">
        <v>36824.984631874999</v>
      </c>
      <c r="AO65" s="370">
        <v>0</v>
      </c>
      <c r="AP65" s="375">
        <v>2900528.9873639136</v>
      </c>
      <c r="AR65" s="365">
        <v>0</v>
      </c>
      <c r="AS65" s="375">
        <v>2465983.4977759179</v>
      </c>
      <c r="AU65" s="378">
        <v>950000</v>
      </c>
      <c r="AV65" s="379">
        <v>-1583.3333333333721</v>
      </c>
      <c r="AW65" s="380">
        <v>950000</v>
      </c>
      <c r="AX65" s="381">
        <v>2467566.8311092514</v>
      </c>
      <c r="AZ65" s="365">
        <v>0</v>
      </c>
      <c r="BA65" s="370">
        <v>0</v>
      </c>
      <c r="BB65" s="370">
        <v>0</v>
      </c>
      <c r="BC65" s="375">
        <v>2467566.8311092514</v>
      </c>
      <c r="BE65" s="365">
        <v>396786.83979343198</v>
      </c>
      <c r="BF65" s="370">
        <v>-37758.649794563535</v>
      </c>
      <c r="BG65" s="370">
        <v>396786.83979343198</v>
      </c>
      <c r="BH65" s="375">
        <v>2505325.480903815</v>
      </c>
      <c r="BJ65" s="365">
        <v>2703177.3438788</v>
      </c>
      <c r="BK65" s="370">
        <v>2505325.480903815</v>
      </c>
      <c r="BL65" s="370">
        <v>197851.86297498504</v>
      </c>
      <c r="BM65" s="375">
        <v>0</v>
      </c>
      <c r="BO65" s="365">
        <v>3485088.3570999997</v>
      </c>
      <c r="BP65" s="370">
        <v>0</v>
      </c>
      <c r="BQ65" s="370">
        <v>3485088.3570999997</v>
      </c>
      <c r="BR65" s="375">
        <v>0</v>
      </c>
      <c r="BT65" s="365">
        <v>5442210.5944832284</v>
      </c>
      <c r="BU65" s="370">
        <v>0</v>
      </c>
      <c r="BV65" s="370">
        <v>5442210.5944832284</v>
      </c>
      <c r="BW65" s="375">
        <v>0</v>
      </c>
      <c r="BY65" s="365">
        <v>0</v>
      </c>
      <c r="BZ65" s="373">
        <v>0</v>
      </c>
      <c r="CA65" s="375">
        <v>0</v>
      </c>
      <c r="CC65" s="365">
        <v>2534631.6362375119</v>
      </c>
      <c r="CD65" s="375">
        <v>36824.984631874999</v>
      </c>
      <c r="CF65" s="365">
        <v>2505325.4809038155</v>
      </c>
      <c r="CG65" s="375">
        <v>0</v>
      </c>
      <c r="CI65" s="365">
        <v>0</v>
      </c>
      <c r="CJ65" s="375">
        <v>2571456.6208693869</v>
      </c>
    </row>
    <row r="66" spans="1:88" ht="16.2" thickBot="1">
      <c r="A66" s="143" t="s">
        <v>297</v>
      </c>
      <c r="B66" s="116" t="s">
        <v>393</v>
      </c>
      <c r="D66" s="41"/>
      <c r="G66" s="417">
        <v>62</v>
      </c>
      <c r="H66" s="251">
        <v>0</v>
      </c>
      <c r="I66" s="377">
        <v>2</v>
      </c>
      <c r="J66" s="368">
        <v>0</v>
      </c>
      <c r="K66" s="368">
        <v>4510256.7138521643</v>
      </c>
      <c r="L66" s="369">
        <v>2596149.6276065661</v>
      </c>
      <c r="N66" s="367">
        <v>1914107.0862455983</v>
      </c>
      <c r="O66" s="370">
        <v>7225919.6847999999</v>
      </c>
      <c r="P66" s="370">
        <v>4321471.5954</v>
      </c>
      <c r="Q66" s="370">
        <v>7351440.2273318507</v>
      </c>
      <c r="R66" s="370">
        <v>8034542.1014999999</v>
      </c>
      <c r="S66" s="370">
        <v>5442210.5944832284</v>
      </c>
      <c r="T66" s="379">
        <v>63626400</v>
      </c>
      <c r="U66" s="371">
        <v>397448.15119308769</v>
      </c>
      <c r="V66" s="371">
        <v>951583.33333333337</v>
      </c>
      <c r="W66" s="372">
        <v>3263138.5707720192</v>
      </c>
      <c r="X66" s="41"/>
      <c r="Y66" s="365">
        <v>0</v>
      </c>
      <c r="Z66" s="370">
        <v>0</v>
      </c>
      <c r="AA66" s="370">
        <v>0</v>
      </c>
      <c r="AB66" s="375">
        <v>3263138.5707720192</v>
      </c>
      <c r="AC66" s="41"/>
      <c r="AD66" s="449">
        <v>0</v>
      </c>
      <c r="AE66" s="365">
        <v>28367.361685697764</v>
      </c>
      <c r="AF66" s="375">
        <v>2283187.8757529878</v>
      </c>
      <c r="AH66" s="365">
        <v>23042.841631437459</v>
      </c>
      <c r="AI66" s="370">
        <v>23042.841631437459</v>
      </c>
      <c r="AJ66" s="370">
        <v>0</v>
      </c>
      <c r="AK66" s="375">
        <v>2260145.0341215502</v>
      </c>
      <c r="AM66" s="365">
        <v>36824.984631874999</v>
      </c>
      <c r="AN66" s="370">
        <v>36824.984631874999</v>
      </c>
      <c r="AO66" s="370">
        <v>0</v>
      </c>
      <c r="AP66" s="375">
        <v>2223320.0494896751</v>
      </c>
      <c r="AR66" s="365">
        <v>0</v>
      </c>
      <c r="AS66" s="375">
        <v>1825871.8982965874</v>
      </c>
      <c r="AU66" s="378">
        <v>950000</v>
      </c>
      <c r="AV66" s="379">
        <v>-1583.3333333333721</v>
      </c>
      <c r="AW66" s="380">
        <v>950000</v>
      </c>
      <c r="AX66" s="381">
        <v>1827455.2316299207</v>
      </c>
      <c r="AZ66" s="365">
        <v>0</v>
      </c>
      <c r="BA66" s="370">
        <v>0</v>
      </c>
      <c r="BB66" s="370">
        <v>0</v>
      </c>
      <c r="BC66" s="375">
        <v>1827455.2316299207</v>
      </c>
      <c r="BE66" s="365">
        <v>359206.95757987478</v>
      </c>
      <c r="BF66" s="370">
        <v>-38241.193613212905</v>
      </c>
      <c r="BG66" s="370">
        <v>359206.95757987478</v>
      </c>
      <c r="BH66" s="375">
        <v>1865696.4252431337</v>
      </c>
      <c r="BJ66" s="365">
        <v>1991216.9677749844</v>
      </c>
      <c r="BK66" s="370">
        <v>1865696.4252431337</v>
      </c>
      <c r="BL66" s="370">
        <v>125520.54253185075</v>
      </c>
      <c r="BM66" s="375">
        <v>0</v>
      </c>
      <c r="BO66" s="365">
        <v>3713070.5060999999</v>
      </c>
      <c r="BP66" s="370">
        <v>0</v>
      </c>
      <c r="BQ66" s="370">
        <v>3713070.5060999999</v>
      </c>
      <c r="BR66" s="375">
        <v>0</v>
      </c>
      <c r="BT66" s="365">
        <v>5442210.5944832284</v>
      </c>
      <c r="BU66" s="370">
        <v>0</v>
      </c>
      <c r="BV66" s="370">
        <v>5442210.5944832284</v>
      </c>
      <c r="BW66" s="375">
        <v>0</v>
      </c>
      <c r="BY66" s="365">
        <v>0</v>
      </c>
      <c r="BZ66" s="373">
        <v>0</v>
      </c>
      <c r="CA66" s="375">
        <v>0</v>
      </c>
      <c r="CC66" s="365">
        <v>1888739.2668745711</v>
      </c>
      <c r="CD66" s="375">
        <v>36824.984631874999</v>
      </c>
      <c r="CF66" s="365">
        <v>1865696.4252431337</v>
      </c>
      <c r="CG66" s="375">
        <v>0</v>
      </c>
      <c r="CI66" s="365">
        <v>0</v>
      </c>
      <c r="CJ66" s="375">
        <v>1925564.2515064462</v>
      </c>
    </row>
    <row r="67" spans="1:88" ht="15.6">
      <c r="A67" s="142" t="s">
        <v>298</v>
      </c>
      <c r="B67" s="111" t="s">
        <v>395</v>
      </c>
      <c r="D67" s="41"/>
      <c r="G67" s="417">
        <v>63</v>
      </c>
      <c r="H67" s="251">
        <v>0</v>
      </c>
      <c r="I67" s="377">
        <v>1</v>
      </c>
      <c r="J67" s="368">
        <v>0</v>
      </c>
      <c r="K67" s="368">
        <v>4821688.9000091879</v>
      </c>
      <c r="L67" s="369">
        <v>2597596.4968477339</v>
      </c>
      <c r="N67" s="367">
        <v>2224092.403161454</v>
      </c>
      <c r="O67" s="370">
        <v>5427323.9316999996</v>
      </c>
      <c r="P67" s="370">
        <v>4092254.5430000001</v>
      </c>
      <c r="Q67" s="370">
        <v>5427323.9316999996</v>
      </c>
      <c r="R67" s="370">
        <v>7785637.3623501323</v>
      </c>
      <c r="S67" s="370">
        <v>5442210.5944832284</v>
      </c>
      <c r="T67" s="379">
        <v>63626400</v>
      </c>
      <c r="U67" s="371">
        <v>359805.63584250788</v>
      </c>
      <c r="V67" s="371">
        <v>951583.33333333337</v>
      </c>
      <c r="W67" s="372">
        <v>3535481.3723372952</v>
      </c>
      <c r="X67" s="41"/>
      <c r="Y67" s="365">
        <v>950000</v>
      </c>
      <c r="Z67" s="370">
        <v>950000</v>
      </c>
      <c r="AA67" s="370">
        <v>0</v>
      </c>
      <c r="AB67" s="375">
        <v>2585481.3723372952</v>
      </c>
      <c r="AC67" s="41"/>
      <c r="AD67" s="449">
        <v>950000</v>
      </c>
      <c r="AE67" s="365">
        <v>26035.241154143849</v>
      </c>
      <c r="AF67" s="375">
        <v>1607862.7978498179</v>
      </c>
      <c r="AH67" s="365">
        <v>18378.600568329624</v>
      </c>
      <c r="AI67" s="370">
        <v>18378.600568329624</v>
      </c>
      <c r="AJ67" s="370">
        <v>0</v>
      </c>
      <c r="AK67" s="375">
        <v>1589484.1972814882</v>
      </c>
      <c r="AM67" s="365">
        <v>36824.984631874999</v>
      </c>
      <c r="AN67" s="370">
        <v>36824.984631874999</v>
      </c>
      <c r="AO67" s="370">
        <v>0</v>
      </c>
      <c r="AP67" s="375">
        <v>1552659.2126496132</v>
      </c>
      <c r="AR67" s="365">
        <v>0</v>
      </c>
      <c r="AS67" s="375">
        <v>1192853.5768071052</v>
      </c>
      <c r="AU67" s="378">
        <v>0</v>
      </c>
      <c r="AV67" s="379">
        <v>-951583.33333333337</v>
      </c>
      <c r="AW67" s="380">
        <v>0</v>
      </c>
      <c r="AX67" s="381">
        <v>2144436.9101404385</v>
      </c>
      <c r="AZ67" s="365">
        <v>0</v>
      </c>
      <c r="BA67" s="370">
        <v>0</v>
      </c>
      <c r="BB67" s="370">
        <v>0</v>
      </c>
      <c r="BC67" s="375">
        <v>2144436.9101404385</v>
      </c>
      <c r="BE67" s="365">
        <v>331221.51120122778</v>
      </c>
      <c r="BF67" s="370">
        <v>-28584.124641280097</v>
      </c>
      <c r="BG67" s="370">
        <v>331221.51120122778</v>
      </c>
      <c r="BH67" s="375">
        <v>2173021.0347817186</v>
      </c>
      <c r="BJ67" s="365">
        <v>1924116.2956318511</v>
      </c>
      <c r="BK67" s="370">
        <v>1924116.2956318511</v>
      </c>
      <c r="BL67" s="370">
        <v>0</v>
      </c>
      <c r="BM67" s="375">
        <v>248904.73914986756</v>
      </c>
      <c r="BO67" s="365">
        <v>3942287.5584999998</v>
      </c>
      <c r="BP67" s="370">
        <v>248904.73914986756</v>
      </c>
      <c r="BQ67" s="370">
        <v>3693382.8193501323</v>
      </c>
      <c r="BR67" s="375">
        <v>0</v>
      </c>
      <c r="BT67" s="365">
        <v>5442210.5944832284</v>
      </c>
      <c r="BU67" s="370">
        <v>0</v>
      </c>
      <c r="BV67" s="370">
        <v>5442210.5944832284</v>
      </c>
      <c r="BW67" s="375">
        <v>0</v>
      </c>
      <c r="BY67" s="365">
        <v>0</v>
      </c>
      <c r="BZ67" s="373">
        <v>0</v>
      </c>
      <c r="CA67" s="375">
        <v>0</v>
      </c>
      <c r="CC67" s="365">
        <v>1942494.8962001808</v>
      </c>
      <c r="CD67" s="375">
        <v>285729.72378174256</v>
      </c>
      <c r="CF67" s="365">
        <v>1924116.2956318511</v>
      </c>
      <c r="CG67" s="375">
        <v>248904.73914986756</v>
      </c>
      <c r="CI67" s="365">
        <v>0</v>
      </c>
      <c r="CJ67" s="375">
        <v>2228224.6199819231</v>
      </c>
    </row>
    <row r="68" spans="1:88">
      <c r="D68" s="284"/>
      <c r="E68" s="284"/>
      <c r="F68" s="403"/>
      <c r="G68" s="417">
        <v>64</v>
      </c>
      <c r="H68" s="251">
        <v>0</v>
      </c>
      <c r="I68" s="377">
        <v>0</v>
      </c>
      <c r="J68" s="368">
        <v>0</v>
      </c>
      <c r="K68" s="368">
        <v>5161790.6159841204</v>
      </c>
      <c r="L68" s="369">
        <v>2599044.1724486654</v>
      </c>
      <c r="N68" s="367">
        <v>2562746.443535455</v>
      </c>
      <c r="O68" s="370">
        <v>3623482.2744</v>
      </c>
      <c r="P68" s="370">
        <v>3861795.8983</v>
      </c>
      <c r="Q68" s="370">
        <v>3850890.273485465</v>
      </c>
      <c r="R68" s="370">
        <v>7785637.3623501323</v>
      </c>
      <c r="S68" s="370">
        <v>5442210.5944832284</v>
      </c>
      <c r="T68" s="379">
        <v>63626400</v>
      </c>
      <c r="U68" s="371">
        <v>331773.54705322982</v>
      </c>
      <c r="V68" s="371">
        <v>0</v>
      </c>
      <c r="W68" s="372">
        <v>2894519.990588685</v>
      </c>
      <c r="X68" s="41"/>
      <c r="Y68" s="365">
        <v>0</v>
      </c>
      <c r="Z68" s="370">
        <v>0</v>
      </c>
      <c r="AA68" s="370">
        <v>0</v>
      </c>
      <c r="AB68" s="375">
        <v>2894519.990588685</v>
      </c>
      <c r="AC68" s="41"/>
      <c r="AD68" s="449">
        <v>0</v>
      </c>
      <c r="AE68" s="365">
        <v>23318.9648606667</v>
      </c>
      <c r="AF68" s="375">
        <v>2871201.0257280185</v>
      </c>
      <c r="AH68" s="365">
        <v>13568.309829249998</v>
      </c>
      <c r="AI68" s="370">
        <v>13568.309829249998</v>
      </c>
      <c r="AJ68" s="370">
        <v>0</v>
      </c>
      <c r="AK68" s="375">
        <v>2857632.7158987685</v>
      </c>
      <c r="AM68" s="365">
        <v>35684.171244104771</v>
      </c>
      <c r="AN68" s="370">
        <v>35684.171244104771</v>
      </c>
      <c r="AO68" s="370">
        <v>0</v>
      </c>
      <c r="AP68" s="375">
        <v>2821948.5446546637</v>
      </c>
      <c r="AR68" s="365">
        <v>0</v>
      </c>
      <c r="AS68" s="375">
        <v>2490174.9976014337</v>
      </c>
      <c r="AU68" s="378">
        <v>950000</v>
      </c>
      <c r="AV68" s="379">
        <v>950000</v>
      </c>
      <c r="AW68" s="380">
        <v>950000</v>
      </c>
      <c r="AX68" s="381">
        <v>1540174.9976014337</v>
      </c>
      <c r="AZ68" s="365">
        <v>0</v>
      </c>
      <c r="BA68" s="370">
        <v>0</v>
      </c>
      <c r="BB68" s="370">
        <v>0</v>
      </c>
      <c r="BC68" s="375">
        <v>1540174.9976014337</v>
      </c>
      <c r="BE68" s="365">
        <v>295514.88644012861</v>
      </c>
      <c r="BF68" s="370">
        <v>-36258.660613101209</v>
      </c>
      <c r="BG68" s="370">
        <v>295514.88644012861</v>
      </c>
      <c r="BH68" s="375">
        <v>1576433.6582145349</v>
      </c>
      <c r="BJ68" s="365">
        <v>1803841.6572999996</v>
      </c>
      <c r="BK68" s="370">
        <v>1576433.6582145349</v>
      </c>
      <c r="BL68" s="370">
        <v>227407.99908546475</v>
      </c>
      <c r="BM68" s="375">
        <v>0</v>
      </c>
      <c r="BO68" s="365">
        <v>3923841.4640501323</v>
      </c>
      <c r="BP68" s="370">
        <v>0</v>
      </c>
      <c r="BQ68" s="370">
        <v>3923841.4640501323</v>
      </c>
      <c r="BR68" s="375">
        <v>0</v>
      </c>
      <c r="BT68" s="365">
        <v>5442210.5944832284</v>
      </c>
      <c r="BU68" s="370">
        <v>0</v>
      </c>
      <c r="BV68" s="370">
        <v>5442210.5944832284</v>
      </c>
      <c r="BW68" s="375">
        <v>0</v>
      </c>
      <c r="BY68" s="365">
        <v>0</v>
      </c>
      <c r="BZ68" s="373">
        <v>0</v>
      </c>
      <c r="CA68" s="375">
        <v>0</v>
      </c>
      <c r="CC68" s="365">
        <v>1590001.9680437848</v>
      </c>
      <c r="CD68" s="375">
        <v>35684.171244104771</v>
      </c>
      <c r="CF68" s="365">
        <v>1576433.6582145346</v>
      </c>
      <c r="CG68" s="375">
        <v>0</v>
      </c>
      <c r="CI68" s="365">
        <v>0</v>
      </c>
      <c r="CJ68" s="375">
        <v>1625686.1392878897</v>
      </c>
    </row>
    <row r="69" spans="1:88">
      <c r="D69" s="41"/>
      <c r="G69" s="417">
        <v>65</v>
      </c>
      <c r="H69" s="251">
        <v>0</v>
      </c>
      <c r="I69" s="377">
        <v>2</v>
      </c>
      <c r="J69" s="368">
        <v>0</v>
      </c>
      <c r="K69" s="368">
        <v>4512811.6687081074</v>
      </c>
      <c r="L69" s="369">
        <v>2600492.6548587563</v>
      </c>
      <c r="N69" s="367">
        <v>1912319.0138493511</v>
      </c>
      <c r="O69" s="370">
        <v>1814379.4121999999</v>
      </c>
      <c r="P69" s="370">
        <v>3630088.9358999999</v>
      </c>
      <c r="Q69" s="370">
        <v>1979508.7163345462</v>
      </c>
      <c r="R69" s="370">
        <v>7785637.3623501323</v>
      </c>
      <c r="S69" s="370">
        <v>5442210.5944832284</v>
      </c>
      <c r="T69" s="379">
        <v>63626400</v>
      </c>
      <c r="U69" s="371">
        <v>296007.41125086218</v>
      </c>
      <c r="V69" s="371">
        <v>951583.33333333337</v>
      </c>
      <c r="W69" s="372">
        <v>3159909.7584335469</v>
      </c>
      <c r="X69" s="41"/>
      <c r="Y69" s="365">
        <v>0</v>
      </c>
      <c r="Z69" s="370">
        <v>0</v>
      </c>
      <c r="AA69" s="370">
        <v>0</v>
      </c>
      <c r="AB69" s="375">
        <v>3159909.7584335469</v>
      </c>
      <c r="AC69" s="41"/>
      <c r="AD69" s="449">
        <v>0</v>
      </c>
      <c r="AE69" s="365">
        <v>21348.422787898533</v>
      </c>
      <c r="AF69" s="375">
        <v>2186978.0023123147</v>
      </c>
      <c r="AH69" s="365">
        <v>9627.2256837136629</v>
      </c>
      <c r="AI69" s="370">
        <v>9627.2256837136629</v>
      </c>
      <c r="AJ69" s="370">
        <v>0</v>
      </c>
      <c r="AK69" s="375">
        <v>2177350.7766286009</v>
      </c>
      <c r="AM69" s="365">
        <v>35684.171244104771</v>
      </c>
      <c r="AN69" s="370">
        <v>35684.171244104771</v>
      </c>
      <c r="AO69" s="370">
        <v>0</v>
      </c>
      <c r="AP69" s="375">
        <v>2141666.605384496</v>
      </c>
      <c r="AR69" s="365">
        <v>0</v>
      </c>
      <c r="AS69" s="375">
        <v>1845659.1941336337</v>
      </c>
      <c r="AU69" s="378">
        <v>950000</v>
      </c>
      <c r="AV69" s="379">
        <v>-1583.3333333333721</v>
      </c>
      <c r="AW69" s="380">
        <v>950000</v>
      </c>
      <c r="AX69" s="381">
        <v>1847242.5274669672</v>
      </c>
      <c r="AZ69" s="365">
        <v>0</v>
      </c>
      <c r="BA69" s="370">
        <v>0</v>
      </c>
      <c r="BB69" s="370">
        <v>0</v>
      </c>
      <c r="BC69" s="375">
        <v>1847242.5274669672</v>
      </c>
      <c r="BE69" s="365">
        <v>271868.3815669106</v>
      </c>
      <c r="BF69" s="370">
        <v>-24139.029683951579</v>
      </c>
      <c r="BG69" s="370">
        <v>271868.3815669106</v>
      </c>
      <c r="BH69" s="375">
        <v>1871381.5571509188</v>
      </c>
      <c r="BJ69" s="365">
        <v>2036510.8612854651</v>
      </c>
      <c r="BK69" s="370">
        <v>1871381.5571509188</v>
      </c>
      <c r="BL69" s="370">
        <v>165129.30413454631</v>
      </c>
      <c r="BM69" s="375">
        <v>0</v>
      </c>
      <c r="BO69" s="365">
        <v>4155548.4264501324</v>
      </c>
      <c r="BP69" s="370">
        <v>0</v>
      </c>
      <c r="BQ69" s="370">
        <v>4155548.4264501324</v>
      </c>
      <c r="BR69" s="375">
        <v>0</v>
      </c>
      <c r="BT69" s="365">
        <v>5442210.5944832284</v>
      </c>
      <c r="BU69" s="370">
        <v>0</v>
      </c>
      <c r="BV69" s="370">
        <v>5442210.5944832284</v>
      </c>
      <c r="BW69" s="375">
        <v>0</v>
      </c>
      <c r="BY69" s="365">
        <v>0</v>
      </c>
      <c r="BZ69" s="373">
        <v>0</v>
      </c>
      <c r="CA69" s="375">
        <v>0</v>
      </c>
      <c r="CC69" s="365">
        <v>1881008.7828346323</v>
      </c>
      <c r="CD69" s="375">
        <v>35684.171244104771</v>
      </c>
      <c r="CF69" s="365">
        <v>1871381.5571509188</v>
      </c>
      <c r="CG69" s="375">
        <v>0</v>
      </c>
      <c r="CI69" s="365">
        <v>0</v>
      </c>
      <c r="CJ69" s="375">
        <v>1916692.9540787372</v>
      </c>
    </row>
    <row r="70" spans="1:88">
      <c r="D70" s="41"/>
      <c r="G70" s="417">
        <v>66</v>
      </c>
      <c r="H70" s="251">
        <v>0</v>
      </c>
      <c r="I70" s="377">
        <v>2</v>
      </c>
      <c r="J70" s="368">
        <v>0</v>
      </c>
      <c r="K70" s="368">
        <v>4521934.0652634744</v>
      </c>
      <c r="L70" s="369">
        <v>2601941.9445276521</v>
      </c>
      <c r="N70" s="367">
        <v>1919992.1207358222</v>
      </c>
      <c r="O70" s="370">
        <v>0</v>
      </c>
      <c r="P70" s="370">
        <v>3397126.8941000002</v>
      </c>
      <c r="Q70" s="370">
        <v>89051.563815250294</v>
      </c>
      <c r="R70" s="370">
        <v>7785637.3623501323</v>
      </c>
      <c r="S70" s="370">
        <v>5442210.5944832284</v>
      </c>
      <c r="T70" s="379">
        <v>63626400</v>
      </c>
      <c r="U70" s="371">
        <v>272321.49553618877</v>
      </c>
      <c r="V70" s="371">
        <v>951583.33333333337</v>
      </c>
      <c r="W70" s="372">
        <v>3143896.9496053443</v>
      </c>
      <c r="X70" s="41"/>
      <c r="Y70" s="365">
        <v>0</v>
      </c>
      <c r="Z70" s="370">
        <v>0</v>
      </c>
      <c r="AA70" s="370">
        <v>0</v>
      </c>
      <c r="AB70" s="375">
        <v>3143896.9496053443</v>
      </c>
      <c r="AC70" s="41"/>
      <c r="AD70" s="449">
        <v>0</v>
      </c>
      <c r="AE70" s="365">
        <v>19009.195841459881</v>
      </c>
      <c r="AF70" s="375">
        <v>2173304.4204305508</v>
      </c>
      <c r="AH70" s="365">
        <v>4948.7717908363657</v>
      </c>
      <c r="AI70" s="370">
        <v>4948.7717908363657</v>
      </c>
      <c r="AJ70" s="370">
        <v>0</v>
      </c>
      <c r="AK70" s="375">
        <v>2168355.6486397143</v>
      </c>
      <c r="AM70" s="365">
        <v>35684.171244104771</v>
      </c>
      <c r="AN70" s="370">
        <v>35684.171244104771</v>
      </c>
      <c r="AO70" s="370">
        <v>0</v>
      </c>
      <c r="AP70" s="375">
        <v>2132671.4773956095</v>
      </c>
      <c r="AR70" s="365">
        <v>0</v>
      </c>
      <c r="AS70" s="375">
        <v>1860349.9818594207</v>
      </c>
      <c r="AU70" s="378">
        <v>950000</v>
      </c>
      <c r="AV70" s="379">
        <v>-1583.3333333333721</v>
      </c>
      <c r="AW70" s="380">
        <v>950000</v>
      </c>
      <c r="AX70" s="381">
        <v>1861933.3151927539</v>
      </c>
      <c r="AZ70" s="365">
        <v>0</v>
      </c>
      <c r="BA70" s="370">
        <v>0</v>
      </c>
      <c r="BB70" s="370">
        <v>0</v>
      </c>
      <c r="BC70" s="375">
        <v>1861933.3151927539</v>
      </c>
      <c r="BE70" s="365">
        <v>243797.65820964682</v>
      </c>
      <c r="BF70" s="370">
        <v>-28523.83732654195</v>
      </c>
      <c r="BG70" s="370">
        <v>243797.65820964682</v>
      </c>
      <c r="BH70" s="375">
        <v>1890457.1525192959</v>
      </c>
      <c r="BJ70" s="365">
        <v>1979508.7163345462</v>
      </c>
      <c r="BK70" s="370">
        <v>1890457.1525192959</v>
      </c>
      <c r="BL70" s="370">
        <v>89051.563815250294</v>
      </c>
      <c r="BM70" s="375">
        <v>0</v>
      </c>
      <c r="BO70" s="365">
        <v>4388510.4682501322</v>
      </c>
      <c r="BP70" s="370">
        <v>0</v>
      </c>
      <c r="BQ70" s="370">
        <v>4388510.4682501322</v>
      </c>
      <c r="BR70" s="375">
        <v>0</v>
      </c>
      <c r="BT70" s="365">
        <v>5442210.5944832284</v>
      </c>
      <c r="BU70" s="370">
        <v>0</v>
      </c>
      <c r="BV70" s="370">
        <v>5442210.5944832284</v>
      </c>
      <c r="BW70" s="375">
        <v>0</v>
      </c>
      <c r="BY70" s="365">
        <v>0</v>
      </c>
      <c r="BZ70" s="373">
        <v>0</v>
      </c>
      <c r="CA70" s="375">
        <v>0</v>
      </c>
      <c r="CC70" s="365">
        <v>1895405.9243101324</v>
      </c>
      <c r="CD70" s="375">
        <v>35684.171244104771</v>
      </c>
      <c r="CF70" s="365">
        <v>1890457.1525192959</v>
      </c>
      <c r="CG70" s="375">
        <v>0</v>
      </c>
      <c r="CI70" s="365">
        <v>0</v>
      </c>
      <c r="CJ70" s="375">
        <v>1931090.095554237</v>
      </c>
    </row>
    <row r="71" spans="1:88">
      <c r="D71" s="41"/>
      <c r="G71" s="417">
        <v>67</v>
      </c>
      <c r="H71" s="251">
        <v>0</v>
      </c>
      <c r="I71" s="377">
        <v>0</v>
      </c>
      <c r="J71" s="368">
        <v>0</v>
      </c>
      <c r="K71" s="368">
        <v>5172137.5999712786</v>
      </c>
      <c r="L71" s="369">
        <v>2603392.0419052485</v>
      </c>
      <c r="N71" s="367">
        <v>2568745.55806603</v>
      </c>
      <c r="O71" s="370">
        <v>0</v>
      </c>
      <c r="P71" s="370">
        <v>3162902.9745999998</v>
      </c>
      <c r="Q71" s="370">
        <v>0</v>
      </c>
      <c r="R71" s="370">
        <v>5328149.7726023337</v>
      </c>
      <c r="S71" s="370">
        <v>5442210.5944832284</v>
      </c>
      <c r="T71" s="379">
        <v>63626400</v>
      </c>
      <c r="U71" s="371">
        <v>244203.98763999622</v>
      </c>
      <c r="V71" s="371">
        <v>951583.33333333337</v>
      </c>
      <c r="W71" s="372">
        <v>3764532.8790393597</v>
      </c>
      <c r="X71" s="41"/>
      <c r="Y71" s="365">
        <v>0</v>
      </c>
      <c r="Z71" s="370">
        <v>0</v>
      </c>
      <c r="AA71" s="370">
        <v>0</v>
      </c>
      <c r="AB71" s="375">
        <v>3764532.8790393597</v>
      </c>
      <c r="AC71" s="41"/>
      <c r="AD71" s="449">
        <v>0</v>
      </c>
      <c r="AE71" s="365">
        <v>16646.124400810764</v>
      </c>
      <c r="AF71" s="375">
        <v>2796303.4213052155</v>
      </c>
      <c r="AH71" s="365">
        <v>222.62890953812573</v>
      </c>
      <c r="AI71" s="370">
        <v>222.62890953812573</v>
      </c>
      <c r="AJ71" s="370">
        <v>0</v>
      </c>
      <c r="AK71" s="375">
        <v>2796080.7923956774</v>
      </c>
      <c r="AM71" s="365">
        <v>35684.171244104771</v>
      </c>
      <c r="AN71" s="370">
        <v>35684.171244104771</v>
      </c>
      <c r="AO71" s="370">
        <v>0</v>
      </c>
      <c r="AP71" s="375">
        <v>2760396.6211515726</v>
      </c>
      <c r="AR71" s="365">
        <v>0</v>
      </c>
      <c r="AS71" s="375">
        <v>2516192.6335115763</v>
      </c>
      <c r="AU71" s="378">
        <v>950000</v>
      </c>
      <c r="AV71" s="379">
        <v>-1583.3333333333721</v>
      </c>
      <c r="AW71" s="380">
        <v>950000</v>
      </c>
      <c r="AX71" s="381">
        <v>2517775.9668449098</v>
      </c>
      <c r="AZ71" s="365">
        <v>0</v>
      </c>
      <c r="BA71" s="370">
        <v>0</v>
      </c>
      <c r="BB71" s="370">
        <v>0</v>
      </c>
      <c r="BC71" s="375">
        <v>2517775.9668449098</v>
      </c>
      <c r="BE71" s="365">
        <v>215440.80092185739</v>
      </c>
      <c r="BF71" s="370">
        <v>-28763.186718138837</v>
      </c>
      <c r="BG71" s="370">
        <v>215440.80092185739</v>
      </c>
      <c r="BH71" s="375">
        <v>2546539.1535630487</v>
      </c>
      <c r="BJ71" s="365">
        <v>89051.563815250294</v>
      </c>
      <c r="BK71" s="370">
        <v>89051.563815250294</v>
      </c>
      <c r="BL71" s="370">
        <v>0</v>
      </c>
      <c r="BM71" s="375">
        <v>2457487.5897477986</v>
      </c>
      <c r="BO71" s="365">
        <v>4622734.387750132</v>
      </c>
      <c r="BP71" s="370">
        <v>2457487.5897477986</v>
      </c>
      <c r="BQ71" s="370">
        <v>2165246.7980023334</v>
      </c>
      <c r="BR71" s="375">
        <v>0</v>
      </c>
      <c r="BT71" s="365">
        <v>5442210.5944832284</v>
      </c>
      <c r="BU71" s="370">
        <v>0</v>
      </c>
      <c r="BV71" s="370">
        <v>5442210.5944832284</v>
      </c>
      <c r="BW71" s="375">
        <v>0</v>
      </c>
      <c r="BY71" s="365">
        <v>0</v>
      </c>
      <c r="BZ71" s="373">
        <v>0</v>
      </c>
      <c r="CA71" s="375">
        <v>0</v>
      </c>
      <c r="CC71" s="365">
        <v>89274.192724788416</v>
      </c>
      <c r="CD71" s="375">
        <v>2493171.7609919035</v>
      </c>
      <c r="CF71" s="365">
        <v>89051.563815250294</v>
      </c>
      <c r="CG71" s="375">
        <v>2457487.5897477986</v>
      </c>
      <c r="CI71" s="365">
        <v>0</v>
      </c>
      <c r="CJ71" s="375">
        <v>2582445.953716692</v>
      </c>
    </row>
    <row r="72" spans="1:88">
      <c r="G72" s="417">
        <v>68</v>
      </c>
      <c r="H72" s="251">
        <v>0</v>
      </c>
      <c r="I72" s="377">
        <v>3</v>
      </c>
      <c r="J72" s="368">
        <v>0</v>
      </c>
      <c r="K72" s="368">
        <v>4194224.442768292</v>
      </c>
      <c r="L72" s="369">
        <v>2604842.9474416934</v>
      </c>
      <c r="N72" s="367">
        <v>1589381.4953265986</v>
      </c>
      <c r="O72" s="370">
        <v>0</v>
      </c>
      <c r="P72" s="370">
        <v>2927410.3421999998</v>
      </c>
      <c r="Q72" s="370">
        <v>0</v>
      </c>
      <c r="R72" s="370">
        <v>4655792.8306821901</v>
      </c>
      <c r="S72" s="370">
        <v>5442210.5944832284</v>
      </c>
      <c r="T72" s="379">
        <v>63626400</v>
      </c>
      <c r="U72" s="371">
        <v>215799.86892339381</v>
      </c>
      <c r="V72" s="371">
        <v>951583.33333333337</v>
      </c>
      <c r="W72" s="372">
        <v>2756764.6975833257</v>
      </c>
      <c r="X72" s="41"/>
      <c r="Y72" s="365">
        <v>950000</v>
      </c>
      <c r="Z72" s="370">
        <v>950000</v>
      </c>
      <c r="AA72" s="370">
        <v>0</v>
      </c>
      <c r="AB72" s="375">
        <v>1806764.6975833257</v>
      </c>
      <c r="AC72" s="41"/>
      <c r="AD72" s="449">
        <v>950000</v>
      </c>
      <c r="AE72" s="365">
        <v>13462.950458856953</v>
      </c>
      <c r="AF72" s="375">
        <v>841718.4137911353</v>
      </c>
      <c r="AH72" s="365">
        <v>0</v>
      </c>
      <c r="AI72" s="370">
        <v>0</v>
      </c>
      <c r="AJ72" s="370">
        <v>0</v>
      </c>
      <c r="AK72" s="375">
        <v>841718.4137911353</v>
      </c>
      <c r="AM72" s="365">
        <v>24420.686457760698</v>
      </c>
      <c r="AN72" s="370">
        <v>24420.686457760698</v>
      </c>
      <c r="AO72" s="370">
        <v>0</v>
      </c>
      <c r="AP72" s="375">
        <v>817297.72733337455</v>
      </c>
      <c r="AR72" s="365">
        <v>0</v>
      </c>
      <c r="AS72" s="375">
        <v>601497.85840998078</v>
      </c>
      <c r="AU72" s="378">
        <v>950000</v>
      </c>
      <c r="AV72" s="379">
        <v>-1583.3333333333721</v>
      </c>
      <c r="AW72" s="380">
        <v>950000</v>
      </c>
      <c r="AX72" s="381">
        <v>603081.19174331415</v>
      </c>
      <c r="AZ72" s="365">
        <v>0</v>
      </c>
      <c r="BA72" s="370">
        <v>0</v>
      </c>
      <c r="BB72" s="370">
        <v>0</v>
      </c>
      <c r="BC72" s="375">
        <v>603081.19174331415</v>
      </c>
      <c r="BE72" s="365">
        <v>146524.11874656417</v>
      </c>
      <c r="BF72" s="370">
        <v>-69275.750176829635</v>
      </c>
      <c r="BG72" s="370">
        <v>146524.11874656417</v>
      </c>
      <c r="BH72" s="375">
        <v>672356.94192014378</v>
      </c>
      <c r="BJ72" s="365">
        <v>0</v>
      </c>
      <c r="BK72" s="370">
        <v>0</v>
      </c>
      <c r="BL72" s="370">
        <v>0</v>
      </c>
      <c r="BM72" s="375">
        <v>672356.94192014378</v>
      </c>
      <c r="BO72" s="365">
        <v>2400739.4304023338</v>
      </c>
      <c r="BP72" s="370">
        <v>672356.94192014378</v>
      </c>
      <c r="BQ72" s="370">
        <v>1728382.4884821901</v>
      </c>
      <c r="BR72" s="375">
        <v>0</v>
      </c>
      <c r="BT72" s="365">
        <v>5442210.5944832284</v>
      </c>
      <c r="BU72" s="370">
        <v>0</v>
      </c>
      <c r="BV72" s="370">
        <v>5442210.5944832284</v>
      </c>
      <c r="BW72" s="375">
        <v>0</v>
      </c>
      <c r="BY72" s="365">
        <v>0</v>
      </c>
      <c r="BZ72" s="373">
        <v>0</v>
      </c>
      <c r="CA72" s="375">
        <v>0</v>
      </c>
      <c r="CC72" s="365">
        <v>0</v>
      </c>
      <c r="CD72" s="375">
        <v>696777.62837790453</v>
      </c>
      <c r="CF72" s="365">
        <v>0</v>
      </c>
      <c r="CG72" s="375">
        <v>672356.94192014355</v>
      </c>
      <c r="CI72" s="365">
        <v>0</v>
      </c>
      <c r="CJ72" s="375">
        <v>696777.62837790453</v>
      </c>
    </row>
    <row r="73" spans="1:88">
      <c r="G73" s="417">
        <v>69</v>
      </c>
      <c r="H73" s="251">
        <v>0</v>
      </c>
      <c r="I73" s="377">
        <v>1</v>
      </c>
      <c r="J73" s="368">
        <v>0</v>
      </c>
      <c r="K73" s="368">
        <v>4925857.0102677019</v>
      </c>
      <c r="L73" s="369">
        <v>2606294.6615873836</v>
      </c>
      <c r="N73" s="367">
        <v>2319562.3486803183</v>
      </c>
      <c r="O73" s="370">
        <v>0</v>
      </c>
      <c r="P73" s="370">
        <v>2690642.1247</v>
      </c>
      <c r="Q73" s="370">
        <v>0</v>
      </c>
      <c r="R73" s="370">
        <v>2690642.1247</v>
      </c>
      <c r="S73" s="370">
        <v>5101443.1504398026</v>
      </c>
      <c r="T73" s="379">
        <v>63626400</v>
      </c>
      <c r="U73" s="371">
        <v>146768.32561114177</v>
      </c>
      <c r="V73" s="371">
        <v>951583.33333333337</v>
      </c>
      <c r="W73" s="372">
        <v>3417914.0076247933</v>
      </c>
      <c r="X73" s="41"/>
      <c r="Y73" s="365">
        <v>0</v>
      </c>
      <c r="Z73" s="370">
        <v>0</v>
      </c>
      <c r="AA73" s="370">
        <v>0</v>
      </c>
      <c r="AB73" s="375">
        <v>3417914.0076247933</v>
      </c>
      <c r="AC73" s="41"/>
      <c r="AD73" s="449">
        <v>0</v>
      </c>
      <c r="AE73" s="365">
        <v>12622.504281456773</v>
      </c>
      <c r="AF73" s="375">
        <v>2453708.1700100033</v>
      </c>
      <c r="AH73" s="365">
        <v>0</v>
      </c>
      <c r="AI73" s="370">
        <v>0</v>
      </c>
      <c r="AJ73" s="370">
        <v>0</v>
      </c>
      <c r="AK73" s="375">
        <v>2453708.1700100033</v>
      </c>
      <c r="AM73" s="365">
        <v>21339.050473960036</v>
      </c>
      <c r="AN73" s="370">
        <v>21339.050473960036</v>
      </c>
      <c r="AO73" s="370">
        <v>0</v>
      </c>
      <c r="AP73" s="375">
        <v>2432369.1195360431</v>
      </c>
      <c r="AR73" s="365">
        <v>0</v>
      </c>
      <c r="AS73" s="375">
        <v>2285600.7939249012</v>
      </c>
      <c r="AU73" s="378">
        <v>950000</v>
      </c>
      <c r="AV73" s="379">
        <v>-1583.3333333333721</v>
      </c>
      <c r="AW73" s="380">
        <v>950000</v>
      </c>
      <c r="AX73" s="381">
        <v>2287184.1272582347</v>
      </c>
      <c r="AZ73" s="365">
        <v>0</v>
      </c>
      <c r="BA73" s="370">
        <v>0</v>
      </c>
      <c r="BB73" s="370">
        <v>0</v>
      </c>
      <c r="BC73" s="375">
        <v>2287184.1272582347</v>
      </c>
      <c r="BE73" s="365">
        <v>128034.30284376023</v>
      </c>
      <c r="BF73" s="370">
        <v>-18734.022767381539</v>
      </c>
      <c r="BG73" s="370">
        <v>128034.30284376023</v>
      </c>
      <c r="BH73" s="375">
        <v>2305918.1500256164</v>
      </c>
      <c r="BJ73" s="365">
        <v>0</v>
      </c>
      <c r="BK73" s="370">
        <v>0</v>
      </c>
      <c r="BL73" s="370">
        <v>0</v>
      </c>
      <c r="BM73" s="375">
        <v>2305918.1500256164</v>
      </c>
      <c r="BO73" s="365">
        <v>1965150.7059821901</v>
      </c>
      <c r="BP73" s="370">
        <v>1965150.7059821901</v>
      </c>
      <c r="BQ73" s="370">
        <v>0</v>
      </c>
      <c r="BR73" s="375">
        <v>340767.44404342631</v>
      </c>
      <c r="BT73" s="365">
        <v>5442210.5944832284</v>
      </c>
      <c r="BU73" s="370">
        <v>340767.44404342631</v>
      </c>
      <c r="BV73" s="370">
        <v>5101443.1504398026</v>
      </c>
      <c r="BW73" s="375">
        <v>0</v>
      </c>
      <c r="BY73" s="365">
        <v>0</v>
      </c>
      <c r="BZ73" s="373">
        <v>0</v>
      </c>
      <c r="CA73" s="375">
        <v>0</v>
      </c>
      <c r="CC73" s="365">
        <v>0</v>
      </c>
      <c r="CD73" s="375">
        <v>1986489.7564561502</v>
      </c>
      <c r="CF73" s="365">
        <v>0</v>
      </c>
      <c r="CG73" s="375">
        <v>1965150.7059821901</v>
      </c>
      <c r="CI73" s="365">
        <v>0</v>
      </c>
      <c r="CJ73" s="375">
        <v>2327257.2004995765</v>
      </c>
    </row>
    <row r="74" spans="1:88">
      <c r="G74" s="417">
        <v>70</v>
      </c>
      <c r="H74" s="251">
        <v>0</v>
      </c>
      <c r="I74" s="377">
        <v>2</v>
      </c>
      <c r="J74" s="368">
        <v>0</v>
      </c>
      <c r="K74" s="368">
        <v>4528025.6683675116</v>
      </c>
      <c r="L74" s="369">
        <v>2607747.1847929689</v>
      </c>
      <c r="N74" s="367">
        <v>1920278.4835745427</v>
      </c>
      <c r="O74" s="370">
        <v>0</v>
      </c>
      <c r="P74" s="370">
        <v>2452591.4128</v>
      </c>
      <c r="Q74" s="370">
        <v>0</v>
      </c>
      <c r="R74" s="370">
        <v>2452591.4128</v>
      </c>
      <c r="S74" s="370">
        <v>3385449.2268448095</v>
      </c>
      <c r="T74" s="379">
        <v>63626400</v>
      </c>
      <c r="U74" s="371">
        <v>128247.69334849983</v>
      </c>
      <c r="V74" s="371">
        <v>951583.33333333337</v>
      </c>
      <c r="W74" s="372">
        <v>3000109.5102563761</v>
      </c>
      <c r="X74" s="41"/>
      <c r="Y74" s="365">
        <v>0</v>
      </c>
      <c r="Z74" s="370">
        <v>0</v>
      </c>
      <c r="AA74" s="370">
        <v>0</v>
      </c>
      <c r="AB74" s="375">
        <v>3000109.5102563761</v>
      </c>
      <c r="AC74" s="41"/>
      <c r="AD74" s="449">
        <v>0</v>
      </c>
      <c r="AE74" s="365">
        <v>9740.1065939247528</v>
      </c>
      <c r="AF74" s="375">
        <v>2038786.0703291178</v>
      </c>
      <c r="AH74" s="365">
        <v>0</v>
      </c>
      <c r="AI74" s="370">
        <v>0</v>
      </c>
      <c r="AJ74" s="370">
        <v>0</v>
      </c>
      <c r="AK74" s="375">
        <v>2038786.0703291178</v>
      </c>
      <c r="AM74" s="365">
        <v>12332.109738208334</v>
      </c>
      <c r="AN74" s="370">
        <v>12332.109738208334</v>
      </c>
      <c r="AO74" s="370">
        <v>0</v>
      </c>
      <c r="AP74" s="375">
        <v>2026453.9605909095</v>
      </c>
      <c r="AR74" s="365">
        <v>0</v>
      </c>
      <c r="AS74" s="375">
        <v>1898206.2672424098</v>
      </c>
      <c r="AU74" s="378">
        <v>950000</v>
      </c>
      <c r="AV74" s="379">
        <v>-1583.3333333333721</v>
      </c>
      <c r="AW74" s="380">
        <v>950000</v>
      </c>
      <c r="AX74" s="381">
        <v>1899789.6005757432</v>
      </c>
      <c r="AZ74" s="365">
        <v>0</v>
      </c>
      <c r="BA74" s="370">
        <v>0</v>
      </c>
      <c r="BB74" s="370">
        <v>0</v>
      </c>
      <c r="BC74" s="375">
        <v>1899789.6005757432</v>
      </c>
      <c r="BE74" s="365">
        <v>73992.658429250005</v>
      </c>
      <c r="BF74" s="370">
        <v>-54255.034919249825</v>
      </c>
      <c r="BG74" s="370">
        <v>73992.658429250005</v>
      </c>
      <c r="BH74" s="375">
        <v>1954044.6354949931</v>
      </c>
      <c r="BJ74" s="365">
        <v>0</v>
      </c>
      <c r="BK74" s="370">
        <v>0</v>
      </c>
      <c r="BL74" s="370">
        <v>0</v>
      </c>
      <c r="BM74" s="375">
        <v>1954044.6354949931</v>
      </c>
      <c r="BO74" s="365">
        <v>238050.71189999999</v>
      </c>
      <c r="BP74" s="370">
        <v>238050.71189999999</v>
      </c>
      <c r="BQ74" s="370">
        <v>0</v>
      </c>
      <c r="BR74" s="375">
        <v>1715993.9235949931</v>
      </c>
      <c r="BT74" s="365">
        <v>5101443.1504398026</v>
      </c>
      <c r="BU74" s="370">
        <v>1715993.9235949931</v>
      </c>
      <c r="BV74" s="370">
        <v>3385449.2268448095</v>
      </c>
      <c r="BW74" s="375">
        <v>0</v>
      </c>
      <c r="BY74" s="365">
        <v>0</v>
      </c>
      <c r="BZ74" s="373">
        <v>0</v>
      </c>
      <c r="CA74" s="375">
        <v>0</v>
      </c>
      <c r="CC74" s="365">
        <v>0</v>
      </c>
      <c r="CD74" s="375">
        <v>250382.82163820832</v>
      </c>
      <c r="CF74" s="365">
        <v>0</v>
      </c>
      <c r="CG74" s="375">
        <v>238050.71189999999</v>
      </c>
      <c r="CI74" s="365">
        <v>0</v>
      </c>
      <c r="CJ74" s="375">
        <v>1966376.7452332014</v>
      </c>
    </row>
    <row r="75" spans="1:88">
      <c r="G75" s="417">
        <v>71</v>
      </c>
      <c r="H75" s="251">
        <v>0</v>
      </c>
      <c r="I75" s="377">
        <v>3</v>
      </c>
      <c r="J75" s="368">
        <v>0</v>
      </c>
      <c r="K75" s="368">
        <v>4206361.9803245133</v>
      </c>
      <c r="L75" s="369">
        <v>2609200.5175093487</v>
      </c>
      <c r="N75" s="367">
        <v>1597161.4628151646</v>
      </c>
      <c r="O75" s="370">
        <v>0</v>
      </c>
      <c r="P75" s="370">
        <v>2213251.2593999999</v>
      </c>
      <c r="Q75" s="370">
        <v>0</v>
      </c>
      <c r="R75" s="370">
        <v>2213251.2593999999</v>
      </c>
      <c r="S75" s="370">
        <v>2987913.4631965691</v>
      </c>
      <c r="T75" s="379">
        <v>63626400</v>
      </c>
      <c r="U75" s="371">
        <v>74115.979526632087</v>
      </c>
      <c r="V75" s="371">
        <v>951583.33333333337</v>
      </c>
      <c r="W75" s="372">
        <v>2622860.7756751301</v>
      </c>
      <c r="X75" s="41"/>
      <c r="Y75" s="365">
        <v>0</v>
      </c>
      <c r="Z75" s="370">
        <v>0</v>
      </c>
      <c r="AA75" s="370">
        <v>0</v>
      </c>
      <c r="AB75" s="375">
        <v>2622860.7756751301</v>
      </c>
      <c r="AC75" s="41"/>
      <c r="AD75" s="449">
        <v>0</v>
      </c>
      <c r="AE75" s="365">
        <v>7297.550799556012</v>
      </c>
      <c r="AF75" s="375">
        <v>1663979.8915422405</v>
      </c>
      <c r="AH75" s="365">
        <v>0</v>
      </c>
      <c r="AI75" s="370">
        <v>0</v>
      </c>
      <c r="AJ75" s="370">
        <v>0</v>
      </c>
      <c r="AK75" s="375">
        <v>1663979.8915422405</v>
      </c>
      <c r="AM75" s="365">
        <v>11241.043975333334</v>
      </c>
      <c r="AN75" s="370">
        <v>11241.043975333334</v>
      </c>
      <c r="AO75" s="370">
        <v>0</v>
      </c>
      <c r="AP75" s="375">
        <v>1652738.8475669073</v>
      </c>
      <c r="AR75" s="365">
        <v>0</v>
      </c>
      <c r="AS75" s="375">
        <v>1578622.8680402753</v>
      </c>
      <c r="AU75" s="378">
        <v>1900000</v>
      </c>
      <c r="AV75" s="379">
        <v>948416.66666666663</v>
      </c>
      <c r="AW75" s="380">
        <v>1900000</v>
      </c>
      <c r="AX75" s="381">
        <v>630206.20137360867</v>
      </c>
      <c r="AZ75" s="365">
        <v>0</v>
      </c>
      <c r="BA75" s="370">
        <v>0</v>
      </c>
      <c r="BB75" s="370">
        <v>0</v>
      </c>
      <c r="BC75" s="375">
        <v>630206.20137360867</v>
      </c>
      <c r="BE75" s="365">
        <v>67446.263852000004</v>
      </c>
      <c r="BF75" s="370">
        <v>-6669.7156746320834</v>
      </c>
      <c r="BG75" s="370">
        <v>67446.263852000004</v>
      </c>
      <c r="BH75" s="375">
        <v>636875.91704824078</v>
      </c>
      <c r="BJ75" s="365">
        <v>0</v>
      </c>
      <c r="BK75" s="370">
        <v>0</v>
      </c>
      <c r="BL75" s="370">
        <v>0</v>
      </c>
      <c r="BM75" s="375">
        <v>636875.91704824078</v>
      </c>
      <c r="BO75" s="365">
        <v>239340.15340000018</v>
      </c>
      <c r="BP75" s="370">
        <v>239340.15340000018</v>
      </c>
      <c r="BQ75" s="370">
        <v>0</v>
      </c>
      <c r="BR75" s="375">
        <v>397535.76364824059</v>
      </c>
      <c r="BT75" s="365">
        <v>3385449.2268448095</v>
      </c>
      <c r="BU75" s="370">
        <v>397535.76364824059</v>
      </c>
      <c r="BV75" s="370">
        <v>2987913.4631965691</v>
      </c>
      <c r="BW75" s="375">
        <v>0</v>
      </c>
      <c r="BY75" s="365">
        <v>0</v>
      </c>
      <c r="BZ75" s="373">
        <v>0</v>
      </c>
      <c r="CA75" s="375">
        <v>0</v>
      </c>
      <c r="CC75" s="365">
        <v>0</v>
      </c>
      <c r="CD75" s="375">
        <v>250581.19737533352</v>
      </c>
      <c r="CF75" s="365">
        <v>0</v>
      </c>
      <c r="CG75" s="375">
        <v>239340.15340000018</v>
      </c>
      <c r="CI75" s="365">
        <v>0</v>
      </c>
      <c r="CJ75" s="375">
        <v>648116.96102357411</v>
      </c>
    </row>
    <row r="76" spans="1:88">
      <c r="G76" s="417">
        <v>72</v>
      </c>
      <c r="H76" s="251">
        <v>0</v>
      </c>
      <c r="I76" s="377">
        <v>0</v>
      </c>
      <c r="J76" s="368">
        <v>0</v>
      </c>
      <c r="K76" s="368">
        <v>5191722.1251184158</v>
      </c>
      <c r="L76" s="369">
        <v>2610654.6601876747</v>
      </c>
      <c r="N76" s="367">
        <v>2581067.4649307411</v>
      </c>
      <c r="O76" s="370">
        <v>0</v>
      </c>
      <c r="P76" s="370">
        <v>1972614.6802000001</v>
      </c>
      <c r="Q76" s="370">
        <v>0</v>
      </c>
      <c r="R76" s="370">
        <v>1972614.6802000001</v>
      </c>
      <c r="S76" s="370">
        <v>2554267.1703164033</v>
      </c>
      <c r="T76" s="379">
        <v>63626400</v>
      </c>
      <c r="U76" s="371">
        <v>67558.674291753341</v>
      </c>
      <c r="V76" s="371">
        <v>1903166.6666666667</v>
      </c>
      <c r="W76" s="372">
        <v>4551792.8058891613</v>
      </c>
      <c r="X76" s="41"/>
      <c r="Y76" s="365">
        <v>950000</v>
      </c>
      <c r="Z76" s="370">
        <v>950000</v>
      </c>
      <c r="AA76" s="370">
        <v>0</v>
      </c>
      <c r="AB76" s="375">
        <v>3601792.8058891613</v>
      </c>
      <c r="AC76" s="41"/>
      <c r="AD76" s="449">
        <v>950000</v>
      </c>
      <c r="AE76" s="365">
        <v>6501.4559032457109</v>
      </c>
      <c r="AF76" s="375">
        <v>1692124.683319249</v>
      </c>
      <c r="AH76" s="365">
        <v>0</v>
      </c>
      <c r="AI76" s="370">
        <v>0</v>
      </c>
      <c r="AJ76" s="370">
        <v>0</v>
      </c>
      <c r="AK76" s="375">
        <v>1692124.683319249</v>
      </c>
      <c r="AM76" s="365">
        <v>10144.068272249999</v>
      </c>
      <c r="AN76" s="370">
        <v>10144.068272249999</v>
      </c>
      <c r="AO76" s="370">
        <v>0</v>
      </c>
      <c r="AP76" s="375">
        <v>1681980.615046999</v>
      </c>
      <c r="AR76" s="365">
        <v>0</v>
      </c>
      <c r="AS76" s="375">
        <v>1614421.9407552455</v>
      </c>
      <c r="AU76" s="378">
        <v>2850000</v>
      </c>
      <c r="AV76" s="379">
        <v>946833.33333333326</v>
      </c>
      <c r="AW76" s="380">
        <v>2850000</v>
      </c>
      <c r="AX76" s="381">
        <v>667588.60742191225</v>
      </c>
      <c r="AZ76" s="365">
        <v>0</v>
      </c>
      <c r="BA76" s="370">
        <v>0</v>
      </c>
      <c r="BB76" s="370">
        <v>0</v>
      </c>
      <c r="BC76" s="375">
        <v>667588.60742191225</v>
      </c>
      <c r="BE76" s="365">
        <v>60864.409633499999</v>
      </c>
      <c r="BF76" s="370">
        <v>-6694.2646582533416</v>
      </c>
      <c r="BG76" s="370">
        <v>60864.409633499999</v>
      </c>
      <c r="BH76" s="375">
        <v>674282.87208016554</v>
      </c>
      <c r="BJ76" s="365">
        <v>0</v>
      </c>
      <c r="BK76" s="370">
        <v>0</v>
      </c>
      <c r="BL76" s="370">
        <v>0</v>
      </c>
      <c r="BM76" s="375">
        <v>674282.87208016554</v>
      </c>
      <c r="BO76" s="365">
        <v>240636.5791999998</v>
      </c>
      <c r="BP76" s="370">
        <v>240636.5791999998</v>
      </c>
      <c r="BQ76" s="370">
        <v>0</v>
      </c>
      <c r="BR76" s="375">
        <v>433646.29288016574</v>
      </c>
      <c r="BT76" s="365">
        <v>2987913.4631965691</v>
      </c>
      <c r="BU76" s="370">
        <v>433646.29288016574</v>
      </c>
      <c r="BV76" s="370">
        <v>2554267.1703164033</v>
      </c>
      <c r="BW76" s="375">
        <v>0</v>
      </c>
      <c r="BY76" s="365">
        <v>0</v>
      </c>
      <c r="BZ76" s="373">
        <v>0</v>
      </c>
      <c r="CA76" s="375">
        <v>0</v>
      </c>
      <c r="CC76" s="365">
        <v>0</v>
      </c>
      <c r="CD76" s="375">
        <v>250780.64747224981</v>
      </c>
      <c r="CF76" s="365">
        <v>0</v>
      </c>
      <c r="CG76" s="375">
        <v>240636.5791999998</v>
      </c>
      <c r="CI76" s="365">
        <v>0</v>
      </c>
      <c r="CJ76" s="375">
        <v>684426.94035241555</v>
      </c>
    </row>
    <row r="77" spans="1:88">
      <c r="G77" s="417">
        <v>73</v>
      </c>
      <c r="H77" s="251">
        <v>0</v>
      </c>
      <c r="I77" s="377">
        <v>1</v>
      </c>
      <c r="J77" s="368">
        <v>0</v>
      </c>
      <c r="K77" s="368">
        <v>4829457.5033562314</v>
      </c>
      <c r="L77" s="369">
        <v>2612109.6132793492</v>
      </c>
      <c r="N77" s="367">
        <v>2217347.8900768822</v>
      </c>
      <c r="O77" s="370">
        <v>0</v>
      </c>
      <c r="P77" s="370">
        <v>1730674.6529000001</v>
      </c>
      <c r="Q77" s="370">
        <v>0</v>
      </c>
      <c r="R77" s="370">
        <v>1730674.6529000001</v>
      </c>
      <c r="S77" s="370">
        <v>582090.11385952658</v>
      </c>
      <c r="T77" s="379">
        <v>63626400</v>
      </c>
      <c r="U77" s="371">
        <v>60965.850316222502</v>
      </c>
      <c r="V77" s="371">
        <v>2854750</v>
      </c>
      <c r="W77" s="372">
        <v>5133063.740393105</v>
      </c>
      <c r="X77" s="41"/>
      <c r="Y77" s="365">
        <v>0</v>
      </c>
      <c r="Z77" s="370">
        <v>0</v>
      </c>
      <c r="AA77" s="370">
        <v>0</v>
      </c>
      <c r="AB77" s="375">
        <v>5133063.740393105</v>
      </c>
      <c r="AC77" s="41"/>
      <c r="AD77" s="449">
        <v>0</v>
      </c>
      <c r="AE77" s="365">
        <v>5658.602313145504</v>
      </c>
      <c r="AF77" s="375">
        <v>2272655.1380799594</v>
      </c>
      <c r="AH77" s="365">
        <v>0</v>
      </c>
      <c r="AI77" s="370">
        <v>0</v>
      </c>
      <c r="AJ77" s="370">
        <v>0</v>
      </c>
      <c r="AK77" s="375">
        <v>2272655.1380799594</v>
      </c>
      <c r="AM77" s="365">
        <v>9041.1506175833329</v>
      </c>
      <c r="AN77" s="370">
        <v>9041.1506175833329</v>
      </c>
      <c r="AO77" s="370">
        <v>0</v>
      </c>
      <c r="AP77" s="375">
        <v>2263613.9874623762</v>
      </c>
      <c r="AR77" s="365">
        <v>0</v>
      </c>
      <c r="AS77" s="375">
        <v>2202648.137146154</v>
      </c>
      <c r="AU77" s="378">
        <v>2850000</v>
      </c>
      <c r="AV77" s="379">
        <v>-4750</v>
      </c>
      <c r="AW77" s="380">
        <v>2850000</v>
      </c>
      <c r="AX77" s="381">
        <v>2207398.137146154</v>
      </c>
      <c r="AZ77" s="365">
        <v>0</v>
      </c>
      <c r="BA77" s="370">
        <v>0</v>
      </c>
      <c r="BB77" s="370">
        <v>0</v>
      </c>
      <c r="BC77" s="375">
        <v>2207398.137146154</v>
      </c>
      <c r="BE77" s="365">
        <v>54246.903705500001</v>
      </c>
      <c r="BF77" s="370">
        <v>-6718.9466107225016</v>
      </c>
      <c r="BG77" s="370">
        <v>54246.903705500001</v>
      </c>
      <c r="BH77" s="375">
        <v>2214117.0837568766</v>
      </c>
      <c r="BJ77" s="365">
        <v>0</v>
      </c>
      <c r="BK77" s="370">
        <v>0</v>
      </c>
      <c r="BL77" s="370">
        <v>0</v>
      </c>
      <c r="BM77" s="375">
        <v>2214117.0837568766</v>
      </c>
      <c r="BO77" s="365">
        <v>241940.02729999996</v>
      </c>
      <c r="BP77" s="370">
        <v>241940.02729999996</v>
      </c>
      <c r="BQ77" s="370">
        <v>0</v>
      </c>
      <c r="BR77" s="375">
        <v>1972177.0564568767</v>
      </c>
      <c r="BT77" s="365">
        <v>2554267.1703164033</v>
      </c>
      <c r="BU77" s="370">
        <v>1972177.0564568767</v>
      </c>
      <c r="BV77" s="370">
        <v>582090.11385952658</v>
      </c>
      <c r="BW77" s="375">
        <v>0</v>
      </c>
      <c r="BY77" s="365">
        <v>0</v>
      </c>
      <c r="BZ77" s="373">
        <v>0</v>
      </c>
      <c r="CA77" s="375">
        <v>0</v>
      </c>
      <c r="CC77" s="365">
        <v>0</v>
      </c>
      <c r="CD77" s="375">
        <v>250981.17791758329</v>
      </c>
      <c r="CF77" s="365">
        <v>0</v>
      </c>
      <c r="CG77" s="375">
        <v>241940.02729999996</v>
      </c>
      <c r="CI77" s="365">
        <v>0</v>
      </c>
      <c r="CJ77" s="375">
        <v>2223158.2343744598</v>
      </c>
    </row>
    <row r="78" spans="1:88">
      <c r="G78" s="417">
        <v>74</v>
      </c>
      <c r="H78" s="251">
        <v>0</v>
      </c>
      <c r="I78" s="377">
        <v>2</v>
      </c>
      <c r="J78" s="368">
        <v>0</v>
      </c>
      <c r="K78" s="368">
        <v>4542728.6103680804</v>
      </c>
      <c r="L78" s="369">
        <v>2613565.3772360268</v>
      </c>
      <c r="N78" s="367">
        <v>1929163.2331320536</v>
      </c>
      <c r="O78" s="370">
        <v>0</v>
      </c>
      <c r="P78" s="370">
        <v>1487424.1170999999</v>
      </c>
      <c r="Q78" s="370">
        <v>0</v>
      </c>
      <c r="R78" s="370">
        <v>1487424.1170999999</v>
      </c>
      <c r="S78" s="370">
        <v>0</v>
      </c>
      <c r="T78" s="379">
        <v>63626400</v>
      </c>
      <c r="U78" s="371">
        <v>54337.315211675836</v>
      </c>
      <c r="V78" s="371">
        <v>2854750</v>
      </c>
      <c r="W78" s="372">
        <v>4838250.5483437292</v>
      </c>
      <c r="X78" s="41"/>
      <c r="Y78" s="365">
        <v>0</v>
      </c>
      <c r="Z78" s="370">
        <v>0</v>
      </c>
      <c r="AA78" s="370">
        <v>0</v>
      </c>
      <c r="AB78" s="375">
        <v>4838250.5483437292</v>
      </c>
      <c r="AC78" s="41"/>
      <c r="AD78" s="449">
        <v>0</v>
      </c>
      <c r="AE78" s="365">
        <v>2890.9559584494082</v>
      </c>
      <c r="AF78" s="375">
        <v>1980609.5923852797</v>
      </c>
      <c r="AH78" s="365">
        <v>0</v>
      </c>
      <c r="AI78" s="370">
        <v>0</v>
      </c>
      <c r="AJ78" s="370">
        <v>0</v>
      </c>
      <c r="AK78" s="375">
        <v>1980609.5923852797</v>
      </c>
      <c r="AM78" s="365">
        <v>7932.2588257916668</v>
      </c>
      <c r="AN78" s="370">
        <v>7932.2588257916668</v>
      </c>
      <c r="AO78" s="370">
        <v>0</v>
      </c>
      <c r="AP78" s="375">
        <v>1972677.3335594879</v>
      </c>
      <c r="AR78" s="365">
        <v>0</v>
      </c>
      <c r="AS78" s="375">
        <v>1918340.0183478121</v>
      </c>
      <c r="AU78" s="378">
        <v>2850000</v>
      </c>
      <c r="AV78" s="379">
        <v>-4750</v>
      </c>
      <c r="AW78" s="380">
        <v>2850000</v>
      </c>
      <c r="AX78" s="381">
        <v>1923090.0183478121</v>
      </c>
      <c r="AZ78" s="365">
        <v>0</v>
      </c>
      <c r="BA78" s="370">
        <v>0</v>
      </c>
      <c r="BB78" s="370">
        <v>0</v>
      </c>
      <c r="BC78" s="375">
        <v>1923090.0183478121</v>
      </c>
      <c r="BE78" s="365">
        <v>47593.552954750005</v>
      </c>
      <c r="BF78" s="370">
        <v>-6743.762256925831</v>
      </c>
      <c r="BG78" s="370">
        <v>47593.552954750005</v>
      </c>
      <c r="BH78" s="375">
        <v>1929833.780604738</v>
      </c>
      <c r="BJ78" s="365">
        <v>0</v>
      </c>
      <c r="BK78" s="370">
        <v>0</v>
      </c>
      <c r="BL78" s="370">
        <v>0</v>
      </c>
      <c r="BM78" s="375">
        <v>1929833.780604738</v>
      </c>
      <c r="BO78" s="365">
        <v>243250.53580000019</v>
      </c>
      <c r="BP78" s="370">
        <v>243250.53580000019</v>
      </c>
      <c r="BQ78" s="370">
        <v>0</v>
      </c>
      <c r="BR78" s="375">
        <v>1686583.2448047379</v>
      </c>
      <c r="BT78" s="365">
        <v>582090.11385952658</v>
      </c>
      <c r="BU78" s="370">
        <v>582090.11385952658</v>
      </c>
      <c r="BV78" s="370">
        <v>0</v>
      </c>
      <c r="BW78" s="375">
        <v>1104493.1309452113</v>
      </c>
      <c r="BY78" s="365">
        <v>938819.16130342952</v>
      </c>
      <c r="BZ78" s="373">
        <v>938819.16130342952</v>
      </c>
      <c r="CA78" s="375">
        <v>165673.96964178176</v>
      </c>
      <c r="CC78" s="365">
        <v>0</v>
      </c>
      <c r="CD78" s="375">
        <v>251182.79462579187</v>
      </c>
      <c r="CF78" s="365">
        <v>0</v>
      </c>
      <c r="CG78" s="375">
        <v>243250.53580000019</v>
      </c>
      <c r="CI78" s="365">
        <v>165673.96964178167</v>
      </c>
      <c r="CJ78" s="375">
        <v>1772092.0697887479</v>
      </c>
    </row>
    <row r="79" spans="1:88">
      <c r="G79" s="417">
        <v>75</v>
      </c>
      <c r="H79" s="251">
        <v>0</v>
      </c>
      <c r="I79" s="377">
        <v>1</v>
      </c>
      <c r="J79" s="368">
        <v>0</v>
      </c>
      <c r="K79" s="368">
        <v>4871356.2730965931</v>
      </c>
      <c r="L79" s="369">
        <v>2615021.9525096142</v>
      </c>
      <c r="N79" s="367">
        <v>2256334.3205869789</v>
      </c>
      <c r="O79" s="370">
        <v>0</v>
      </c>
      <c r="P79" s="370">
        <v>1242855.9742000001</v>
      </c>
      <c r="Q79" s="370">
        <v>0</v>
      </c>
      <c r="R79" s="370">
        <v>1242855.9742000001</v>
      </c>
      <c r="S79" s="370">
        <v>0</v>
      </c>
      <c r="T79" s="379">
        <v>63626400</v>
      </c>
      <c r="U79" s="371">
        <v>47672.875543007918</v>
      </c>
      <c r="V79" s="371">
        <v>2854750</v>
      </c>
      <c r="W79" s="372">
        <v>5158757.196129987</v>
      </c>
      <c r="X79" s="41"/>
      <c r="Y79" s="365">
        <v>950000</v>
      </c>
      <c r="Z79" s="370">
        <v>950000</v>
      </c>
      <c r="AA79" s="370">
        <v>0</v>
      </c>
      <c r="AB79" s="375">
        <v>4208757.196129987</v>
      </c>
      <c r="AC79" s="41"/>
      <c r="AD79" s="449">
        <v>950000</v>
      </c>
      <c r="AE79" s="365">
        <v>1859.2801463749997</v>
      </c>
      <c r="AF79" s="375">
        <v>1352147.915983612</v>
      </c>
      <c r="AH79" s="365">
        <v>0</v>
      </c>
      <c r="AI79" s="370">
        <v>0</v>
      </c>
      <c r="AJ79" s="370">
        <v>0</v>
      </c>
      <c r="AK79" s="375">
        <v>1352147.915983612</v>
      </c>
      <c r="AM79" s="365">
        <v>6817.3605367083328</v>
      </c>
      <c r="AN79" s="370">
        <v>6817.3605367083328</v>
      </c>
      <c r="AO79" s="370">
        <v>0</v>
      </c>
      <c r="AP79" s="375">
        <v>1345330.5554469037</v>
      </c>
      <c r="AR79" s="365">
        <v>0</v>
      </c>
      <c r="AS79" s="375">
        <v>1297657.6799038958</v>
      </c>
      <c r="AU79" s="378">
        <v>1900000</v>
      </c>
      <c r="AV79" s="379">
        <v>-954750</v>
      </c>
      <c r="AW79" s="380">
        <v>1900000</v>
      </c>
      <c r="AX79" s="381">
        <v>2252407.6799038956</v>
      </c>
      <c r="AZ79" s="365">
        <v>0</v>
      </c>
      <c r="BA79" s="370">
        <v>0</v>
      </c>
      <c r="BB79" s="370">
        <v>0</v>
      </c>
      <c r="BC79" s="375">
        <v>2252407.6799038956</v>
      </c>
      <c r="BE79" s="365">
        <v>40904.163220249997</v>
      </c>
      <c r="BF79" s="370">
        <v>-6768.7123227579214</v>
      </c>
      <c r="BG79" s="370">
        <v>40904.163220249997</v>
      </c>
      <c r="BH79" s="375">
        <v>2259176.3922266536</v>
      </c>
      <c r="BJ79" s="365">
        <v>0</v>
      </c>
      <c r="BK79" s="370">
        <v>0</v>
      </c>
      <c r="BL79" s="370">
        <v>0</v>
      </c>
      <c r="BM79" s="375">
        <v>2259176.3922266536</v>
      </c>
      <c r="BO79" s="365">
        <v>244568.14289999986</v>
      </c>
      <c r="BP79" s="370">
        <v>244568.14289999986</v>
      </c>
      <c r="BQ79" s="370">
        <v>0</v>
      </c>
      <c r="BR79" s="375">
        <v>2014608.2493266538</v>
      </c>
      <c r="BT79" s="365">
        <v>0</v>
      </c>
      <c r="BU79" s="370">
        <v>0</v>
      </c>
      <c r="BV79" s="370">
        <v>0</v>
      </c>
      <c r="BW79" s="375">
        <v>2014608.2493266538</v>
      </c>
      <c r="BY79" s="365">
        <v>1712417.0119276557</v>
      </c>
      <c r="BZ79" s="373">
        <v>2651236.1732310853</v>
      </c>
      <c r="CA79" s="375">
        <v>302191.23739899811</v>
      </c>
      <c r="CC79" s="365">
        <v>0</v>
      </c>
      <c r="CD79" s="375">
        <v>251385.50343670818</v>
      </c>
      <c r="CF79" s="365">
        <v>0</v>
      </c>
      <c r="CG79" s="375">
        <v>244568.14289999986</v>
      </c>
      <c r="CI79" s="365">
        <v>302191.23739899806</v>
      </c>
      <c r="CJ79" s="375">
        <v>1963802.5153643638</v>
      </c>
    </row>
    <row r="80" spans="1:88">
      <c r="G80" s="417">
        <v>76</v>
      </c>
      <c r="H80" s="251">
        <v>0</v>
      </c>
      <c r="I80" s="377">
        <v>0</v>
      </c>
      <c r="J80" s="368">
        <v>0</v>
      </c>
      <c r="K80" s="368">
        <v>5197839.1723167347</v>
      </c>
      <c r="L80" s="369">
        <v>2616479.3395522675</v>
      </c>
      <c r="N80" s="367">
        <v>2581359.8327644672</v>
      </c>
      <c r="O80" s="370">
        <v>0</v>
      </c>
      <c r="P80" s="370">
        <v>996963.08719999995</v>
      </c>
      <c r="Q80" s="370">
        <v>0</v>
      </c>
      <c r="R80" s="370">
        <v>996963.08719999995</v>
      </c>
      <c r="S80" s="370">
        <v>0</v>
      </c>
      <c r="T80" s="379">
        <v>63626400</v>
      </c>
      <c r="U80" s="371">
        <v>40972.33682561708</v>
      </c>
      <c r="V80" s="371">
        <v>1903166.6666666667</v>
      </c>
      <c r="W80" s="372">
        <v>4525498.8362567509</v>
      </c>
      <c r="X80" s="41"/>
      <c r="Y80" s="365">
        <v>1900000</v>
      </c>
      <c r="Z80" s="370">
        <v>1900000</v>
      </c>
      <c r="AA80" s="370">
        <v>0</v>
      </c>
      <c r="AB80" s="375">
        <v>2625498.8362567509</v>
      </c>
      <c r="AC80" s="41"/>
      <c r="AD80" s="449">
        <v>1900000</v>
      </c>
      <c r="AE80" s="365">
        <v>1553.5699677499999</v>
      </c>
      <c r="AF80" s="375">
        <v>720778.59962233412</v>
      </c>
      <c r="AH80" s="365">
        <v>0</v>
      </c>
      <c r="AI80" s="370">
        <v>0</v>
      </c>
      <c r="AJ80" s="370">
        <v>0</v>
      </c>
      <c r="AK80" s="375">
        <v>720778.59962233412</v>
      </c>
      <c r="AM80" s="365">
        <v>5696.4232150833332</v>
      </c>
      <c r="AN80" s="370">
        <v>5696.4232150833332</v>
      </c>
      <c r="AO80" s="370">
        <v>0</v>
      </c>
      <c r="AP80" s="375">
        <v>715082.17640725081</v>
      </c>
      <c r="AR80" s="365">
        <v>0</v>
      </c>
      <c r="AS80" s="375">
        <v>674109.83958163369</v>
      </c>
      <c r="AU80" s="378">
        <v>0</v>
      </c>
      <c r="AV80" s="379">
        <v>-1903166.6666666667</v>
      </c>
      <c r="AW80" s="380">
        <v>0</v>
      </c>
      <c r="AX80" s="381">
        <v>2577276.5062483004</v>
      </c>
      <c r="AZ80" s="365">
        <v>0</v>
      </c>
      <c r="BA80" s="370">
        <v>0</v>
      </c>
      <c r="BB80" s="370">
        <v>0</v>
      </c>
      <c r="BC80" s="375">
        <v>2577276.5062483004</v>
      </c>
      <c r="BE80" s="365">
        <v>34178.539290500004</v>
      </c>
      <c r="BF80" s="370">
        <v>-6793.7975351170753</v>
      </c>
      <c r="BG80" s="370">
        <v>34178.539290500004</v>
      </c>
      <c r="BH80" s="375">
        <v>2584070.3037834177</v>
      </c>
      <c r="BJ80" s="365">
        <v>0</v>
      </c>
      <c r="BK80" s="370">
        <v>0</v>
      </c>
      <c r="BL80" s="370">
        <v>0</v>
      </c>
      <c r="BM80" s="375">
        <v>2584070.3037834177</v>
      </c>
      <c r="BO80" s="365">
        <v>245892.8870000001</v>
      </c>
      <c r="BP80" s="370">
        <v>245892.8870000001</v>
      </c>
      <c r="BQ80" s="370">
        <v>0</v>
      </c>
      <c r="BR80" s="375">
        <v>2338177.4167834176</v>
      </c>
      <c r="BT80" s="365">
        <v>0</v>
      </c>
      <c r="BU80" s="370">
        <v>0</v>
      </c>
      <c r="BV80" s="370">
        <v>0</v>
      </c>
      <c r="BW80" s="375">
        <v>2338177.4167834176</v>
      </c>
      <c r="BY80" s="365">
        <v>1987450.8042659049</v>
      </c>
      <c r="BZ80" s="373">
        <v>4638686.97749699</v>
      </c>
      <c r="CA80" s="375">
        <v>350726.61251751264</v>
      </c>
      <c r="CC80" s="365">
        <v>0</v>
      </c>
      <c r="CD80" s="375">
        <v>251589.31021508345</v>
      </c>
      <c r="CF80" s="365">
        <v>0</v>
      </c>
      <c r="CG80" s="375">
        <v>245892.8870000001</v>
      </c>
      <c r="CI80" s="365">
        <v>350726.61251751264</v>
      </c>
      <c r="CJ80" s="375">
        <v>2239040.1144809886</v>
      </c>
    </row>
    <row r="81" spans="7:88">
      <c r="G81" s="417">
        <v>77</v>
      </c>
      <c r="H81" s="251">
        <v>0</v>
      </c>
      <c r="I81" s="377">
        <v>2</v>
      </c>
      <c r="J81" s="368">
        <v>0</v>
      </c>
      <c r="K81" s="368">
        <v>4545181.2562371371</v>
      </c>
      <c r="L81" s="369">
        <v>2617937.538816398</v>
      </c>
      <c r="N81" s="367">
        <v>1927243.7174207391</v>
      </c>
      <c r="O81" s="370">
        <v>0</v>
      </c>
      <c r="P81" s="370">
        <v>749738.28040000005</v>
      </c>
      <c r="Q81" s="370">
        <v>0</v>
      </c>
      <c r="R81" s="370">
        <v>749738.28040000005</v>
      </c>
      <c r="S81" s="370">
        <v>0</v>
      </c>
      <c r="T81" s="379">
        <v>63626400</v>
      </c>
      <c r="U81" s="371">
        <v>34235.503522650841</v>
      </c>
      <c r="V81" s="371">
        <v>0</v>
      </c>
      <c r="W81" s="372">
        <v>1961479.2209433899</v>
      </c>
      <c r="X81" s="41"/>
      <c r="Y81" s="365">
        <v>0</v>
      </c>
      <c r="Z81" s="370">
        <v>0</v>
      </c>
      <c r="AA81" s="370">
        <v>0</v>
      </c>
      <c r="AB81" s="375">
        <v>1961479.2209433899</v>
      </c>
      <c r="AC81" s="41"/>
      <c r="AD81" s="449">
        <v>0</v>
      </c>
      <c r="AE81" s="365">
        <v>1246.203859</v>
      </c>
      <c r="AF81" s="375">
        <v>1960233.0170843899</v>
      </c>
      <c r="AH81" s="365">
        <v>0</v>
      </c>
      <c r="AI81" s="370">
        <v>0</v>
      </c>
      <c r="AJ81" s="370">
        <v>0</v>
      </c>
      <c r="AK81" s="375">
        <v>1960233.0170843899</v>
      </c>
      <c r="AM81" s="365">
        <v>4569.4141496666662</v>
      </c>
      <c r="AN81" s="370">
        <v>4569.4141496666662</v>
      </c>
      <c r="AO81" s="370">
        <v>0</v>
      </c>
      <c r="AP81" s="375">
        <v>1955663.6029347233</v>
      </c>
      <c r="AR81" s="365">
        <v>0</v>
      </c>
      <c r="AS81" s="375">
        <v>1921428.0994120724</v>
      </c>
      <c r="AU81" s="378">
        <v>950000</v>
      </c>
      <c r="AV81" s="379">
        <v>950000</v>
      </c>
      <c r="AW81" s="380">
        <v>950000</v>
      </c>
      <c r="AX81" s="381">
        <v>971428.09941207245</v>
      </c>
      <c r="AZ81" s="365">
        <v>0</v>
      </c>
      <c r="BA81" s="370">
        <v>0</v>
      </c>
      <c r="BB81" s="370">
        <v>0</v>
      </c>
      <c r="BC81" s="375">
        <v>971428.09941207245</v>
      </c>
      <c r="BE81" s="365">
        <v>27416.484897999999</v>
      </c>
      <c r="BF81" s="370">
        <v>-6819.018624650842</v>
      </c>
      <c r="BG81" s="370">
        <v>27416.484897999999</v>
      </c>
      <c r="BH81" s="375">
        <v>978247.11803672335</v>
      </c>
      <c r="BJ81" s="365">
        <v>0</v>
      </c>
      <c r="BK81" s="370">
        <v>0</v>
      </c>
      <c r="BL81" s="370">
        <v>0</v>
      </c>
      <c r="BM81" s="375">
        <v>978247.11803672335</v>
      </c>
      <c r="BO81" s="365">
        <v>247224.8067999999</v>
      </c>
      <c r="BP81" s="370">
        <v>247224.8067999999</v>
      </c>
      <c r="BQ81" s="370">
        <v>0</v>
      </c>
      <c r="BR81" s="375">
        <v>731022.31123672344</v>
      </c>
      <c r="BT81" s="365">
        <v>0</v>
      </c>
      <c r="BU81" s="370">
        <v>0</v>
      </c>
      <c r="BV81" s="370">
        <v>0</v>
      </c>
      <c r="BW81" s="375">
        <v>731022.31123672344</v>
      </c>
      <c r="BY81" s="365">
        <v>621368.96455121494</v>
      </c>
      <c r="BZ81" s="373">
        <v>5260055.9420482051</v>
      </c>
      <c r="CA81" s="375">
        <v>109653.3466855085</v>
      </c>
      <c r="CC81" s="365">
        <v>0</v>
      </c>
      <c r="CD81" s="375">
        <v>251794.22094966657</v>
      </c>
      <c r="CF81" s="365">
        <v>0</v>
      </c>
      <c r="CG81" s="375">
        <v>247224.8067999999</v>
      </c>
      <c r="CI81" s="365">
        <v>109653.34668550851</v>
      </c>
      <c r="CJ81" s="375">
        <v>873163.18550088152</v>
      </c>
    </row>
    <row r="82" spans="7:88">
      <c r="G82" s="417">
        <v>78</v>
      </c>
      <c r="H82" s="251">
        <v>0</v>
      </c>
      <c r="I82" s="377">
        <v>0</v>
      </c>
      <c r="J82" s="368">
        <v>0</v>
      </c>
      <c r="K82" s="368">
        <v>5198762.8193987906</v>
      </c>
      <c r="L82" s="369">
        <v>2619396.5507546673</v>
      </c>
      <c r="N82" s="367">
        <v>2579366.2686441233</v>
      </c>
      <c r="O82" s="370">
        <v>0</v>
      </c>
      <c r="P82" s="370">
        <v>501174.33929999999</v>
      </c>
      <c r="Q82" s="370">
        <v>0</v>
      </c>
      <c r="R82" s="370">
        <v>501174.33929999999</v>
      </c>
      <c r="S82" s="370">
        <v>0</v>
      </c>
      <c r="T82" s="379">
        <v>63626400</v>
      </c>
      <c r="U82" s="371">
        <v>27462.179039496667</v>
      </c>
      <c r="V82" s="371">
        <v>951583.33333333337</v>
      </c>
      <c r="W82" s="372">
        <v>3558411.7810169533</v>
      </c>
      <c r="X82" s="41"/>
      <c r="Y82" s="365">
        <v>0</v>
      </c>
      <c r="Z82" s="370">
        <v>0</v>
      </c>
      <c r="AA82" s="370">
        <v>0</v>
      </c>
      <c r="AB82" s="375">
        <v>3558411.7810169533</v>
      </c>
      <c r="AC82" s="41"/>
      <c r="AD82" s="449">
        <v>0</v>
      </c>
      <c r="AE82" s="365">
        <v>937.17285049999998</v>
      </c>
      <c r="AF82" s="375">
        <v>2605891.2748331199</v>
      </c>
      <c r="AH82" s="365">
        <v>0</v>
      </c>
      <c r="AI82" s="370">
        <v>0</v>
      </c>
      <c r="AJ82" s="370">
        <v>0</v>
      </c>
      <c r="AK82" s="375">
        <v>2605891.2748331199</v>
      </c>
      <c r="AM82" s="365">
        <v>3436.3004518333337</v>
      </c>
      <c r="AN82" s="370">
        <v>3436.3004518333337</v>
      </c>
      <c r="AO82" s="370">
        <v>0</v>
      </c>
      <c r="AP82" s="375">
        <v>2602454.9743812867</v>
      </c>
      <c r="AR82" s="365">
        <v>0</v>
      </c>
      <c r="AS82" s="375">
        <v>2574992.7953417902</v>
      </c>
      <c r="AU82" s="378">
        <v>950000</v>
      </c>
      <c r="AV82" s="379">
        <v>-1583.3333333333721</v>
      </c>
      <c r="AW82" s="380">
        <v>950000</v>
      </c>
      <c r="AX82" s="381">
        <v>2576576.1286751237</v>
      </c>
      <c r="AZ82" s="365">
        <v>0</v>
      </c>
      <c r="BA82" s="370">
        <v>0</v>
      </c>
      <c r="BB82" s="370">
        <v>0</v>
      </c>
      <c r="BC82" s="375">
        <v>2576576.1286751237</v>
      </c>
      <c r="BE82" s="365">
        <v>20617.802711</v>
      </c>
      <c r="BF82" s="370">
        <v>-6844.3763284966662</v>
      </c>
      <c r="BG82" s="370">
        <v>20617.802711</v>
      </c>
      <c r="BH82" s="375">
        <v>2583420.5050036204</v>
      </c>
      <c r="BJ82" s="365">
        <v>0</v>
      </c>
      <c r="BK82" s="370">
        <v>0</v>
      </c>
      <c r="BL82" s="370">
        <v>0</v>
      </c>
      <c r="BM82" s="375">
        <v>2583420.5050036204</v>
      </c>
      <c r="BO82" s="365">
        <v>248563.94110000005</v>
      </c>
      <c r="BP82" s="370">
        <v>248563.94110000005</v>
      </c>
      <c r="BQ82" s="370">
        <v>0</v>
      </c>
      <c r="BR82" s="375">
        <v>2334856.5639036205</v>
      </c>
      <c r="BT82" s="365">
        <v>0</v>
      </c>
      <c r="BU82" s="370">
        <v>0</v>
      </c>
      <c r="BV82" s="370">
        <v>0</v>
      </c>
      <c r="BW82" s="375">
        <v>2334856.5639036205</v>
      </c>
      <c r="BY82" s="365">
        <v>1984628.0793180773</v>
      </c>
      <c r="BZ82" s="373">
        <v>7244684.0213662824</v>
      </c>
      <c r="CA82" s="375">
        <v>350228.48458554316</v>
      </c>
      <c r="CC82" s="365">
        <v>0</v>
      </c>
      <c r="CD82" s="375">
        <v>252000.2415518334</v>
      </c>
      <c r="CF82" s="365">
        <v>0</v>
      </c>
      <c r="CG82" s="375">
        <v>248563.94110000005</v>
      </c>
      <c r="CI82" s="365">
        <v>350228.48458554305</v>
      </c>
      <c r="CJ82" s="375">
        <v>2236628.3208699105</v>
      </c>
    </row>
    <row r="83" spans="7:88">
      <c r="G83" s="417">
        <v>79</v>
      </c>
      <c r="H83" s="251">
        <v>0</v>
      </c>
      <c r="I83" s="377">
        <v>0</v>
      </c>
      <c r="J83" s="368">
        <v>0</v>
      </c>
      <c r="K83" s="368">
        <v>5198762.8193987906</v>
      </c>
      <c r="L83" s="369">
        <v>2620856.3758199895</v>
      </c>
      <c r="N83" s="367">
        <v>2577906.4435788011</v>
      </c>
      <c r="O83" s="370">
        <v>0</v>
      </c>
      <c r="P83" s="370">
        <v>251264.01010000001</v>
      </c>
      <c r="Q83" s="370">
        <v>0</v>
      </c>
      <c r="R83" s="370">
        <v>251264.01010000001</v>
      </c>
      <c r="S83" s="370">
        <v>0</v>
      </c>
      <c r="T83" s="379">
        <v>63626400</v>
      </c>
      <c r="U83" s="371">
        <v>20652.165715518335</v>
      </c>
      <c r="V83" s="371">
        <v>951583.33333333337</v>
      </c>
      <c r="W83" s="372">
        <v>3550141.942627653</v>
      </c>
      <c r="X83" s="41"/>
      <c r="Y83" s="365">
        <v>0</v>
      </c>
      <c r="Z83" s="370">
        <v>0</v>
      </c>
      <c r="AA83" s="370">
        <v>0</v>
      </c>
      <c r="AB83" s="375">
        <v>3550141.942627653</v>
      </c>
      <c r="AC83" s="41"/>
      <c r="AD83" s="449">
        <v>0</v>
      </c>
      <c r="AE83" s="365">
        <v>626.46792412499997</v>
      </c>
      <c r="AF83" s="375">
        <v>2597932.1413701945</v>
      </c>
      <c r="AH83" s="365">
        <v>0</v>
      </c>
      <c r="AI83" s="370">
        <v>0</v>
      </c>
      <c r="AJ83" s="370">
        <v>0</v>
      </c>
      <c r="AK83" s="375">
        <v>2597932.1413701945</v>
      </c>
      <c r="AM83" s="365">
        <v>2297.049055125</v>
      </c>
      <c r="AN83" s="370">
        <v>2297.049055125</v>
      </c>
      <c r="AO83" s="370">
        <v>0</v>
      </c>
      <c r="AP83" s="375">
        <v>2595635.0923150694</v>
      </c>
      <c r="AR83" s="365">
        <v>0</v>
      </c>
      <c r="AS83" s="375">
        <v>2574982.926599551</v>
      </c>
      <c r="AU83" s="378">
        <v>950000</v>
      </c>
      <c r="AV83" s="379">
        <v>-1583.3333333333721</v>
      </c>
      <c r="AW83" s="380">
        <v>950000</v>
      </c>
      <c r="AX83" s="381">
        <v>2576566.2599328845</v>
      </c>
      <c r="AZ83" s="365">
        <v>0</v>
      </c>
      <c r="BA83" s="370">
        <v>0</v>
      </c>
      <c r="BB83" s="370">
        <v>0</v>
      </c>
      <c r="BC83" s="375">
        <v>2576566.2599328845</v>
      </c>
      <c r="BE83" s="365">
        <v>13782.294330749999</v>
      </c>
      <c r="BF83" s="370">
        <v>-6869.8713847683357</v>
      </c>
      <c r="BG83" s="370">
        <v>13782.294330749999</v>
      </c>
      <c r="BH83" s="375">
        <v>2583436.1313176528</v>
      </c>
      <c r="BJ83" s="365">
        <v>0</v>
      </c>
      <c r="BK83" s="370">
        <v>0</v>
      </c>
      <c r="BL83" s="370">
        <v>0</v>
      </c>
      <c r="BM83" s="375">
        <v>2583436.1313176528</v>
      </c>
      <c r="BO83" s="365">
        <v>249910.32919999998</v>
      </c>
      <c r="BP83" s="370">
        <v>249910.32919999998</v>
      </c>
      <c r="BQ83" s="370">
        <v>0</v>
      </c>
      <c r="BR83" s="375">
        <v>2333525.8021176527</v>
      </c>
      <c r="BT83" s="365">
        <v>0</v>
      </c>
      <c r="BU83" s="370">
        <v>0</v>
      </c>
      <c r="BV83" s="370">
        <v>0</v>
      </c>
      <c r="BW83" s="375">
        <v>2333525.8021176527</v>
      </c>
      <c r="BY83" s="365">
        <v>1983496.9318000048</v>
      </c>
      <c r="BZ83" s="373">
        <v>9228180.9531662874</v>
      </c>
      <c r="CA83" s="375">
        <v>350028.87031764793</v>
      </c>
      <c r="CC83" s="365">
        <v>0</v>
      </c>
      <c r="CD83" s="375">
        <v>252207.37825512499</v>
      </c>
      <c r="CF83" s="365">
        <v>0</v>
      </c>
      <c r="CG83" s="375">
        <v>249910.32919999998</v>
      </c>
      <c r="CI83" s="365">
        <v>350028.87031764787</v>
      </c>
      <c r="CJ83" s="375">
        <v>2235704.3100551297</v>
      </c>
    </row>
    <row r="84" spans="7:88">
      <c r="G84" s="417">
        <v>80</v>
      </c>
      <c r="H84" s="251">
        <v>0</v>
      </c>
      <c r="I84" s="377">
        <v>2</v>
      </c>
      <c r="J84" s="368">
        <v>0</v>
      </c>
      <c r="K84" s="368">
        <v>4545181.2562371371</v>
      </c>
      <c r="L84" s="369">
        <v>2622317.0144655313</v>
      </c>
      <c r="N84" s="367">
        <v>1922864.2417716058</v>
      </c>
      <c r="O84" s="370">
        <v>0</v>
      </c>
      <c r="P84" s="370">
        <v>0</v>
      </c>
      <c r="Q84" s="370">
        <v>0</v>
      </c>
      <c r="R84" s="370">
        <v>0</v>
      </c>
      <c r="S84" s="370">
        <v>0</v>
      </c>
      <c r="T84" s="379">
        <v>63626400</v>
      </c>
      <c r="U84" s="371">
        <v>13805.264821301249</v>
      </c>
      <c r="V84" s="371">
        <v>951583.33333333337</v>
      </c>
      <c r="W84" s="372">
        <v>2888252.8399262405</v>
      </c>
      <c r="X84" s="41"/>
      <c r="Y84" s="365">
        <v>0</v>
      </c>
      <c r="Z84" s="370">
        <v>0</v>
      </c>
      <c r="AA84" s="370">
        <v>0</v>
      </c>
      <c r="AB84" s="375">
        <v>2888252.8399262405</v>
      </c>
      <c r="AC84" s="41"/>
      <c r="AD84" s="449">
        <v>0</v>
      </c>
      <c r="AE84" s="365">
        <v>314.08001262499999</v>
      </c>
      <c r="AF84" s="375">
        <v>1936355.4265802819</v>
      </c>
      <c r="AH84" s="365">
        <v>0</v>
      </c>
      <c r="AI84" s="370">
        <v>0</v>
      </c>
      <c r="AJ84" s="370">
        <v>0</v>
      </c>
      <c r="AK84" s="375">
        <v>1936355.4265802819</v>
      </c>
      <c r="AM84" s="365">
        <v>1151.6267129583334</v>
      </c>
      <c r="AN84" s="370">
        <v>1151.6267129583334</v>
      </c>
      <c r="AO84" s="370">
        <v>0</v>
      </c>
      <c r="AP84" s="375">
        <v>1935203.7998673236</v>
      </c>
      <c r="AR84" s="365">
        <v>0</v>
      </c>
      <c r="AS84" s="375">
        <v>1921398.5350460224</v>
      </c>
      <c r="AU84" s="378">
        <v>950000</v>
      </c>
      <c r="AV84" s="379">
        <v>-1583.3333333333721</v>
      </c>
      <c r="AW84" s="380">
        <v>950000</v>
      </c>
      <c r="AX84" s="381">
        <v>1922981.8683793559</v>
      </c>
      <c r="AZ84" s="365">
        <v>0</v>
      </c>
      <c r="BA84" s="370">
        <v>0</v>
      </c>
      <c r="BB84" s="370">
        <v>0</v>
      </c>
      <c r="BC84" s="375">
        <v>1922981.8683793559</v>
      </c>
      <c r="BE84" s="365">
        <v>6909.7602777500006</v>
      </c>
      <c r="BF84" s="370">
        <v>-6895.5045435512484</v>
      </c>
      <c r="BG84" s="370">
        <v>6909.7602777500006</v>
      </c>
      <c r="BH84" s="375">
        <v>1929877.3729229071</v>
      </c>
      <c r="BJ84" s="365">
        <v>0</v>
      </c>
      <c r="BK84" s="370">
        <v>0</v>
      </c>
      <c r="BL84" s="370">
        <v>0</v>
      </c>
      <c r="BM84" s="375">
        <v>1929877.3729229071</v>
      </c>
      <c r="BO84" s="365">
        <v>251264.01010000001</v>
      </c>
      <c r="BP84" s="370">
        <v>251264.01010000001</v>
      </c>
      <c r="BQ84" s="370">
        <v>0</v>
      </c>
      <c r="BR84" s="375">
        <v>1678613.362822907</v>
      </c>
      <c r="BT84" s="365">
        <v>0</v>
      </c>
      <c r="BU84" s="370">
        <v>0</v>
      </c>
      <c r="BV84" s="370">
        <v>0</v>
      </c>
      <c r="BW84" s="375">
        <v>1678613.362822907</v>
      </c>
      <c r="BY84" s="365">
        <v>1426821.358399471</v>
      </c>
      <c r="BZ84" s="373">
        <v>10655002.311565759</v>
      </c>
      <c r="CA84" s="375">
        <v>251792.00442343601</v>
      </c>
      <c r="CC84" s="365">
        <v>0</v>
      </c>
      <c r="CD84" s="375">
        <v>252415.63681295834</v>
      </c>
      <c r="CF84" s="365">
        <v>0</v>
      </c>
      <c r="CG84" s="375">
        <v>251264.01010000001</v>
      </c>
      <c r="CI84" s="365">
        <v>251792.00442343604</v>
      </c>
      <c r="CJ84" s="375">
        <v>1679236.9952124294</v>
      </c>
    </row>
    <row r="85" spans="7:88">
      <c r="G85" s="417">
        <v>81</v>
      </c>
      <c r="H85" s="251">
        <v>0</v>
      </c>
      <c r="I85" s="377">
        <v>1</v>
      </c>
      <c r="J85" s="368">
        <v>0</v>
      </c>
      <c r="K85" s="368">
        <v>4875808.4236987969</v>
      </c>
      <c r="L85" s="369">
        <v>2623778.4671447128</v>
      </c>
      <c r="N85" s="367">
        <v>2252029.9565540841</v>
      </c>
      <c r="O85" s="370">
        <v>0</v>
      </c>
      <c r="P85" s="370">
        <v>0</v>
      </c>
      <c r="Q85" s="370">
        <v>0</v>
      </c>
      <c r="R85" s="370">
        <v>0</v>
      </c>
      <c r="S85" s="370">
        <v>0</v>
      </c>
      <c r="T85" s="379">
        <v>63626400</v>
      </c>
      <c r="U85" s="371">
        <v>6921.2765448795835</v>
      </c>
      <c r="V85" s="371">
        <v>951583.33333333337</v>
      </c>
      <c r="W85" s="372">
        <v>3210534.5664322972</v>
      </c>
      <c r="X85" s="41"/>
      <c r="Y85" s="365">
        <v>950000</v>
      </c>
      <c r="Z85" s="370">
        <v>950000</v>
      </c>
      <c r="AA85" s="370">
        <v>0</v>
      </c>
      <c r="AB85" s="375">
        <v>2260534.5664322972</v>
      </c>
      <c r="AC85" s="41"/>
      <c r="AD85" s="449">
        <v>950000</v>
      </c>
      <c r="AE85" s="365">
        <v>0</v>
      </c>
      <c r="AF85" s="375">
        <v>1308951.2330989637</v>
      </c>
      <c r="AH85" s="365">
        <v>0</v>
      </c>
      <c r="AI85" s="370">
        <v>0</v>
      </c>
      <c r="AJ85" s="370">
        <v>0</v>
      </c>
      <c r="AK85" s="375">
        <v>1308951.2330989637</v>
      </c>
      <c r="AM85" s="365">
        <v>0</v>
      </c>
      <c r="AN85" s="370">
        <v>0</v>
      </c>
      <c r="AO85" s="370">
        <v>0</v>
      </c>
      <c r="AP85" s="375">
        <v>1308951.2330989637</v>
      </c>
      <c r="AR85" s="365">
        <v>0</v>
      </c>
      <c r="AS85" s="375">
        <v>1302029.9565540841</v>
      </c>
      <c r="AU85" s="378">
        <v>0</v>
      </c>
      <c r="AV85" s="379">
        <v>-951583.33333333337</v>
      </c>
      <c r="AW85" s="380">
        <v>0</v>
      </c>
      <c r="AX85" s="381">
        <v>2253613.2898874176</v>
      </c>
      <c r="AZ85" s="365">
        <v>0</v>
      </c>
      <c r="BA85" s="370">
        <v>0</v>
      </c>
      <c r="BB85" s="370">
        <v>0</v>
      </c>
      <c r="BC85" s="375">
        <v>2253613.2898874176</v>
      </c>
      <c r="BE85" s="365">
        <v>0</v>
      </c>
      <c r="BF85" s="370">
        <v>-6921.2765448795835</v>
      </c>
      <c r="BG85" s="370">
        <v>0</v>
      </c>
      <c r="BH85" s="375">
        <v>2260534.5664322972</v>
      </c>
      <c r="BJ85" s="365">
        <v>0</v>
      </c>
      <c r="BK85" s="370">
        <v>0</v>
      </c>
      <c r="BL85" s="370">
        <v>0</v>
      </c>
      <c r="BM85" s="375">
        <v>2260534.5664322972</v>
      </c>
      <c r="BO85" s="365">
        <v>0</v>
      </c>
      <c r="BP85" s="370">
        <v>0</v>
      </c>
      <c r="BQ85" s="370">
        <v>0</v>
      </c>
      <c r="BR85" s="375">
        <v>2260534.5664322972</v>
      </c>
      <c r="BT85" s="365">
        <v>0</v>
      </c>
      <c r="BU85" s="370">
        <v>0</v>
      </c>
      <c r="BV85" s="370">
        <v>0</v>
      </c>
      <c r="BW85" s="375">
        <v>2260534.5664322972</v>
      </c>
      <c r="BY85" s="365">
        <v>1921454.3814674525</v>
      </c>
      <c r="BZ85" s="373">
        <v>12576456.693033211</v>
      </c>
      <c r="CA85" s="375">
        <v>339080.18496484472</v>
      </c>
      <c r="CC85" s="365">
        <v>0</v>
      </c>
      <c r="CD85" s="375">
        <v>0</v>
      </c>
      <c r="CF85" s="365">
        <v>0</v>
      </c>
      <c r="CG85" s="375">
        <v>0</v>
      </c>
      <c r="CI85" s="365">
        <v>339080.18496484455</v>
      </c>
      <c r="CJ85" s="375">
        <v>1921454.3814674525</v>
      </c>
    </row>
    <row r="86" spans="7:88">
      <c r="G86" s="417">
        <v>82</v>
      </c>
      <c r="H86" s="251">
        <v>0</v>
      </c>
      <c r="I86" s="377">
        <v>0</v>
      </c>
      <c r="J86" s="368">
        <v>0</v>
      </c>
      <c r="K86" s="368">
        <v>5203214.9700009944</v>
      </c>
      <c r="L86" s="369">
        <v>2625240.7343112049</v>
      </c>
      <c r="N86" s="367">
        <v>2577974.2356897895</v>
      </c>
      <c r="O86" s="370">
        <v>0</v>
      </c>
      <c r="P86" s="370">
        <v>0</v>
      </c>
      <c r="Q86" s="370">
        <v>0</v>
      </c>
      <c r="R86" s="370">
        <v>0</v>
      </c>
      <c r="S86" s="370">
        <v>0</v>
      </c>
      <c r="T86" s="379">
        <v>63626400</v>
      </c>
      <c r="U86" s="371">
        <v>0</v>
      </c>
      <c r="V86" s="371">
        <v>0</v>
      </c>
      <c r="W86" s="372">
        <v>2577974.2356897895</v>
      </c>
      <c r="X86" s="41"/>
      <c r="Y86" s="365">
        <v>0</v>
      </c>
      <c r="Z86" s="370">
        <v>0</v>
      </c>
      <c r="AA86" s="370">
        <v>0</v>
      </c>
      <c r="AB86" s="375">
        <v>2577974.2356897895</v>
      </c>
      <c r="AC86" s="41"/>
      <c r="AD86" s="449">
        <v>0</v>
      </c>
      <c r="AE86" s="365">
        <v>0</v>
      </c>
      <c r="AF86" s="375">
        <v>2577974.2356897895</v>
      </c>
      <c r="AH86" s="365">
        <v>0</v>
      </c>
      <c r="AI86" s="370">
        <v>0</v>
      </c>
      <c r="AJ86" s="370">
        <v>0</v>
      </c>
      <c r="AK86" s="375">
        <v>2577974.2356897895</v>
      </c>
      <c r="AM86" s="365">
        <v>0</v>
      </c>
      <c r="AN86" s="370">
        <v>0</v>
      </c>
      <c r="AO86" s="370">
        <v>0</v>
      </c>
      <c r="AP86" s="375">
        <v>2577974.2356897895</v>
      </c>
      <c r="AR86" s="365">
        <v>0</v>
      </c>
      <c r="AS86" s="375">
        <v>2577974.2356897895</v>
      </c>
      <c r="AU86" s="378">
        <v>0</v>
      </c>
      <c r="AV86" s="379">
        <v>0</v>
      </c>
      <c r="AW86" s="380">
        <v>0</v>
      </c>
      <c r="AX86" s="381">
        <v>2577974.2356897895</v>
      </c>
      <c r="AZ86" s="365">
        <v>0</v>
      </c>
      <c r="BA86" s="370">
        <v>0</v>
      </c>
      <c r="BB86" s="370">
        <v>0</v>
      </c>
      <c r="BC86" s="375">
        <v>2577974.2356897895</v>
      </c>
      <c r="BE86" s="365">
        <v>0</v>
      </c>
      <c r="BF86" s="370">
        <v>0</v>
      </c>
      <c r="BG86" s="370">
        <v>0</v>
      </c>
      <c r="BH86" s="375">
        <v>2577974.2356897895</v>
      </c>
      <c r="BJ86" s="365">
        <v>0</v>
      </c>
      <c r="BK86" s="370">
        <v>0</v>
      </c>
      <c r="BL86" s="370">
        <v>0</v>
      </c>
      <c r="BM86" s="375">
        <v>2577974.2356897895</v>
      </c>
      <c r="BO86" s="365">
        <v>0</v>
      </c>
      <c r="BP86" s="370">
        <v>0</v>
      </c>
      <c r="BQ86" s="370">
        <v>0</v>
      </c>
      <c r="BR86" s="375">
        <v>2577974.2356897895</v>
      </c>
      <c r="BT86" s="365">
        <v>0</v>
      </c>
      <c r="BU86" s="370">
        <v>0</v>
      </c>
      <c r="BV86" s="370">
        <v>0</v>
      </c>
      <c r="BW86" s="375">
        <v>2577974.2356897895</v>
      </c>
      <c r="BY86" s="365">
        <v>2191278.1003363212</v>
      </c>
      <c r="BZ86" s="373">
        <v>14767734.793369532</v>
      </c>
      <c r="CA86" s="375">
        <v>386696.13535346836</v>
      </c>
      <c r="CC86" s="365">
        <v>0</v>
      </c>
      <c r="CD86" s="375">
        <v>0</v>
      </c>
      <c r="CF86" s="365">
        <v>0</v>
      </c>
      <c r="CG86" s="375">
        <v>0</v>
      </c>
      <c r="CI86" s="365">
        <v>386696.13535346842</v>
      </c>
      <c r="CJ86" s="375">
        <v>2191278.1003363212</v>
      </c>
    </row>
    <row r="87" spans="7:88">
      <c r="G87" s="417">
        <v>83</v>
      </c>
      <c r="H87" s="251">
        <v>0</v>
      </c>
      <c r="I87" s="377">
        <v>2</v>
      </c>
      <c r="J87" s="368">
        <v>0</v>
      </c>
      <c r="K87" s="368">
        <v>4548709.7597572841</v>
      </c>
      <c r="L87" s="369">
        <v>2626703.8164189323</v>
      </c>
      <c r="N87" s="367">
        <v>1922005.9433383518</v>
      </c>
      <c r="O87" s="370">
        <v>0</v>
      </c>
      <c r="P87" s="370">
        <v>0</v>
      </c>
      <c r="Q87" s="370">
        <v>0</v>
      </c>
      <c r="R87" s="370">
        <v>0</v>
      </c>
      <c r="S87" s="370">
        <v>0</v>
      </c>
      <c r="T87" s="379">
        <v>63626400</v>
      </c>
      <c r="U87" s="371">
        <v>0</v>
      </c>
      <c r="V87" s="371">
        <v>0</v>
      </c>
      <c r="W87" s="372">
        <v>1922005.9433383518</v>
      </c>
      <c r="X87" s="41"/>
      <c r="Y87" s="365">
        <v>0</v>
      </c>
      <c r="Z87" s="370">
        <v>0</v>
      </c>
      <c r="AA87" s="370">
        <v>0</v>
      </c>
      <c r="AB87" s="375">
        <v>1922005.9433383518</v>
      </c>
      <c r="AC87" s="41"/>
      <c r="AD87" s="449">
        <v>0</v>
      </c>
      <c r="AE87" s="365">
        <v>0</v>
      </c>
      <c r="AF87" s="375">
        <v>1922005.9433383518</v>
      </c>
      <c r="AH87" s="365">
        <v>0</v>
      </c>
      <c r="AI87" s="370">
        <v>0</v>
      </c>
      <c r="AJ87" s="370">
        <v>0</v>
      </c>
      <c r="AK87" s="375">
        <v>1922005.9433383518</v>
      </c>
      <c r="AM87" s="365">
        <v>0</v>
      </c>
      <c r="AN87" s="370">
        <v>0</v>
      </c>
      <c r="AO87" s="370">
        <v>0</v>
      </c>
      <c r="AP87" s="375">
        <v>1922005.9433383518</v>
      </c>
      <c r="AR87" s="365">
        <v>0</v>
      </c>
      <c r="AS87" s="375">
        <v>1922005.9433383518</v>
      </c>
      <c r="AU87" s="378">
        <v>0</v>
      </c>
      <c r="AV87" s="379">
        <v>0</v>
      </c>
      <c r="AW87" s="380">
        <v>0</v>
      </c>
      <c r="AX87" s="381">
        <v>1922005.9433383518</v>
      </c>
      <c r="AZ87" s="365">
        <v>0</v>
      </c>
      <c r="BA87" s="370">
        <v>0</v>
      </c>
      <c r="BB87" s="370">
        <v>0</v>
      </c>
      <c r="BC87" s="375">
        <v>1922005.9433383518</v>
      </c>
      <c r="BE87" s="365">
        <v>0</v>
      </c>
      <c r="BF87" s="370">
        <v>0</v>
      </c>
      <c r="BG87" s="370">
        <v>0</v>
      </c>
      <c r="BH87" s="375">
        <v>1922005.9433383518</v>
      </c>
      <c r="BJ87" s="365">
        <v>0</v>
      </c>
      <c r="BK87" s="370">
        <v>0</v>
      </c>
      <c r="BL87" s="370">
        <v>0</v>
      </c>
      <c r="BM87" s="375">
        <v>1922005.9433383518</v>
      </c>
      <c r="BO87" s="365">
        <v>0</v>
      </c>
      <c r="BP87" s="370">
        <v>0</v>
      </c>
      <c r="BQ87" s="370">
        <v>0</v>
      </c>
      <c r="BR87" s="375">
        <v>1922005.9433383518</v>
      </c>
      <c r="BT87" s="365">
        <v>0</v>
      </c>
      <c r="BU87" s="370">
        <v>0</v>
      </c>
      <c r="BV87" s="370">
        <v>0</v>
      </c>
      <c r="BW87" s="375">
        <v>1922005.9433383518</v>
      </c>
      <c r="BY87" s="365">
        <v>1633705.0518375989</v>
      </c>
      <c r="BZ87" s="373">
        <v>16401439.845207131</v>
      </c>
      <c r="CA87" s="375">
        <v>288300.89150075288</v>
      </c>
      <c r="CC87" s="365">
        <v>0</v>
      </c>
      <c r="CD87" s="375">
        <v>0</v>
      </c>
      <c r="CF87" s="365">
        <v>0</v>
      </c>
      <c r="CG87" s="375">
        <v>0</v>
      </c>
      <c r="CI87" s="365">
        <v>288300.89150075277</v>
      </c>
      <c r="CJ87" s="375">
        <v>1633705.0518375989</v>
      </c>
    </row>
    <row r="88" spans="7:88">
      <c r="G88" s="417">
        <v>84</v>
      </c>
      <c r="H88" s="251">
        <v>0</v>
      </c>
      <c r="I88" s="377">
        <v>0</v>
      </c>
      <c r="J88" s="368">
        <v>0</v>
      </c>
      <c r="K88" s="368">
        <v>5204138.6170830503</v>
      </c>
      <c r="L88" s="369">
        <v>2628167.7139220731</v>
      </c>
      <c r="N88" s="367">
        <v>2575970.9031609772</v>
      </c>
      <c r="O88" s="370">
        <v>0</v>
      </c>
      <c r="P88" s="370">
        <v>0</v>
      </c>
      <c r="Q88" s="370">
        <v>0</v>
      </c>
      <c r="R88" s="370">
        <v>0</v>
      </c>
      <c r="S88" s="370">
        <v>0</v>
      </c>
      <c r="T88" s="379">
        <v>63626400</v>
      </c>
      <c r="U88" s="371">
        <v>0</v>
      </c>
      <c r="V88" s="371">
        <v>0</v>
      </c>
      <c r="W88" s="372">
        <v>2575970.9031609772</v>
      </c>
      <c r="X88" s="41"/>
      <c r="Y88" s="365">
        <v>0</v>
      </c>
      <c r="Z88" s="370">
        <v>0</v>
      </c>
      <c r="AA88" s="370">
        <v>0</v>
      </c>
      <c r="AB88" s="375">
        <v>2575970.9031609772</v>
      </c>
      <c r="AC88" s="41"/>
      <c r="AD88" s="449">
        <v>0</v>
      </c>
      <c r="AE88" s="365">
        <v>0</v>
      </c>
      <c r="AF88" s="375">
        <v>2575970.9031609772</v>
      </c>
      <c r="AH88" s="365">
        <v>0</v>
      </c>
      <c r="AI88" s="370">
        <v>0</v>
      </c>
      <c r="AJ88" s="370">
        <v>0</v>
      </c>
      <c r="AK88" s="375">
        <v>2575970.9031609772</v>
      </c>
      <c r="AM88" s="365">
        <v>0</v>
      </c>
      <c r="AN88" s="370">
        <v>0</v>
      </c>
      <c r="AO88" s="370">
        <v>0</v>
      </c>
      <c r="AP88" s="375">
        <v>2575970.9031609772</v>
      </c>
      <c r="AR88" s="365">
        <v>0</v>
      </c>
      <c r="AS88" s="375">
        <v>2575970.9031609772</v>
      </c>
      <c r="AU88" s="378">
        <v>750000</v>
      </c>
      <c r="AV88" s="379">
        <v>750000</v>
      </c>
      <c r="AW88" s="380">
        <v>750000</v>
      </c>
      <c r="AX88" s="381">
        <v>1825970.9031609772</v>
      </c>
      <c r="AZ88" s="365">
        <v>0</v>
      </c>
      <c r="BA88" s="370">
        <v>0</v>
      </c>
      <c r="BB88" s="370">
        <v>0</v>
      </c>
      <c r="BC88" s="375">
        <v>1825970.9031609772</v>
      </c>
      <c r="BE88" s="365">
        <v>0</v>
      </c>
      <c r="BF88" s="370">
        <v>0</v>
      </c>
      <c r="BG88" s="370">
        <v>0</v>
      </c>
      <c r="BH88" s="375">
        <v>1825970.9031609772</v>
      </c>
      <c r="BJ88" s="365">
        <v>0</v>
      </c>
      <c r="BK88" s="370">
        <v>0</v>
      </c>
      <c r="BL88" s="370">
        <v>0</v>
      </c>
      <c r="BM88" s="375">
        <v>1825970.9031609772</v>
      </c>
      <c r="BO88" s="365">
        <v>0</v>
      </c>
      <c r="BP88" s="370">
        <v>0</v>
      </c>
      <c r="BQ88" s="370">
        <v>0</v>
      </c>
      <c r="BR88" s="375">
        <v>1825970.9031609772</v>
      </c>
      <c r="BT88" s="365">
        <v>0</v>
      </c>
      <c r="BU88" s="370">
        <v>0</v>
      </c>
      <c r="BV88" s="370">
        <v>0</v>
      </c>
      <c r="BW88" s="375">
        <v>1825970.9031609772</v>
      </c>
      <c r="BY88" s="365">
        <v>1552075.2676868306</v>
      </c>
      <c r="BZ88" s="373">
        <v>17953515.112893961</v>
      </c>
      <c r="CA88" s="375">
        <v>273895.63547414658</v>
      </c>
      <c r="CC88" s="365">
        <v>0</v>
      </c>
      <c r="CD88" s="375">
        <v>0</v>
      </c>
      <c r="CF88" s="365">
        <v>0</v>
      </c>
      <c r="CG88" s="375">
        <v>0</v>
      </c>
      <c r="CI88" s="365">
        <v>273895.63547414658</v>
      </c>
      <c r="CJ88" s="375">
        <v>1552075.2676868306</v>
      </c>
    </row>
    <row r="89" spans="7:88">
      <c r="G89" s="417">
        <v>85</v>
      </c>
      <c r="H89" s="251">
        <v>0</v>
      </c>
      <c r="I89" s="377">
        <v>3</v>
      </c>
      <c r="J89" s="368">
        <v>0</v>
      </c>
      <c r="K89" s="368">
        <v>4272565.0447225897</v>
      </c>
      <c r="L89" s="369">
        <v>2629632.4272750588</v>
      </c>
      <c r="N89" s="367">
        <v>1642932.6174475309</v>
      </c>
      <c r="O89" s="370">
        <v>0</v>
      </c>
      <c r="P89" s="370">
        <v>0</v>
      </c>
      <c r="Q89" s="370">
        <v>0</v>
      </c>
      <c r="R89" s="370">
        <v>0</v>
      </c>
      <c r="S89" s="370">
        <v>0</v>
      </c>
      <c r="T89" s="379">
        <v>63626400</v>
      </c>
      <c r="U89" s="371">
        <v>0</v>
      </c>
      <c r="V89" s="371">
        <v>751250</v>
      </c>
      <c r="W89" s="372">
        <v>2394182.6174475309</v>
      </c>
      <c r="X89" s="41"/>
      <c r="Y89" s="365">
        <v>0</v>
      </c>
      <c r="Z89" s="370">
        <v>0</v>
      </c>
      <c r="AA89" s="370">
        <v>0</v>
      </c>
      <c r="AB89" s="375">
        <v>2394182.6174475309</v>
      </c>
      <c r="AC89" s="41"/>
      <c r="AD89" s="449">
        <v>0</v>
      </c>
      <c r="AE89" s="365">
        <v>0</v>
      </c>
      <c r="AF89" s="375">
        <v>1642932.6174475309</v>
      </c>
      <c r="AH89" s="365">
        <v>0</v>
      </c>
      <c r="AI89" s="370">
        <v>0</v>
      </c>
      <c r="AJ89" s="370">
        <v>0</v>
      </c>
      <c r="AK89" s="375">
        <v>1642932.6174475309</v>
      </c>
      <c r="AM89" s="365">
        <v>0</v>
      </c>
      <c r="AN89" s="370">
        <v>0</v>
      </c>
      <c r="AO89" s="370">
        <v>0</v>
      </c>
      <c r="AP89" s="375">
        <v>1642932.6174475309</v>
      </c>
      <c r="AR89" s="365">
        <v>0</v>
      </c>
      <c r="AS89" s="375">
        <v>1642932.6174475309</v>
      </c>
      <c r="AU89" s="378">
        <v>750000</v>
      </c>
      <c r="AV89" s="379">
        <v>-1250</v>
      </c>
      <c r="AW89" s="380">
        <v>750000</v>
      </c>
      <c r="AX89" s="381">
        <v>1644182.6174475309</v>
      </c>
      <c r="AZ89" s="365">
        <v>0</v>
      </c>
      <c r="BA89" s="370">
        <v>0</v>
      </c>
      <c r="BB89" s="370">
        <v>0</v>
      </c>
      <c r="BC89" s="375">
        <v>1644182.6174475309</v>
      </c>
      <c r="BE89" s="365">
        <v>0</v>
      </c>
      <c r="BF89" s="370">
        <v>0</v>
      </c>
      <c r="BG89" s="370">
        <v>0</v>
      </c>
      <c r="BH89" s="375">
        <v>1644182.6174475309</v>
      </c>
      <c r="BJ89" s="365">
        <v>0</v>
      </c>
      <c r="BK89" s="370">
        <v>0</v>
      </c>
      <c r="BL89" s="370">
        <v>0</v>
      </c>
      <c r="BM89" s="375">
        <v>1644182.6174475309</v>
      </c>
      <c r="BO89" s="365">
        <v>0</v>
      </c>
      <c r="BP89" s="370">
        <v>0</v>
      </c>
      <c r="BQ89" s="370">
        <v>0</v>
      </c>
      <c r="BR89" s="375">
        <v>1644182.6174475309</v>
      </c>
      <c r="BT89" s="365">
        <v>0</v>
      </c>
      <c r="BU89" s="370">
        <v>0</v>
      </c>
      <c r="BV89" s="370">
        <v>0</v>
      </c>
      <c r="BW89" s="375">
        <v>1644182.6174475309</v>
      </c>
      <c r="BY89" s="365">
        <v>1397555.2248304011</v>
      </c>
      <c r="BZ89" s="373">
        <v>19351070.337724362</v>
      </c>
      <c r="CA89" s="375">
        <v>246627.39261712972</v>
      </c>
      <c r="CC89" s="365">
        <v>0</v>
      </c>
      <c r="CD89" s="375">
        <v>0</v>
      </c>
      <c r="CF89" s="365">
        <v>0</v>
      </c>
      <c r="CG89" s="375">
        <v>0</v>
      </c>
      <c r="CI89" s="365">
        <v>246627.3926171296</v>
      </c>
      <c r="CJ89" s="375">
        <v>1397555.2248304011</v>
      </c>
    </row>
    <row r="90" spans="7:88">
      <c r="G90" s="417">
        <v>86</v>
      </c>
      <c r="H90" s="251">
        <v>0</v>
      </c>
      <c r="I90" s="377">
        <v>2</v>
      </c>
      <c r="J90" s="368">
        <v>0</v>
      </c>
      <c r="K90" s="368">
        <v>4560595.8542741193</v>
      </c>
      <c r="L90" s="369">
        <v>2631097.9569325726</v>
      </c>
      <c r="N90" s="367">
        <v>1929497.8973415466</v>
      </c>
      <c r="O90" s="370">
        <v>0</v>
      </c>
      <c r="P90" s="370">
        <v>0</v>
      </c>
      <c r="Q90" s="370">
        <v>0</v>
      </c>
      <c r="R90" s="370">
        <v>0</v>
      </c>
      <c r="S90" s="370">
        <v>0</v>
      </c>
      <c r="T90" s="379">
        <v>63626400</v>
      </c>
      <c r="U90" s="371">
        <v>0</v>
      </c>
      <c r="V90" s="371">
        <v>751250</v>
      </c>
      <c r="W90" s="372">
        <v>2680747.8973415466</v>
      </c>
      <c r="X90" s="41"/>
      <c r="Y90" s="365">
        <v>0</v>
      </c>
      <c r="Z90" s="370">
        <v>0</v>
      </c>
      <c r="AA90" s="370">
        <v>0</v>
      </c>
      <c r="AB90" s="375">
        <v>2680747.8973415466</v>
      </c>
      <c r="AC90" s="41"/>
      <c r="AD90" s="449">
        <v>0</v>
      </c>
      <c r="AE90" s="365">
        <v>0</v>
      </c>
      <c r="AF90" s="375">
        <v>1929497.8973415466</v>
      </c>
      <c r="AH90" s="365">
        <v>0</v>
      </c>
      <c r="AI90" s="370">
        <v>0</v>
      </c>
      <c r="AJ90" s="370">
        <v>0</v>
      </c>
      <c r="AK90" s="375">
        <v>1929497.8973415466</v>
      </c>
      <c r="AM90" s="365">
        <v>0</v>
      </c>
      <c r="AN90" s="370">
        <v>0</v>
      </c>
      <c r="AO90" s="370">
        <v>0</v>
      </c>
      <c r="AP90" s="375">
        <v>1929497.8973415466</v>
      </c>
      <c r="AR90" s="365">
        <v>0</v>
      </c>
      <c r="AS90" s="375">
        <v>1929497.8973415466</v>
      </c>
      <c r="AU90" s="378">
        <v>750000</v>
      </c>
      <c r="AV90" s="379">
        <v>-1250</v>
      </c>
      <c r="AW90" s="380">
        <v>750000</v>
      </c>
      <c r="AX90" s="381">
        <v>1930747.8973415466</v>
      </c>
      <c r="AZ90" s="365">
        <v>0</v>
      </c>
      <c r="BA90" s="370">
        <v>0</v>
      </c>
      <c r="BB90" s="370">
        <v>0</v>
      </c>
      <c r="BC90" s="375">
        <v>1930747.8973415466</v>
      </c>
      <c r="BE90" s="365">
        <v>0</v>
      </c>
      <c r="BF90" s="370">
        <v>0</v>
      </c>
      <c r="BG90" s="370">
        <v>0</v>
      </c>
      <c r="BH90" s="375">
        <v>1930747.8973415466</v>
      </c>
      <c r="BJ90" s="365">
        <v>0</v>
      </c>
      <c r="BK90" s="370">
        <v>0</v>
      </c>
      <c r="BL90" s="370">
        <v>0</v>
      </c>
      <c r="BM90" s="375">
        <v>1930747.8973415466</v>
      </c>
      <c r="BO90" s="365">
        <v>0</v>
      </c>
      <c r="BP90" s="370">
        <v>0</v>
      </c>
      <c r="BQ90" s="370">
        <v>0</v>
      </c>
      <c r="BR90" s="375">
        <v>1930747.8973415466</v>
      </c>
      <c r="BT90" s="365">
        <v>0</v>
      </c>
      <c r="BU90" s="370">
        <v>0</v>
      </c>
      <c r="BV90" s="370">
        <v>0</v>
      </c>
      <c r="BW90" s="375">
        <v>1930747.8973415466</v>
      </c>
      <c r="BY90" s="365">
        <v>1641135.7127403147</v>
      </c>
      <c r="BZ90" s="373">
        <v>20992206.050464675</v>
      </c>
      <c r="CA90" s="375">
        <v>289612.18460123194</v>
      </c>
      <c r="CC90" s="365">
        <v>0</v>
      </c>
      <c r="CD90" s="375">
        <v>0</v>
      </c>
      <c r="CF90" s="365">
        <v>0</v>
      </c>
      <c r="CG90" s="375">
        <v>0</v>
      </c>
      <c r="CI90" s="365">
        <v>289612.184601232</v>
      </c>
      <c r="CJ90" s="375">
        <v>1641135.7127403147</v>
      </c>
    </row>
    <row r="91" spans="7:88">
      <c r="G91" s="417">
        <v>87</v>
      </c>
      <c r="H91" s="251">
        <v>0</v>
      </c>
      <c r="I91" s="377">
        <v>0</v>
      </c>
      <c r="J91" s="368">
        <v>0</v>
      </c>
      <c r="K91" s="368">
        <v>5216953.5947051048</v>
      </c>
      <c r="L91" s="369">
        <v>2632564.3033495522</v>
      </c>
      <c r="N91" s="367">
        <v>2584389.2913555526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9">
        <v>63626400</v>
      </c>
      <c r="U91" s="371">
        <v>0</v>
      </c>
      <c r="V91" s="371">
        <v>751250</v>
      </c>
      <c r="W91" s="372">
        <v>3335639.2913555526</v>
      </c>
      <c r="X91" s="41"/>
      <c r="Y91" s="365">
        <v>0</v>
      </c>
      <c r="Z91" s="370">
        <v>0</v>
      </c>
      <c r="AA91" s="370">
        <v>0</v>
      </c>
      <c r="AB91" s="375">
        <v>3335639.2913555526</v>
      </c>
      <c r="AC91" s="41"/>
      <c r="AD91" s="449">
        <v>0</v>
      </c>
      <c r="AE91" s="365">
        <v>0</v>
      </c>
      <c r="AF91" s="375">
        <v>2584389.2913555526</v>
      </c>
      <c r="AH91" s="365">
        <v>0</v>
      </c>
      <c r="AI91" s="370">
        <v>0</v>
      </c>
      <c r="AJ91" s="370">
        <v>0</v>
      </c>
      <c r="AK91" s="375">
        <v>2584389.2913555526</v>
      </c>
      <c r="AM91" s="365">
        <v>0</v>
      </c>
      <c r="AN91" s="370">
        <v>0</v>
      </c>
      <c r="AO91" s="370">
        <v>0</v>
      </c>
      <c r="AP91" s="375">
        <v>2584389.2913555526</v>
      </c>
      <c r="AR91" s="365">
        <v>0</v>
      </c>
      <c r="AS91" s="375">
        <v>2584389.2913555526</v>
      </c>
      <c r="AU91" s="378">
        <v>750000</v>
      </c>
      <c r="AV91" s="379">
        <v>-1250</v>
      </c>
      <c r="AW91" s="380">
        <v>750000</v>
      </c>
      <c r="AX91" s="381">
        <v>2585639.2913555526</v>
      </c>
      <c r="AZ91" s="365">
        <v>0</v>
      </c>
      <c r="BA91" s="370">
        <v>0</v>
      </c>
      <c r="BB91" s="370">
        <v>0</v>
      </c>
      <c r="BC91" s="375">
        <v>2585639.2913555526</v>
      </c>
      <c r="BE91" s="365">
        <v>0</v>
      </c>
      <c r="BF91" s="370">
        <v>0</v>
      </c>
      <c r="BG91" s="370">
        <v>0</v>
      </c>
      <c r="BH91" s="375">
        <v>2585639.2913555526</v>
      </c>
      <c r="BJ91" s="365">
        <v>0</v>
      </c>
      <c r="BK91" s="370">
        <v>0</v>
      </c>
      <c r="BL91" s="370">
        <v>0</v>
      </c>
      <c r="BM91" s="375">
        <v>2585639.2913555526</v>
      </c>
      <c r="BO91" s="365">
        <v>0</v>
      </c>
      <c r="BP91" s="370">
        <v>0</v>
      </c>
      <c r="BQ91" s="370">
        <v>0</v>
      </c>
      <c r="BR91" s="375">
        <v>2585639.2913555526</v>
      </c>
      <c r="BT91" s="365">
        <v>0</v>
      </c>
      <c r="BU91" s="370">
        <v>0</v>
      </c>
      <c r="BV91" s="370">
        <v>0</v>
      </c>
      <c r="BW91" s="375">
        <v>2585639.2913555526</v>
      </c>
      <c r="BY91" s="365">
        <v>2197793.3976522195</v>
      </c>
      <c r="BZ91" s="373">
        <v>23189999.448116895</v>
      </c>
      <c r="CA91" s="375">
        <v>387845.8937033331</v>
      </c>
      <c r="CC91" s="365">
        <v>0</v>
      </c>
      <c r="CD91" s="375">
        <v>0</v>
      </c>
      <c r="CF91" s="365">
        <v>0</v>
      </c>
      <c r="CG91" s="375">
        <v>0</v>
      </c>
      <c r="CI91" s="365">
        <v>387845.89370333287</v>
      </c>
      <c r="CJ91" s="375">
        <v>2197793.3976522195</v>
      </c>
    </row>
    <row r="92" spans="7:88">
      <c r="G92" s="417">
        <v>88</v>
      </c>
      <c r="H92" s="251">
        <v>0</v>
      </c>
      <c r="I92" s="377">
        <v>0</v>
      </c>
      <c r="J92" s="368">
        <v>0</v>
      </c>
      <c r="K92" s="368">
        <v>5216953.5947051048</v>
      </c>
      <c r="L92" s="369">
        <v>2634031.4669811893</v>
      </c>
      <c r="N92" s="367">
        <v>2582922.1277239155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9">
        <v>63626400</v>
      </c>
      <c r="U92" s="371">
        <v>0</v>
      </c>
      <c r="V92" s="371">
        <v>751250</v>
      </c>
      <c r="W92" s="372">
        <v>3334172.1277239155</v>
      </c>
      <c r="X92" s="41"/>
      <c r="Y92" s="365">
        <v>750000</v>
      </c>
      <c r="Z92" s="370">
        <v>750000</v>
      </c>
      <c r="AA92" s="370">
        <v>0</v>
      </c>
      <c r="AB92" s="375">
        <v>2584172.1277239155</v>
      </c>
      <c r="AC92" s="41"/>
      <c r="AD92" s="449">
        <v>750000</v>
      </c>
      <c r="AE92" s="365">
        <v>0</v>
      </c>
      <c r="AF92" s="375">
        <v>1832922.1277239155</v>
      </c>
      <c r="AH92" s="365">
        <v>0</v>
      </c>
      <c r="AI92" s="370">
        <v>0</v>
      </c>
      <c r="AJ92" s="370">
        <v>0</v>
      </c>
      <c r="AK92" s="375">
        <v>1832922.1277239155</v>
      </c>
      <c r="AM92" s="365">
        <v>0</v>
      </c>
      <c r="AN92" s="370">
        <v>0</v>
      </c>
      <c r="AO92" s="370">
        <v>0</v>
      </c>
      <c r="AP92" s="375">
        <v>1832922.1277239155</v>
      </c>
      <c r="AR92" s="365">
        <v>0</v>
      </c>
      <c r="AS92" s="375">
        <v>1832922.1277239155</v>
      </c>
      <c r="AU92" s="378">
        <v>0</v>
      </c>
      <c r="AV92" s="379">
        <v>-751250</v>
      </c>
      <c r="AW92" s="380">
        <v>0</v>
      </c>
      <c r="AX92" s="381">
        <v>2584172.1277239155</v>
      </c>
      <c r="AZ92" s="365">
        <v>0</v>
      </c>
      <c r="BA92" s="370">
        <v>0</v>
      </c>
      <c r="BB92" s="370">
        <v>0</v>
      </c>
      <c r="BC92" s="375">
        <v>2584172.1277239155</v>
      </c>
      <c r="BE92" s="365">
        <v>0</v>
      </c>
      <c r="BF92" s="370">
        <v>0</v>
      </c>
      <c r="BG92" s="370">
        <v>0</v>
      </c>
      <c r="BH92" s="375">
        <v>2584172.1277239155</v>
      </c>
      <c r="BJ92" s="365">
        <v>0</v>
      </c>
      <c r="BK92" s="370">
        <v>0</v>
      </c>
      <c r="BL92" s="370">
        <v>0</v>
      </c>
      <c r="BM92" s="375">
        <v>2584172.1277239155</v>
      </c>
      <c r="BO92" s="365">
        <v>0</v>
      </c>
      <c r="BP92" s="370">
        <v>0</v>
      </c>
      <c r="BQ92" s="370">
        <v>0</v>
      </c>
      <c r="BR92" s="375">
        <v>2584172.1277239155</v>
      </c>
      <c r="BT92" s="365">
        <v>0</v>
      </c>
      <c r="BU92" s="370">
        <v>0</v>
      </c>
      <c r="BV92" s="370">
        <v>0</v>
      </c>
      <c r="BW92" s="375">
        <v>2584172.1277239155</v>
      </c>
      <c r="BY92" s="365">
        <v>2196546.3085653279</v>
      </c>
      <c r="BZ92" s="373">
        <v>25386545.756682225</v>
      </c>
      <c r="CA92" s="375">
        <v>387625.8191585876</v>
      </c>
      <c r="CC92" s="365">
        <v>0</v>
      </c>
      <c r="CD92" s="375">
        <v>0</v>
      </c>
      <c r="CF92" s="365">
        <v>0</v>
      </c>
      <c r="CG92" s="375">
        <v>0</v>
      </c>
      <c r="CI92" s="365">
        <v>387625.81915858731</v>
      </c>
      <c r="CJ92" s="375">
        <v>2196546.3085653279</v>
      </c>
    </row>
    <row r="93" spans="7:88">
      <c r="G93" s="417">
        <v>89</v>
      </c>
      <c r="H93" s="251">
        <v>0</v>
      </c>
      <c r="I93" s="377">
        <v>3</v>
      </c>
      <c r="J93" s="368">
        <v>0</v>
      </c>
      <c r="K93" s="368">
        <v>4278624.555412936</v>
      </c>
      <c r="L93" s="369">
        <v>2635499.4482829282</v>
      </c>
      <c r="N93" s="367">
        <v>1643125.1071300078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9">
        <v>63626400</v>
      </c>
      <c r="U93" s="371">
        <v>0</v>
      </c>
      <c r="V93" s="371">
        <v>0</v>
      </c>
      <c r="W93" s="372">
        <v>1643125.1071300078</v>
      </c>
      <c r="X93" s="41"/>
      <c r="Y93" s="365">
        <v>0</v>
      </c>
      <c r="Z93" s="370">
        <v>0</v>
      </c>
      <c r="AA93" s="370">
        <v>0</v>
      </c>
      <c r="AB93" s="375">
        <v>1643125.1071300078</v>
      </c>
      <c r="AC93" s="41"/>
      <c r="AD93" s="449">
        <v>0</v>
      </c>
      <c r="AE93" s="365">
        <v>0</v>
      </c>
      <c r="AF93" s="375">
        <v>1643125.1071300078</v>
      </c>
      <c r="AH93" s="365">
        <v>0</v>
      </c>
      <c r="AI93" s="370">
        <v>0</v>
      </c>
      <c r="AJ93" s="370">
        <v>0</v>
      </c>
      <c r="AK93" s="375">
        <v>1643125.1071300078</v>
      </c>
      <c r="AM93" s="365">
        <v>0</v>
      </c>
      <c r="AN93" s="370">
        <v>0</v>
      </c>
      <c r="AO93" s="370">
        <v>0</v>
      </c>
      <c r="AP93" s="375">
        <v>1643125.1071300078</v>
      </c>
      <c r="AR93" s="365">
        <v>0</v>
      </c>
      <c r="AS93" s="375">
        <v>1643125.1071300078</v>
      </c>
      <c r="AU93" s="378">
        <v>950000</v>
      </c>
      <c r="AV93" s="379">
        <v>950000</v>
      </c>
      <c r="AW93" s="380">
        <v>950000</v>
      </c>
      <c r="AX93" s="381">
        <v>693125.10713000782</v>
      </c>
      <c r="AZ93" s="365">
        <v>0</v>
      </c>
      <c r="BA93" s="370">
        <v>0</v>
      </c>
      <c r="BB93" s="370">
        <v>0</v>
      </c>
      <c r="BC93" s="375">
        <v>693125.10713000782</v>
      </c>
      <c r="BE93" s="365">
        <v>0</v>
      </c>
      <c r="BF93" s="370">
        <v>0</v>
      </c>
      <c r="BG93" s="370">
        <v>0</v>
      </c>
      <c r="BH93" s="375">
        <v>693125.10713000782</v>
      </c>
      <c r="BJ93" s="365">
        <v>0</v>
      </c>
      <c r="BK93" s="370">
        <v>0</v>
      </c>
      <c r="BL93" s="370">
        <v>0</v>
      </c>
      <c r="BM93" s="375">
        <v>693125.10713000782</v>
      </c>
      <c r="BO93" s="365">
        <v>0</v>
      </c>
      <c r="BP93" s="370">
        <v>0</v>
      </c>
      <c r="BQ93" s="370">
        <v>0</v>
      </c>
      <c r="BR93" s="375">
        <v>693125.10713000782</v>
      </c>
      <c r="BT93" s="365">
        <v>0</v>
      </c>
      <c r="BU93" s="370">
        <v>0</v>
      </c>
      <c r="BV93" s="370">
        <v>0</v>
      </c>
      <c r="BW93" s="375">
        <v>693125.10713000782</v>
      </c>
      <c r="BY93" s="365">
        <v>589156.34106050665</v>
      </c>
      <c r="BZ93" s="373">
        <v>25975702.097742733</v>
      </c>
      <c r="CA93" s="375">
        <v>103968.76606950117</v>
      </c>
      <c r="CC93" s="365">
        <v>0</v>
      </c>
      <c r="CD93" s="375">
        <v>0</v>
      </c>
      <c r="CF93" s="365">
        <v>0</v>
      </c>
      <c r="CG93" s="375">
        <v>0</v>
      </c>
      <c r="CI93" s="365">
        <v>103968.76606950117</v>
      </c>
      <c r="CJ93" s="375">
        <v>589156.34106050665</v>
      </c>
    </row>
    <row r="94" spans="7:88">
      <c r="G94" s="417">
        <v>90</v>
      </c>
      <c r="H94" s="251">
        <v>0</v>
      </c>
      <c r="I94" s="377">
        <v>0</v>
      </c>
      <c r="J94" s="368">
        <v>0</v>
      </c>
      <c r="K94" s="368">
        <v>5222300.3506327718</v>
      </c>
      <c r="L94" s="369">
        <v>2636968.2477104669</v>
      </c>
      <c r="N94" s="367">
        <v>2585332.102922305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9">
        <v>63626400</v>
      </c>
      <c r="U94" s="371">
        <v>0</v>
      </c>
      <c r="V94" s="371">
        <v>951583.33333333337</v>
      </c>
      <c r="W94" s="372">
        <v>3536915.4362556385</v>
      </c>
      <c r="X94" s="41"/>
      <c r="Y94" s="365">
        <v>0</v>
      </c>
      <c r="Z94" s="370">
        <v>0</v>
      </c>
      <c r="AA94" s="370">
        <v>0</v>
      </c>
      <c r="AB94" s="375">
        <v>3536915.4362556385</v>
      </c>
      <c r="AC94" s="41"/>
      <c r="AD94" s="449">
        <v>0</v>
      </c>
      <c r="AE94" s="365">
        <v>0</v>
      </c>
      <c r="AF94" s="375">
        <v>2585332.102922305</v>
      </c>
      <c r="AH94" s="365">
        <v>0</v>
      </c>
      <c r="AI94" s="370">
        <v>0</v>
      </c>
      <c r="AJ94" s="370">
        <v>0</v>
      </c>
      <c r="AK94" s="375">
        <v>2585332.102922305</v>
      </c>
      <c r="AM94" s="365">
        <v>0</v>
      </c>
      <c r="AN94" s="370">
        <v>0</v>
      </c>
      <c r="AO94" s="370">
        <v>0</v>
      </c>
      <c r="AP94" s="375">
        <v>2585332.102922305</v>
      </c>
      <c r="AR94" s="365">
        <v>0</v>
      </c>
      <c r="AS94" s="375">
        <v>2585332.102922305</v>
      </c>
      <c r="AU94" s="378">
        <v>950000</v>
      </c>
      <c r="AV94" s="379">
        <v>-1583.3333333333721</v>
      </c>
      <c r="AW94" s="380">
        <v>950000</v>
      </c>
      <c r="AX94" s="381">
        <v>2586915.4362556385</v>
      </c>
      <c r="AZ94" s="365">
        <v>0</v>
      </c>
      <c r="BA94" s="370">
        <v>0</v>
      </c>
      <c r="BB94" s="370">
        <v>0</v>
      </c>
      <c r="BC94" s="375">
        <v>2586915.4362556385</v>
      </c>
      <c r="BE94" s="365">
        <v>0</v>
      </c>
      <c r="BF94" s="370">
        <v>0</v>
      </c>
      <c r="BG94" s="370">
        <v>0</v>
      </c>
      <c r="BH94" s="375">
        <v>2586915.4362556385</v>
      </c>
      <c r="BJ94" s="365">
        <v>0</v>
      </c>
      <c r="BK94" s="370">
        <v>0</v>
      </c>
      <c r="BL94" s="370">
        <v>0</v>
      </c>
      <c r="BM94" s="375">
        <v>2586915.4362556385</v>
      </c>
      <c r="BO94" s="365">
        <v>0</v>
      </c>
      <c r="BP94" s="370">
        <v>0</v>
      </c>
      <c r="BQ94" s="370">
        <v>0</v>
      </c>
      <c r="BR94" s="375">
        <v>2586915.4362556385</v>
      </c>
      <c r="BT94" s="365">
        <v>0</v>
      </c>
      <c r="BU94" s="370">
        <v>0</v>
      </c>
      <c r="BV94" s="370">
        <v>0</v>
      </c>
      <c r="BW94" s="375">
        <v>2586915.4362556385</v>
      </c>
      <c r="BY94" s="365">
        <v>2198878.1208172925</v>
      </c>
      <c r="BZ94" s="373">
        <v>28174580.218560025</v>
      </c>
      <c r="CA94" s="375">
        <v>388037.31543834601</v>
      </c>
      <c r="CC94" s="365">
        <v>0</v>
      </c>
      <c r="CD94" s="375">
        <v>0</v>
      </c>
      <c r="CF94" s="365">
        <v>0</v>
      </c>
      <c r="CG94" s="375">
        <v>0</v>
      </c>
      <c r="CI94" s="365">
        <v>388037.31543834577</v>
      </c>
      <c r="CJ94" s="375">
        <v>2198878.1208172925</v>
      </c>
    </row>
    <row r="95" spans="7:88">
      <c r="G95" s="417">
        <v>91</v>
      </c>
      <c r="H95" s="251">
        <v>0</v>
      </c>
      <c r="I95" s="377">
        <v>1</v>
      </c>
      <c r="J95" s="368">
        <v>0</v>
      </c>
      <c r="K95" s="368">
        <v>4895817.4514126303</v>
      </c>
      <c r="L95" s="369">
        <v>2638437.8657197594</v>
      </c>
      <c r="N95" s="367">
        <v>2257379.5856928709</v>
      </c>
      <c r="O95" s="370">
        <v>0</v>
      </c>
      <c r="P95" s="370">
        <v>0</v>
      </c>
      <c r="Q95" s="370">
        <v>0</v>
      </c>
      <c r="R95" s="370">
        <v>0</v>
      </c>
      <c r="S95" s="370">
        <v>0</v>
      </c>
      <c r="T95" s="379">
        <v>63626400</v>
      </c>
      <c r="U95" s="371">
        <v>0</v>
      </c>
      <c r="V95" s="371">
        <v>951583.33333333337</v>
      </c>
      <c r="W95" s="372">
        <v>3208962.9190262044</v>
      </c>
      <c r="X95" s="41"/>
      <c r="Y95" s="365">
        <v>0</v>
      </c>
      <c r="Z95" s="370">
        <v>0</v>
      </c>
      <c r="AA95" s="370">
        <v>0</v>
      </c>
      <c r="AB95" s="375">
        <v>3208962.9190262044</v>
      </c>
      <c r="AC95" s="41"/>
      <c r="AD95" s="449">
        <v>0</v>
      </c>
      <c r="AE95" s="365">
        <v>0</v>
      </c>
      <c r="AF95" s="375">
        <v>2257379.5856928709</v>
      </c>
      <c r="AH95" s="365">
        <v>0</v>
      </c>
      <c r="AI95" s="370">
        <v>0</v>
      </c>
      <c r="AJ95" s="370">
        <v>0</v>
      </c>
      <c r="AK95" s="375">
        <v>2257379.5856928709</v>
      </c>
      <c r="AM95" s="365">
        <v>0</v>
      </c>
      <c r="AN95" s="370">
        <v>0</v>
      </c>
      <c r="AO95" s="370">
        <v>0</v>
      </c>
      <c r="AP95" s="375">
        <v>2257379.5856928709</v>
      </c>
      <c r="AR95" s="365">
        <v>0</v>
      </c>
      <c r="AS95" s="375">
        <v>2257379.5856928709</v>
      </c>
      <c r="AU95" s="378">
        <v>950000</v>
      </c>
      <c r="AV95" s="379">
        <v>-1583.3333333333721</v>
      </c>
      <c r="AW95" s="380">
        <v>950000</v>
      </c>
      <c r="AX95" s="381">
        <v>2258962.9190262044</v>
      </c>
      <c r="AZ95" s="365">
        <v>0</v>
      </c>
      <c r="BA95" s="370">
        <v>0</v>
      </c>
      <c r="BB95" s="370">
        <v>0</v>
      </c>
      <c r="BC95" s="375">
        <v>2258962.9190262044</v>
      </c>
      <c r="BE95" s="365">
        <v>0</v>
      </c>
      <c r="BF95" s="370">
        <v>0</v>
      </c>
      <c r="BG95" s="370">
        <v>0</v>
      </c>
      <c r="BH95" s="375">
        <v>2258962.9190262044</v>
      </c>
      <c r="BJ95" s="365">
        <v>0</v>
      </c>
      <c r="BK95" s="370">
        <v>0</v>
      </c>
      <c r="BL95" s="370">
        <v>0</v>
      </c>
      <c r="BM95" s="375">
        <v>2258962.9190262044</v>
      </c>
      <c r="BO95" s="365">
        <v>0</v>
      </c>
      <c r="BP95" s="370">
        <v>0</v>
      </c>
      <c r="BQ95" s="370">
        <v>0</v>
      </c>
      <c r="BR95" s="375">
        <v>2258962.9190262044</v>
      </c>
      <c r="BT95" s="365">
        <v>0</v>
      </c>
      <c r="BU95" s="370">
        <v>0</v>
      </c>
      <c r="BV95" s="370">
        <v>0</v>
      </c>
      <c r="BW95" s="375">
        <v>2258962.9190262044</v>
      </c>
      <c r="BY95" s="365">
        <v>1920118.4811722736</v>
      </c>
      <c r="BZ95" s="373">
        <v>30094698.6997323</v>
      </c>
      <c r="CA95" s="375">
        <v>338844.43785393075</v>
      </c>
      <c r="CC95" s="365">
        <v>0</v>
      </c>
      <c r="CD95" s="375">
        <v>0</v>
      </c>
      <c r="CF95" s="365">
        <v>0</v>
      </c>
      <c r="CG95" s="375">
        <v>0</v>
      </c>
      <c r="CI95" s="365">
        <v>338844.43785393063</v>
      </c>
      <c r="CJ95" s="375">
        <v>1920118.4811722736</v>
      </c>
    </row>
    <row r="96" spans="7:88">
      <c r="G96" s="417">
        <v>92</v>
      </c>
      <c r="H96" s="251">
        <v>0</v>
      </c>
      <c r="I96" s="377">
        <v>2</v>
      </c>
      <c r="J96" s="368">
        <v>0</v>
      </c>
      <c r="K96" s="368">
        <v>4567483.7673462676</v>
      </c>
      <c r="L96" s="369">
        <v>2639908.3027670113</v>
      </c>
      <c r="N96" s="367">
        <v>1927575.4645792563</v>
      </c>
      <c r="O96" s="370">
        <v>0</v>
      </c>
      <c r="P96" s="370">
        <v>0</v>
      </c>
      <c r="Q96" s="370">
        <v>0</v>
      </c>
      <c r="R96" s="370">
        <v>0</v>
      </c>
      <c r="S96" s="370">
        <v>0</v>
      </c>
      <c r="T96" s="379">
        <v>63626400</v>
      </c>
      <c r="U96" s="371">
        <v>0</v>
      </c>
      <c r="V96" s="371">
        <v>951583.33333333337</v>
      </c>
      <c r="W96" s="372">
        <v>2879158.7979125897</v>
      </c>
      <c r="X96" s="41"/>
      <c r="Y96" s="365">
        <v>0</v>
      </c>
      <c r="Z96" s="370">
        <v>0</v>
      </c>
      <c r="AA96" s="370">
        <v>0</v>
      </c>
      <c r="AB96" s="375">
        <v>2879158.7979125897</v>
      </c>
      <c r="AC96" s="41"/>
      <c r="AD96" s="449">
        <v>0</v>
      </c>
      <c r="AE96" s="365">
        <v>0</v>
      </c>
      <c r="AF96" s="375">
        <v>1927575.4645792563</v>
      </c>
      <c r="AH96" s="365">
        <v>0</v>
      </c>
      <c r="AI96" s="370">
        <v>0</v>
      </c>
      <c r="AJ96" s="370">
        <v>0</v>
      </c>
      <c r="AK96" s="375">
        <v>1927575.4645792563</v>
      </c>
      <c r="AM96" s="365">
        <v>0</v>
      </c>
      <c r="AN96" s="370">
        <v>0</v>
      </c>
      <c r="AO96" s="370">
        <v>0</v>
      </c>
      <c r="AP96" s="375">
        <v>1927575.4645792563</v>
      </c>
      <c r="AR96" s="365">
        <v>0</v>
      </c>
      <c r="AS96" s="375">
        <v>1927575.4645792563</v>
      </c>
      <c r="AU96" s="378">
        <v>950000</v>
      </c>
      <c r="AV96" s="379">
        <v>-1583.3333333333721</v>
      </c>
      <c r="AW96" s="380">
        <v>950000</v>
      </c>
      <c r="AX96" s="381">
        <v>1929158.7979125897</v>
      </c>
      <c r="AZ96" s="365">
        <v>0</v>
      </c>
      <c r="BA96" s="370">
        <v>0</v>
      </c>
      <c r="BB96" s="370">
        <v>0</v>
      </c>
      <c r="BC96" s="375">
        <v>1929158.7979125897</v>
      </c>
      <c r="BE96" s="365">
        <v>0</v>
      </c>
      <c r="BF96" s="370">
        <v>0</v>
      </c>
      <c r="BG96" s="370">
        <v>0</v>
      </c>
      <c r="BH96" s="375">
        <v>1929158.7979125897</v>
      </c>
      <c r="BJ96" s="365">
        <v>0</v>
      </c>
      <c r="BK96" s="370">
        <v>0</v>
      </c>
      <c r="BL96" s="370">
        <v>0</v>
      </c>
      <c r="BM96" s="375">
        <v>1929158.7979125897</v>
      </c>
      <c r="BO96" s="365">
        <v>0</v>
      </c>
      <c r="BP96" s="370">
        <v>0</v>
      </c>
      <c r="BQ96" s="370">
        <v>0</v>
      </c>
      <c r="BR96" s="375">
        <v>1929158.7979125897</v>
      </c>
      <c r="BT96" s="365">
        <v>0</v>
      </c>
      <c r="BU96" s="370">
        <v>0</v>
      </c>
      <c r="BV96" s="370">
        <v>0</v>
      </c>
      <c r="BW96" s="375">
        <v>1929158.7979125897</v>
      </c>
      <c r="BY96" s="365">
        <v>1639784.9782257013</v>
      </c>
      <c r="BZ96" s="373">
        <v>31734483.677958</v>
      </c>
      <c r="CA96" s="375">
        <v>289373.81968688848</v>
      </c>
      <c r="CC96" s="365">
        <v>0</v>
      </c>
      <c r="CD96" s="375">
        <v>0</v>
      </c>
      <c r="CF96" s="365">
        <v>0</v>
      </c>
      <c r="CG96" s="375">
        <v>0</v>
      </c>
      <c r="CI96" s="365">
        <v>289373.81968688843</v>
      </c>
      <c r="CJ96" s="375">
        <v>1639784.9782257013</v>
      </c>
    </row>
    <row r="97" spans="4:88">
      <c r="G97" s="417">
        <v>93</v>
      </c>
      <c r="H97" s="251">
        <v>0</v>
      </c>
      <c r="I97" s="377">
        <v>0</v>
      </c>
      <c r="J97" s="368">
        <v>0</v>
      </c>
      <c r="K97" s="368">
        <v>5225699.2739876909</v>
      </c>
      <c r="L97" s="369">
        <v>2641379.559308684</v>
      </c>
      <c r="N97" s="367">
        <v>2584319.714679007</v>
      </c>
      <c r="O97" s="370">
        <v>0</v>
      </c>
      <c r="P97" s="370">
        <v>0</v>
      </c>
      <c r="Q97" s="370">
        <v>0</v>
      </c>
      <c r="R97" s="370">
        <v>0</v>
      </c>
      <c r="S97" s="370">
        <v>0</v>
      </c>
      <c r="T97" s="379">
        <v>63626400</v>
      </c>
      <c r="U97" s="371">
        <v>0</v>
      </c>
      <c r="V97" s="371">
        <v>951583.33333333337</v>
      </c>
      <c r="W97" s="372">
        <v>3535903.0480123404</v>
      </c>
      <c r="X97" s="41"/>
      <c r="Y97" s="365">
        <v>950000</v>
      </c>
      <c r="Z97" s="370">
        <v>950000</v>
      </c>
      <c r="AA97" s="370">
        <v>0</v>
      </c>
      <c r="AB97" s="375">
        <v>2585903.0480123404</v>
      </c>
      <c r="AC97" s="41"/>
      <c r="AD97" s="449">
        <v>950000</v>
      </c>
      <c r="AE97" s="365">
        <v>0</v>
      </c>
      <c r="AF97" s="375">
        <v>1634319.714679007</v>
      </c>
      <c r="AH97" s="365">
        <v>0</v>
      </c>
      <c r="AI97" s="370">
        <v>0</v>
      </c>
      <c r="AJ97" s="370">
        <v>0</v>
      </c>
      <c r="AK97" s="375">
        <v>1634319.714679007</v>
      </c>
      <c r="AM97" s="365">
        <v>0</v>
      </c>
      <c r="AN97" s="370">
        <v>0</v>
      </c>
      <c r="AO97" s="370">
        <v>0</v>
      </c>
      <c r="AP97" s="375">
        <v>1634319.714679007</v>
      </c>
      <c r="AR97" s="365">
        <v>0</v>
      </c>
      <c r="AS97" s="375">
        <v>1634319.714679007</v>
      </c>
      <c r="AU97" s="378">
        <v>0</v>
      </c>
      <c r="AV97" s="379">
        <v>-951583.33333333337</v>
      </c>
      <c r="AW97" s="380">
        <v>0</v>
      </c>
      <c r="AX97" s="381">
        <v>2585903.0480123404</v>
      </c>
      <c r="AZ97" s="365">
        <v>0</v>
      </c>
      <c r="BA97" s="370">
        <v>0</v>
      </c>
      <c r="BB97" s="370">
        <v>0</v>
      </c>
      <c r="BC97" s="375">
        <v>2585903.0480123404</v>
      </c>
      <c r="BE97" s="365">
        <v>0</v>
      </c>
      <c r="BF97" s="370">
        <v>0</v>
      </c>
      <c r="BG97" s="370">
        <v>0</v>
      </c>
      <c r="BH97" s="375">
        <v>2585903.0480123404</v>
      </c>
      <c r="BJ97" s="365">
        <v>0</v>
      </c>
      <c r="BK97" s="370">
        <v>0</v>
      </c>
      <c r="BL97" s="370">
        <v>0</v>
      </c>
      <c r="BM97" s="375">
        <v>2585903.0480123404</v>
      </c>
      <c r="BO97" s="365">
        <v>0</v>
      </c>
      <c r="BP97" s="370">
        <v>0</v>
      </c>
      <c r="BQ97" s="370">
        <v>0</v>
      </c>
      <c r="BR97" s="375">
        <v>2585903.0480123404</v>
      </c>
      <c r="BT97" s="365">
        <v>0</v>
      </c>
      <c r="BU97" s="370">
        <v>0</v>
      </c>
      <c r="BV97" s="370">
        <v>0</v>
      </c>
      <c r="BW97" s="375">
        <v>2585903.0480123404</v>
      </c>
      <c r="BY97" s="365">
        <v>2198017.5908104894</v>
      </c>
      <c r="BZ97" s="373">
        <v>33932501.268768489</v>
      </c>
      <c r="CA97" s="375">
        <v>387885.45720185107</v>
      </c>
      <c r="CC97" s="365">
        <v>0</v>
      </c>
      <c r="CD97" s="375">
        <v>0</v>
      </c>
      <c r="CF97" s="365">
        <v>0</v>
      </c>
      <c r="CG97" s="375">
        <v>0</v>
      </c>
      <c r="CI97" s="365">
        <v>387885.45720185107</v>
      </c>
      <c r="CJ97" s="375">
        <v>2198017.5908104894</v>
      </c>
    </row>
    <row r="98" spans="4:88">
      <c r="G98" s="417">
        <v>94</v>
      </c>
      <c r="H98" s="251">
        <v>0</v>
      </c>
      <c r="I98" s="377">
        <v>1</v>
      </c>
      <c r="J98" s="368">
        <v>0</v>
      </c>
      <c r="K98" s="368">
        <v>4892073.39819133</v>
      </c>
      <c r="L98" s="369">
        <v>2642851.6358014918</v>
      </c>
      <c r="N98" s="367">
        <v>2249221.7623898382</v>
      </c>
      <c r="O98" s="370">
        <v>0</v>
      </c>
      <c r="P98" s="370">
        <v>0</v>
      </c>
      <c r="Q98" s="370">
        <v>0</v>
      </c>
      <c r="R98" s="370">
        <v>0</v>
      </c>
      <c r="S98" s="370">
        <v>0</v>
      </c>
      <c r="T98" s="379">
        <v>63626400</v>
      </c>
      <c r="U98" s="371">
        <v>0</v>
      </c>
      <c r="V98" s="371">
        <v>0</v>
      </c>
      <c r="W98" s="372">
        <v>2249221.7623898382</v>
      </c>
      <c r="X98" s="41"/>
      <c r="Y98" s="365">
        <v>0</v>
      </c>
      <c r="Z98" s="370">
        <v>0</v>
      </c>
      <c r="AA98" s="370">
        <v>0</v>
      </c>
      <c r="AB98" s="375">
        <v>2249221.7623898382</v>
      </c>
      <c r="AC98" s="41"/>
      <c r="AD98" s="449">
        <v>0</v>
      </c>
      <c r="AE98" s="365">
        <v>0</v>
      </c>
      <c r="AF98" s="375">
        <v>2249221.7623898382</v>
      </c>
      <c r="AH98" s="365">
        <v>0</v>
      </c>
      <c r="AI98" s="370">
        <v>0</v>
      </c>
      <c r="AJ98" s="370">
        <v>0</v>
      </c>
      <c r="AK98" s="375">
        <v>2249221.7623898382</v>
      </c>
      <c r="AM98" s="365">
        <v>0</v>
      </c>
      <c r="AN98" s="370">
        <v>0</v>
      </c>
      <c r="AO98" s="370">
        <v>0</v>
      </c>
      <c r="AP98" s="375">
        <v>2249221.7623898382</v>
      </c>
      <c r="AR98" s="365">
        <v>0</v>
      </c>
      <c r="AS98" s="375">
        <v>2249221.7623898382</v>
      </c>
      <c r="AU98" s="378">
        <v>0</v>
      </c>
      <c r="AV98" s="379">
        <v>0</v>
      </c>
      <c r="AW98" s="380">
        <v>0</v>
      </c>
      <c r="AX98" s="381">
        <v>2249221.7623898382</v>
      </c>
      <c r="AZ98" s="365">
        <v>0</v>
      </c>
      <c r="BA98" s="370">
        <v>0</v>
      </c>
      <c r="BB98" s="370">
        <v>0</v>
      </c>
      <c r="BC98" s="375">
        <v>2249221.7623898382</v>
      </c>
      <c r="BE98" s="365">
        <v>0</v>
      </c>
      <c r="BF98" s="370">
        <v>0</v>
      </c>
      <c r="BG98" s="370">
        <v>0</v>
      </c>
      <c r="BH98" s="375">
        <v>2249221.7623898382</v>
      </c>
      <c r="BJ98" s="365">
        <v>0</v>
      </c>
      <c r="BK98" s="370">
        <v>0</v>
      </c>
      <c r="BL98" s="370">
        <v>0</v>
      </c>
      <c r="BM98" s="375">
        <v>2249221.7623898382</v>
      </c>
      <c r="BO98" s="365">
        <v>0</v>
      </c>
      <c r="BP98" s="370">
        <v>0</v>
      </c>
      <c r="BQ98" s="370">
        <v>0</v>
      </c>
      <c r="BR98" s="375">
        <v>2249221.7623898382</v>
      </c>
      <c r="BT98" s="365">
        <v>0</v>
      </c>
      <c r="BU98" s="370">
        <v>0</v>
      </c>
      <c r="BV98" s="370">
        <v>0</v>
      </c>
      <c r="BW98" s="375">
        <v>2249221.7623898382</v>
      </c>
      <c r="BY98" s="365">
        <v>1911838.4980313624</v>
      </c>
      <c r="BZ98" s="373">
        <v>35844339.766799852</v>
      </c>
      <c r="CA98" s="375">
        <v>337383.2643584758</v>
      </c>
      <c r="CC98" s="365">
        <v>0</v>
      </c>
      <c r="CD98" s="375">
        <v>0</v>
      </c>
      <c r="CF98" s="365">
        <v>0</v>
      </c>
      <c r="CG98" s="375">
        <v>0</v>
      </c>
      <c r="CI98" s="365">
        <v>337383.26435847575</v>
      </c>
      <c r="CJ98" s="375">
        <v>1911838.4980313624</v>
      </c>
    </row>
    <row r="99" spans="4:88">
      <c r="G99" s="417">
        <v>95</v>
      </c>
      <c r="H99" s="251">
        <v>0</v>
      </c>
      <c r="I99" s="377">
        <v>2</v>
      </c>
      <c r="J99" s="368">
        <v>0</v>
      </c>
      <c r="K99" s="368">
        <v>4571118.5435490832</v>
      </c>
      <c r="L99" s="369">
        <v>2644324.5327024059</v>
      </c>
      <c r="N99" s="367">
        <v>1926794.0108466772</v>
      </c>
      <c r="O99" s="370">
        <v>0</v>
      </c>
      <c r="P99" s="370">
        <v>0</v>
      </c>
      <c r="Q99" s="370">
        <v>0</v>
      </c>
      <c r="R99" s="370">
        <v>0</v>
      </c>
      <c r="S99" s="370">
        <v>0</v>
      </c>
      <c r="T99" s="379">
        <v>63626400</v>
      </c>
      <c r="U99" s="371">
        <v>0</v>
      </c>
      <c r="V99" s="371">
        <v>0</v>
      </c>
      <c r="W99" s="372">
        <v>1926794.0108466772</v>
      </c>
      <c r="X99" s="41"/>
      <c r="Y99" s="365">
        <v>0</v>
      </c>
      <c r="Z99" s="370">
        <v>0</v>
      </c>
      <c r="AA99" s="370">
        <v>0</v>
      </c>
      <c r="AB99" s="375">
        <v>1926794.0108466772</v>
      </c>
      <c r="AC99" s="41"/>
      <c r="AD99" s="449">
        <v>0</v>
      </c>
      <c r="AE99" s="365">
        <v>0</v>
      </c>
      <c r="AF99" s="375">
        <v>1926794.0108466772</v>
      </c>
      <c r="AH99" s="365">
        <v>0</v>
      </c>
      <c r="AI99" s="370">
        <v>0</v>
      </c>
      <c r="AJ99" s="370">
        <v>0</v>
      </c>
      <c r="AK99" s="375">
        <v>1926794.0108466772</v>
      </c>
      <c r="AM99" s="365">
        <v>0</v>
      </c>
      <c r="AN99" s="370">
        <v>0</v>
      </c>
      <c r="AO99" s="370">
        <v>0</v>
      </c>
      <c r="AP99" s="375">
        <v>1926794.0108466772</v>
      </c>
      <c r="AR99" s="365">
        <v>0</v>
      </c>
      <c r="AS99" s="375">
        <v>1926794.0108466772</v>
      </c>
      <c r="AU99" s="378">
        <v>1050000</v>
      </c>
      <c r="AV99" s="379">
        <v>1050000</v>
      </c>
      <c r="AW99" s="380">
        <v>1050000</v>
      </c>
      <c r="AX99" s="381">
        <v>876794.01084667724</v>
      </c>
      <c r="AZ99" s="365">
        <v>0</v>
      </c>
      <c r="BA99" s="370">
        <v>0</v>
      </c>
      <c r="BB99" s="370">
        <v>0</v>
      </c>
      <c r="BC99" s="375">
        <v>876794.01084667724</v>
      </c>
      <c r="BE99" s="365">
        <v>0</v>
      </c>
      <c r="BF99" s="370">
        <v>0</v>
      </c>
      <c r="BG99" s="370">
        <v>0</v>
      </c>
      <c r="BH99" s="375">
        <v>876794.01084667724</v>
      </c>
      <c r="BJ99" s="365">
        <v>0</v>
      </c>
      <c r="BK99" s="370">
        <v>0</v>
      </c>
      <c r="BL99" s="370">
        <v>0</v>
      </c>
      <c r="BM99" s="375">
        <v>876794.01084667724</v>
      </c>
      <c r="BO99" s="365">
        <v>0</v>
      </c>
      <c r="BP99" s="370">
        <v>0</v>
      </c>
      <c r="BQ99" s="370">
        <v>0</v>
      </c>
      <c r="BR99" s="375">
        <v>876794.01084667724</v>
      </c>
      <c r="BT99" s="365">
        <v>0</v>
      </c>
      <c r="BU99" s="370">
        <v>0</v>
      </c>
      <c r="BV99" s="370">
        <v>0</v>
      </c>
      <c r="BW99" s="375">
        <v>876794.01084667724</v>
      </c>
      <c r="BY99" s="365">
        <v>745274.90921967558</v>
      </c>
      <c r="BZ99" s="373">
        <v>36589614.676019527</v>
      </c>
      <c r="CA99" s="375">
        <v>131519.10162700166</v>
      </c>
      <c r="CC99" s="365">
        <v>0</v>
      </c>
      <c r="CD99" s="375">
        <v>0</v>
      </c>
      <c r="CF99" s="365">
        <v>0</v>
      </c>
      <c r="CG99" s="375">
        <v>0</v>
      </c>
      <c r="CI99" s="365">
        <v>131519.10162700157</v>
      </c>
      <c r="CJ99" s="375">
        <v>745274.90921967558</v>
      </c>
    </row>
    <row r="100" spans="4:88">
      <c r="G100" s="417">
        <v>96</v>
      </c>
      <c r="H100" s="251">
        <v>0</v>
      </c>
      <c r="I100" s="377">
        <v>1</v>
      </c>
      <c r="J100" s="368">
        <v>0</v>
      </c>
      <c r="K100" s="368">
        <v>4890161.2173207933</v>
      </c>
      <c r="L100" s="369">
        <v>2645798.2504686499</v>
      </c>
      <c r="N100" s="367">
        <v>2244362.9668521434</v>
      </c>
      <c r="O100" s="370">
        <v>0</v>
      </c>
      <c r="P100" s="370">
        <v>0</v>
      </c>
      <c r="Q100" s="370">
        <v>0</v>
      </c>
      <c r="R100" s="370">
        <v>0</v>
      </c>
      <c r="S100" s="370">
        <v>0</v>
      </c>
      <c r="T100" s="379">
        <v>63626400</v>
      </c>
      <c r="U100" s="371">
        <v>0</v>
      </c>
      <c r="V100" s="371">
        <v>1051750</v>
      </c>
      <c r="W100" s="372">
        <v>3296112.9668521434</v>
      </c>
      <c r="X100" s="41"/>
      <c r="Y100" s="365">
        <v>0</v>
      </c>
      <c r="Z100" s="370">
        <v>0</v>
      </c>
      <c r="AA100" s="370">
        <v>0</v>
      </c>
      <c r="AB100" s="375">
        <v>3296112.9668521434</v>
      </c>
      <c r="AC100" s="41"/>
      <c r="AD100" s="449">
        <v>0</v>
      </c>
      <c r="AE100" s="365">
        <v>0</v>
      </c>
      <c r="AF100" s="375">
        <v>2244362.9668521434</v>
      </c>
      <c r="AH100" s="365">
        <v>0</v>
      </c>
      <c r="AI100" s="370">
        <v>0</v>
      </c>
      <c r="AJ100" s="370">
        <v>0</v>
      </c>
      <c r="AK100" s="375">
        <v>2244362.9668521434</v>
      </c>
      <c r="AM100" s="365">
        <v>0</v>
      </c>
      <c r="AN100" s="370">
        <v>0</v>
      </c>
      <c r="AO100" s="370">
        <v>0</v>
      </c>
      <c r="AP100" s="375">
        <v>2244362.9668521434</v>
      </c>
      <c r="AR100" s="365">
        <v>0</v>
      </c>
      <c r="AS100" s="375">
        <v>2244362.9668521434</v>
      </c>
      <c r="AU100" s="378">
        <v>1800000</v>
      </c>
      <c r="AV100" s="379">
        <v>748250</v>
      </c>
      <c r="AW100" s="380">
        <v>1800000</v>
      </c>
      <c r="AX100" s="381">
        <v>1496112.9668521434</v>
      </c>
      <c r="AZ100" s="365">
        <v>0</v>
      </c>
      <c r="BA100" s="370">
        <v>0</v>
      </c>
      <c r="BB100" s="370">
        <v>0</v>
      </c>
      <c r="BC100" s="375">
        <v>1496112.9668521434</v>
      </c>
      <c r="BE100" s="365">
        <v>0</v>
      </c>
      <c r="BF100" s="370">
        <v>0</v>
      </c>
      <c r="BG100" s="370">
        <v>0</v>
      </c>
      <c r="BH100" s="375">
        <v>1496112.9668521434</v>
      </c>
      <c r="BJ100" s="365">
        <v>0</v>
      </c>
      <c r="BK100" s="370">
        <v>0</v>
      </c>
      <c r="BL100" s="370">
        <v>0</v>
      </c>
      <c r="BM100" s="375">
        <v>1496112.9668521434</v>
      </c>
      <c r="BO100" s="365">
        <v>0</v>
      </c>
      <c r="BP100" s="370">
        <v>0</v>
      </c>
      <c r="BQ100" s="370">
        <v>0</v>
      </c>
      <c r="BR100" s="375">
        <v>1496112.9668521434</v>
      </c>
      <c r="BT100" s="365">
        <v>0</v>
      </c>
      <c r="BU100" s="370">
        <v>0</v>
      </c>
      <c r="BV100" s="370">
        <v>0</v>
      </c>
      <c r="BW100" s="375">
        <v>1496112.9668521434</v>
      </c>
      <c r="BY100" s="365">
        <v>1271696.0218243219</v>
      </c>
      <c r="BZ100" s="373">
        <v>37861310.69784385</v>
      </c>
      <c r="CA100" s="375">
        <v>224416.94502782146</v>
      </c>
      <c r="CC100" s="365">
        <v>0</v>
      </c>
      <c r="CD100" s="375">
        <v>0</v>
      </c>
      <c r="CF100" s="365">
        <v>0</v>
      </c>
      <c r="CG100" s="375">
        <v>0</v>
      </c>
      <c r="CI100" s="365">
        <v>224416.94502782149</v>
      </c>
      <c r="CJ100" s="375">
        <v>1271696.0218243219</v>
      </c>
    </row>
    <row r="101" spans="4:88">
      <c r="D101" s="41"/>
      <c r="G101" s="417">
        <v>97</v>
      </c>
      <c r="H101" s="251">
        <v>0</v>
      </c>
      <c r="I101" s="377">
        <v>0</v>
      </c>
      <c r="J101" s="368">
        <v>0</v>
      </c>
      <c r="K101" s="368">
        <v>5235590.4315835927</v>
      </c>
      <c r="L101" s="369">
        <v>2647272.7895577038</v>
      </c>
      <c r="N101" s="367">
        <v>2588317.6420258889</v>
      </c>
      <c r="O101" s="370">
        <v>0</v>
      </c>
      <c r="P101" s="370">
        <v>0</v>
      </c>
      <c r="Q101" s="370">
        <v>0</v>
      </c>
      <c r="R101" s="370">
        <v>0</v>
      </c>
      <c r="S101" s="370">
        <v>0</v>
      </c>
      <c r="T101" s="379">
        <v>63626400</v>
      </c>
      <c r="U101" s="371">
        <v>0</v>
      </c>
      <c r="V101" s="371">
        <v>1803000</v>
      </c>
      <c r="W101" s="372">
        <v>4391317.6420258889</v>
      </c>
      <c r="X101" s="41"/>
      <c r="Y101" s="365">
        <v>0</v>
      </c>
      <c r="Z101" s="370">
        <v>0</v>
      </c>
      <c r="AA101" s="370">
        <v>0</v>
      </c>
      <c r="AB101" s="375">
        <v>4391317.6420258889</v>
      </c>
      <c r="AC101" s="41"/>
      <c r="AD101" s="449">
        <v>0</v>
      </c>
      <c r="AE101" s="365">
        <v>0</v>
      </c>
      <c r="AF101" s="375">
        <v>2588317.6420258889</v>
      </c>
      <c r="AH101" s="365">
        <v>0</v>
      </c>
      <c r="AI101" s="370">
        <v>0</v>
      </c>
      <c r="AJ101" s="370">
        <v>0</v>
      </c>
      <c r="AK101" s="375">
        <v>2588317.6420258889</v>
      </c>
      <c r="AM101" s="365">
        <v>0</v>
      </c>
      <c r="AN101" s="370">
        <v>0</v>
      </c>
      <c r="AO101" s="370">
        <v>0</v>
      </c>
      <c r="AP101" s="375">
        <v>2588317.6420258889</v>
      </c>
      <c r="AR101" s="365">
        <v>0</v>
      </c>
      <c r="AS101" s="375">
        <v>2588317.6420258889</v>
      </c>
      <c r="AU101" s="378">
        <v>1800000</v>
      </c>
      <c r="AV101" s="379">
        <v>-3000</v>
      </c>
      <c r="AW101" s="380">
        <v>1800000</v>
      </c>
      <c r="AX101" s="381">
        <v>2591317.6420258889</v>
      </c>
      <c r="AZ101" s="365">
        <v>0</v>
      </c>
      <c r="BA101" s="370">
        <v>0</v>
      </c>
      <c r="BB101" s="370">
        <v>0</v>
      </c>
      <c r="BC101" s="375">
        <v>2591317.6420258889</v>
      </c>
      <c r="BE101" s="365">
        <v>0</v>
      </c>
      <c r="BF101" s="370">
        <v>0</v>
      </c>
      <c r="BG101" s="370">
        <v>0</v>
      </c>
      <c r="BH101" s="375">
        <v>2591317.6420258889</v>
      </c>
      <c r="BJ101" s="365">
        <v>0</v>
      </c>
      <c r="BK101" s="370">
        <v>0</v>
      </c>
      <c r="BL101" s="370">
        <v>0</v>
      </c>
      <c r="BM101" s="375">
        <v>2591317.6420258889</v>
      </c>
      <c r="BO101" s="365">
        <v>0</v>
      </c>
      <c r="BP101" s="370">
        <v>0</v>
      </c>
      <c r="BQ101" s="370">
        <v>0</v>
      </c>
      <c r="BR101" s="375">
        <v>2591317.6420258889</v>
      </c>
      <c r="BT101" s="365">
        <v>0</v>
      </c>
      <c r="BU101" s="370">
        <v>0</v>
      </c>
      <c r="BV101" s="370">
        <v>0</v>
      </c>
      <c r="BW101" s="375">
        <v>2591317.6420258889</v>
      </c>
      <c r="BY101" s="365">
        <v>2202619.9957220056</v>
      </c>
      <c r="BZ101" s="373">
        <v>40063930.693565853</v>
      </c>
      <c r="CA101" s="375">
        <v>388697.64630388329</v>
      </c>
      <c r="CC101" s="365">
        <v>0</v>
      </c>
      <c r="CD101" s="375">
        <v>0</v>
      </c>
      <c r="CF101" s="365">
        <v>0</v>
      </c>
      <c r="CG101" s="375">
        <v>0</v>
      </c>
      <c r="CI101" s="365">
        <v>388697.64630388335</v>
      </c>
      <c r="CJ101" s="375">
        <v>2202619.9957220056</v>
      </c>
    </row>
    <row r="102" spans="4:88">
      <c r="D102" s="41"/>
      <c r="E102" s="41"/>
      <c r="F102" s="42"/>
      <c r="G102" s="417">
        <v>98</v>
      </c>
      <c r="H102" s="251">
        <v>0</v>
      </c>
      <c r="I102" s="377">
        <v>1</v>
      </c>
      <c r="J102" s="368">
        <v>0</v>
      </c>
      <c r="K102" s="368">
        <v>4874630.4086270975</v>
      </c>
      <c r="L102" s="369">
        <v>2648748.1504273014</v>
      </c>
      <c r="N102" s="367">
        <v>2225882.2581997961</v>
      </c>
      <c r="O102" s="370">
        <v>0</v>
      </c>
      <c r="P102" s="370">
        <v>0</v>
      </c>
      <c r="Q102" s="370">
        <v>0</v>
      </c>
      <c r="R102" s="370">
        <v>0</v>
      </c>
      <c r="S102" s="370">
        <v>0</v>
      </c>
      <c r="T102" s="379">
        <v>63626400</v>
      </c>
      <c r="U102" s="371">
        <v>0</v>
      </c>
      <c r="V102" s="371">
        <v>1803000</v>
      </c>
      <c r="W102" s="372">
        <v>4028882.2581997961</v>
      </c>
      <c r="X102" s="41"/>
      <c r="Y102" s="365">
        <v>0</v>
      </c>
      <c r="Z102" s="370">
        <v>0</v>
      </c>
      <c r="AA102" s="370">
        <v>0</v>
      </c>
      <c r="AB102" s="375">
        <v>4028882.2581997961</v>
      </c>
      <c r="AC102" s="41"/>
      <c r="AD102" s="449">
        <v>0</v>
      </c>
      <c r="AE102" s="365">
        <v>0</v>
      </c>
      <c r="AF102" s="375">
        <v>2225882.2581997961</v>
      </c>
      <c r="AH102" s="365">
        <v>0</v>
      </c>
      <c r="AI102" s="370">
        <v>0</v>
      </c>
      <c r="AJ102" s="370">
        <v>0</v>
      </c>
      <c r="AK102" s="375">
        <v>2225882.2581997961</v>
      </c>
      <c r="AM102" s="365">
        <v>0</v>
      </c>
      <c r="AN102" s="370">
        <v>0</v>
      </c>
      <c r="AO102" s="370">
        <v>0</v>
      </c>
      <c r="AP102" s="375">
        <v>2225882.2581997961</v>
      </c>
      <c r="AR102" s="365">
        <v>0</v>
      </c>
      <c r="AS102" s="375">
        <v>2225882.2581997961</v>
      </c>
      <c r="AU102" s="378">
        <v>1800000</v>
      </c>
      <c r="AV102" s="379">
        <v>-3000</v>
      </c>
      <c r="AW102" s="380">
        <v>1800000</v>
      </c>
      <c r="AX102" s="381">
        <v>2228882.2581997961</v>
      </c>
      <c r="AZ102" s="365">
        <v>0</v>
      </c>
      <c r="BA102" s="370">
        <v>0</v>
      </c>
      <c r="BB102" s="370">
        <v>0</v>
      </c>
      <c r="BC102" s="375">
        <v>2228882.2581997961</v>
      </c>
      <c r="BE102" s="365">
        <v>0</v>
      </c>
      <c r="BF102" s="370">
        <v>0</v>
      </c>
      <c r="BG102" s="370">
        <v>0</v>
      </c>
      <c r="BH102" s="375">
        <v>2228882.2581997961</v>
      </c>
      <c r="BJ102" s="365">
        <v>0</v>
      </c>
      <c r="BK102" s="370">
        <v>0</v>
      </c>
      <c r="BL102" s="370">
        <v>0</v>
      </c>
      <c r="BM102" s="375">
        <v>2228882.2581997961</v>
      </c>
      <c r="BO102" s="365">
        <v>0</v>
      </c>
      <c r="BP102" s="370">
        <v>0</v>
      </c>
      <c r="BQ102" s="370">
        <v>0</v>
      </c>
      <c r="BR102" s="375">
        <v>2228882.2581997961</v>
      </c>
      <c r="BT102" s="365">
        <v>0</v>
      </c>
      <c r="BU102" s="370">
        <v>0</v>
      </c>
      <c r="BV102" s="370">
        <v>0</v>
      </c>
      <c r="BW102" s="375">
        <v>2228882.2581997961</v>
      </c>
      <c r="BY102" s="365">
        <v>1894549.9194698266</v>
      </c>
      <c r="BZ102" s="373">
        <v>41958480.613035679</v>
      </c>
      <c r="CA102" s="375">
        <v>334332.33872996946</v>
      </c>
      <c r="CC102" s="365">
        <v>0</v>
      </c>
      <c r="CD102" s="375">
        <v>0</v>
      </c>
      <c r="CF102" s="365">
        <v>0</v>
      </c>
      <c r="CG102" s="375">
        <v>0</v>
      </c>
      <c r="CI102" s="365">
        <v>334332.3387299694</v>
      </c>
      <c r="CJ102" s="375">
        <v>1894549.9194698266</v>
      </c>
    </row>
    <row r="103" spans="4:88">
      <c r="D103" s="41"/>
      <c r="E103" s="41"/>
      <c r="F103" s="42"/>
      <c r="G103" s="417">
        <v>99</v>
      </c>
      <c r="H103" s="251">
        <v>0</v>
      </c>
      <c r="I103" s="377">
        <v>2</v>
      </c>
      <c r="J103" s="368">
        <v>0</v>
      </c>
      <c r="K103" s="368">
        <v>4585898.4545578109</v>
      </c>
      <c r="L103" s="369">
        <v>2650224.3335354319</v>
      </c>
      <c r="N103" s="367">
        <v>1935674.121022379</v>
      </c>
      <c r="O103" s="370">
        <v>0</v>
      </c>
      <c r="P103" s="370">
        <v>0</v>
      </c>
      <c r="Q103" s="370">
        <v>0</v>
      </c>
      <c r="R103" s="370">
        <v>0</v>
      </c>
      <c r="S103" s="370">
        <v>0</v>
      </c>
      <c r="T103" s="379">
        <v>63626400</v>
      </c>
      <c r="U103" s="371">
        <v>0</v>
      </c>
      <c r="V103" s="371">
        <v>1803000</v>
      </c>
      <c r="W103" s="372">
        <v>3738674.121022379</v>
      </c>
      <c r="X103" s="41"/>
      <c r="Y103" s="365">
        <v>1050000</v>
      </c>
      <c r="Z103" s="370">
        <v>1050000</v>
      </c>
      <c r="AA103" s="370">
        <v>0</v>
      </c>
      <c r="AB103" s="375">
        <v>2688674.121022379</v>
      </c>
      <c r="AC103" s="41"/>
      <c r="AD103" s="449">
        <v>1050000</v>
      </c>
      <c r="AE103" s="365">
        <v>0</v>
      </c>
      <c r="AF103" s="375">
        <v>885674.12102237903</v>
      </c>
      <c r="AH103" s="365">
        <v>0</v>
      </c>
      <c r="AI103" s="370">
        <v>0</v>
      </c>
      <c r="AJ103" s="370">
        <v>0</v>
      </c>
      <c r="AK103" s="375">
        <v>885674.12102237903</v>
      </c>
      <c r="AM103" s="365">
        <v>0</v>
      </c>
      <c r="AN103" s="370">
        <v>0</v>
      </c>
      <c r="AO103" s="370">
        <v>0</v>
      </c>
      <c r="AP103" s="375">
        <v>885674.12102237903</v>
      </c>
      <c r="AR103" s="365">
        <v>0</v>
      </c>
      <c r="AS103" s="375">
        <v>885674.12102237903</v>
      </c>
      <c r="AU103" s="378">
        <v>750000</v>
      </c>
      <c r="AV103" s="379">
        <v>-1053000</v>
      </c>
      <c r="AW103" s="380">
        <v>750000</v>
      </c>
      <c r="AX103" s="381">
        <v>1938674.121022379</v>
      </c>
      <c r="AZ103" s="365">
        <v>0</v>
      </c>
      <c r="BA103" s="370">
        <v>0</v>
      </c>
      <c r="BB103" s="370">
        <v>0</v>
      </c>
      <c r="BC103" s="375">
        <v>1938674.121022379</v>
      </c>
      <c r="BE103" s="365">
        <v>0</v>
      </c>
      <c r="BF103" s="370">
        <v>0</v>
      </c>
      <c r="BG103" s="370">
        <v>0</v>
      </c>
      <c r="BH103" s="375">
        <v>1938674.121022379</v>
      </c>
      <c r="BJ103" s="365">
        <v>0</v>
      </c>
      <c r="BK103" s="370">
        <v>0</v>
      </c>
      <c r="BL103" s="370">
        <v>0</v>
      </c>
      <c r="BM103" s="375">
        <v>1938674.121022379</v>
      </c>
      <c r="BO103" s="365">
        <v>0</v>
      </c>
      <c r="BP103" s="370">
        <v>0</v>
      </c>
      <c r="BQ103" s="370">
        <v>0</v>
      </c>
      <c r="BR103" s="375">
        <v>1938674.121022379</v>
      </c>
      <c r="BT103" s="365">
        <v>0</v>
      </c>
      <c r="BU103" s="370">
        <v>0</v>
      </c>
      <c r="BV103" s="370">
        <v>0</v>
      </c>
      <c r="BW103" s="375">
        <v>1938674.121022379</v>
      </c>
      <c r="BY103" s="365">
        <v>1647873.0028690221</v>
      </c>
      <c r="BZ103" s="373">
        <v>43606353.615904704</v>
      </c>
      <c r="CA103" s="375">
        <v>290801.11815335695</v>
      </c>
      <c r="CC103" s="365">
        <v>0</v>
      </c>
      <c r="CD103" s="375">
        <v>0</v>
      </c>
      <c r="CF103" s="365">
        <v>0</v>
      </c>
      <c r="CG103" s="375">
        <v>0</v>
      </c>
      <c r="CI103" s="365">
        <v>290801.11815335683</v>
      </c>
      <c r="CJ103" s="375">
        <v>1647873.0028690221</v>
      </c>
    </row>
    <row r="104" spans="4:88">
      <c r="D104" s="284"/>
      <c r="E104" s="284"/>
      <c r="F104" s="403"/>
      <c r="G104" s="417">
        <v>100</v>
      </c>
      <c r="H104" s="251">
        <v>0</v>
      </c>
      <c r="I104" s="377">
        <v>0</v>
      </c>
      <c r="J104" s="368">
        <v>0</v>
      </c>
      <c r="K104" s="368">
        <v>5246288.3760519847</v>
      </c>
      <c r="L104" s="369">
        <v>2651701.3393403403</v>
      </c>
      <c r="N104" s="367">
        <v>2594587.0367116444</v>
      </c>
      <c r="O104" s="370">
        <v>0</v>
      </c>
      <c r="P104" s="370">
        <v>0</v>
      </c>
      <c r="Q104" s="370">
        <v>0</v>
      </c>
      <c r="R104" s="370">
        <v>0</v>
      </c>
      <c r="S104" s="370">
        <v>0</v>
      </c>
      <c r="T104" s="379">
        <v>63626400</v>
      </c>
      <c r="U104" s="371">
        <v>0</v>
      </c>
      <c r="V104" s="371">
        <v>751250</v>
      </c>
      <c r="W104" s="372">
        <v>3345837.0367116444</v>
      </c>
      <c r="X104" s="41"/>
      <c r="Y104" s="365">
        <v>750000</v>
      </c>
      <c r="Z104" s="370">
        <v>750000</v>
      </c>
      <c r="AA104" s="370">
        <v>0</v>
      </c>
      <c r="AB104" s="375">
        <v>2595837.0367116444</v>
      </c>
      <c r="AC104" s="41"/>
      <c r="AD104" s="449">
        <v>750000</v>
      </c>
      <c r="AE104" s="365">
        <v>0</v>
      </c>
      <c r="AF104" s="375">
        <v>1844587.0367116444</v>
      </c>
      <c r="AH104" s="365">
        <v>0</v>
      </c>
      <c r="AI104" s="370">
        <v>0</v>
      </c>
      <c r="AJ104" s="370">
        <v>0</v>
      </c>
      <c r="AK104" s="375">
        <v>1844587.0367116444</v>
      </c>
      <c r="AM104" s="365">
        <v>0</v>
      </c>
      <c r="AN104" s="370">
        <v>0</v>
      </c>
      <c r="AO104" s="370">
        <v>0</v>
      </c>
      <c r="AP104" s="375">
        <v>1844587.0367116444</v>
      </c>
      <c r="AR104" s="365">
        <v>0</v>
      </c>
      <c r="AS104" s="375">
        <v>1844587.0367116444</v>
      </c>
      <c r="AU104" s="378">
        <v>0</v>
      </c>
      <c r="AV104" s="379">
        <v>-751250</v>
      </c>
      <c r="AW104" s="380">
        <v>0</v>
      </c>
      <c r="AX104" s="381">
        <v>2595837.0367116444</v>
      </c>
      <c r="AZ104" s="365">
        <v>0</v>
      </c>
      <c r="BA104" s="370">
        <v>0</v>
      </c>
      <c r="BB104" s="370">
        <v>0</v>
      </c>
      <c r="BC104" s="375">
        <v>2595837.0367116444</v>
      </c>
      <c r="BE104" s="365">
        <v>0</v>
      </c>
      <c r="BF104" s="370">
        <v>0</v>
      </c>
      <c r="BG104" s="370">
        <v>0</v>
      </c>
      <c r="BH104" s="375">
        <v>2595837.0367116444</v>
      </c>
      <c r="BJ104" s="365">
        <v>0</v>
      </c>
      <c r="BK104" s="370">
        <v>0</v>
      </c>
      <c r="BL104" s="370">
        <v>0</v>
      </c>
      <c r="BM104" s="375">
        <v>2595837.0367116444</v>
      </c>
      <c r="BO104" s="365">
        <v>0</v>
      </c>
      <c r="BP104" s="370">
        <v>0</v>
      </c>
      <c r="BQ104" s="370">
        <v>0</v>
      </c>
      <c r="BR104" s="375">
        <v>2595837.0367116444</v>
      </c>
      <c r="BT104" s="365">
        <v>0</v>
      </c>
      <c r="BU104" s="370">
        <v>0</v>
      </c>
      <c r="BV104" s="370">
        <v>0</v>
      </c>
      <c r="BW104" s="375">
        <v>2595837.0367116444</v>
      </c>
      <c r="BY104" s="365">
        <v>2206461.4812048976</v>
      </c>
      <c r="BZ104" s="373">
        <v>45812815.097109601</v>
      </c>
      <c r="CA104" s="375">
        <v>389375.55550674675</v>
      </c>
      <c r="CC104" s="365">
        <v>0</v>
      </c>
      <c r="CD104" s="375">
        <v>0</v>
      </c>
      <c r="CF104" s="365">
        <v>0</v>
      </c>
      <c r="CG104" s="375">
        <v>0</v>
      </c>
      <c r="CI104" s="365">
        <v>389375.55550674663</v>
      </c>
      <c r="CJ104" s="375">
        <v>2206461.4812048976</v>
      </c>
    </row>
    <row r="105" spans="4:88">
      <c r="D105" s="41"/>
      <c r="E105" s="41"/>
      <c r="F105" s="42"/>
      <c r="G105" s="417">
        <v>101</v>
      </c>
      <c r="H105" s="251">
        <v>0</v>
      </c>
      <c r="I105" s="377">
        <v>3</v>
      </c>
      <c r="J105" s="368">
        <v>0</v>
      </c>
      <c r="K105" s="368">
        <v>4295489.9058927754</v>
      </c>
      <c r="L105" s="369">
        <v>2653179.1683005271</v>
      </c>
      <c r="N105" s="367">
        <v>1642310.7375922482</v>
      </c>
      <c r="O105" s="370">
        <v>0</v>
      </c>
      <c r="P105" s="370">
        <v>0</v>
      </c>
      <c r="Q105" s="370">
        <v>0</v>
      </c>
      <c r="R105" s="370">
        <v>0</v>
      </c>
      <c r="S105" s="370">
        <v>0</v>
      </c>
      <c r="T105" s="379">
        <v>63626400</v>
      </c>
      <c r="U105" s="371">
        <v>0</v>
      </c>
      <c r="V105" s="371">
        <v>0</v>
      </c>
      <c r="W105" s="372">
        <v>1642310.7375922482</v>
      </c>
      <c r="X105" s="41"/>
      <c r="Y105" s="365">
        <v>0</v>
      </c>
      <c r="Z105" s="370">
        <v>0</v>
      </c>
      <c r="AA105" s="370">
        <v>0</v>
      </c>
      <c r="AB105" s="375">
        <v>1642310.7375922482</v>
      </c>
      <c r="AC105" s="41"/>
      <c r="AD105" s="449">
        <v>0</v>
      </c>
      <c r="AE105" s="365">
        <v>0</v>
      </c>
      <c r="AF105" s="375">
        <v>1642310.7375922482</v>
      </c>
      <c r="AH105" s="365">
        <v>0</v>
      </c>
      <c r="AI105" s="370">
        <v>0</v>
      </c>
      <c r="AJ105" s="370">
        <v>0</v>
      </c>
      <c r="AK105" s="375">
        <v>1642310.7375922482</v>
      </c>
      <c r="AM105" s="365">
        <v>0</v>
      </c>
      <c r="AN105" s="370">
        <v>0</v>
      </c>
      <c r="AO105" s="370">
        <v>0</v>
      </c>
      <c r="AP105" s="375">
        <v>1642310.7375922482</v>
      </c>
      <c r="AR105" s="365">
        <v>0</v>
      </c>
      <c r="AS105" s="375">
        <v>1642310.7375922482</v>
      </c>
      <c r="AU105" s="378">
        <v>1050000</v>
      </c>
      <c r="AV105" s="379">
        <v>1050000</v>
      </c>
      <c r="AW105" s="380">
        <v>1050000</v>
      </c>
      <c r="AX105" s="381">
        <v>592310.73759224825</v>
      </c>
      <c r="AZ105" s="365">
        <v>0</v>
      </c>
      <c r="BA105" s="370">
        <v>0</v>
      </c>
      <c r="BB105" s="370">
        <v>0</v>
      </c>
      <c r="BC105" s="375">
        <v>592310.73759224825</v>
      </c>
      <c r="BE105" s="365">
        <v>0</v>
      </c>
      <c r="BF105" s="370">
        <v>0</v>
      </c>
      <c r="BG105" s="370">
        <v>0</v>
      </c>
      <c r="BH105" s="375">
        <v>592310.73759224825</v>
      </c>
      <c r="BJ105" s="365">
        <v>0</v>
      </c>
      <c r="BK105" s="370">
        <v>0</v>
      </c>
      <c r="BL105" s="370">
        <v>0</v>
      </c>
      <c r="BM105" s="375">
        <v>592310.73759224825</v>
      </c>
      <c r="BO105" s="365">
        <v>0</v>
      </c>
      <c r="BP105" s="370">
        <v>0</v>
      </c>
      <c r="BQ105" s="370">
        <v>0</v>
      </c>
      <c r="BR105" s="375">
        <v>592310.73759224825</v>
      </c>
      <c r="BT105" s="365">
        <v>0</v>
      </c>
      <c r="BU105" s="370">
        <v>0</v>
      </c>
      <c r="BV105" s="370">
        <v>0</v>
      </c>
      <c r="BW105" s="375">
        <v>592310.73759224825</v>
      </c>
      <c r="BY105" s="365">
        <v>503464.12695341097</v>
      </c>
      <c r="BZ105" s="373">
        <v>46316279.224063009</v>
      </c>
      <c r="CA105" s="375">
        <v>88846.610638837272</v>
      </c>
      <c r="CC105" s="365">
        <v>0</v>
      </c>
      <c r="CD105" s="375">
        <v>0</v>
      </c>
      <c r="CF105" s="365">
        <v>0</v>
      </c>
      <c r="CG105" s="375">
        <v>0</v>
      </c>
      <c r="CI105" s="365">
        <v>88846.610638837228</v>
      </c>
      <c r="CJ105" s="375">
        <v>503464.12695341097</v>
      </c>
    </row>
    <row r="106" spans="4:88">
      <c r="G106" s="417">
        <v>102</v>
      </c>
      <c r="H106" s="251">
        <v>0</v>
      </c>
      <c r="I106" s="377">
        <v>0</v>
      </c>
      <c r="J106" s="368">
        <v>0</v>
      </c>
      <c r="K106" s="368">
        <v>5253958.3025762867</v>
      </c>
      <c r="L106" s="369">
        <v>2654657.8208747469</v>
      </c>
      <c r="N106" s="367">
        <v>2599300.4817015398</v>
      </c>
      <c r="O106" s="370">
        <v>0</v>
      </c>
      <c r="P106" s="370">
        <v>0</v>
      </c>
      <c r="Q106" s="370">
        <v>0</v>
      </c>
      <c r="R106" s="370">
        <v>0</v>
      </c>
      <c r="S106" s="370">
        <v>0</v>
      </c>
      <c r="T106" s="379">
        <v>63626400</v>
      </c>
      <c r="U106" s="371">
        <v>0</v>
      </c>
      <c r="V106" s="371">
        <v>1051750</v>
      </c>
      <c r="W106" s="372">
        <v>3651050.4817015398</v>
      </c>
      <c r="X106" s="41"/>
      <c r="Y106" s="365">
        <v>0</v>
      </c>
      <c r="Z106" s="370">
        <v>0</v>
      </c>
      <c r="AA106" s="370">
        <v>0</v>
      </c>
      <c r="AB106" s="375">
        <v>3651050.4817015398</v>
      </c>
      <c r="AC106" s="41"/>
      <c r="AD106" s="449">
        <v>0</v>
      </c>
      <c r="AE106" s="365">
        <v>0</v>
      </c>
      <c r="AF106" s="375">
        <v>2599300.4817015398</v>
      </c>
      <c r="AH106" s="365">
        <v>0</v>
      </c>
      <c r="AI106" s="370">
        <v>0</v>
      </c>
      <c r="AJ106" s="370">
        <v>0</v>
      </c>
      <c r="AK106" s="375">
        <v>2599300.4817015398</v>
      </c>
      <c r="AM106" s="365">
        <v>0</v>
      </c>
      <c r="AN106" s="370">
        <v>0</v>
      </c>
      <c r="AO106" s="370">
        <v>0</v>
      </c>
      <c r="AP106" s="375">
        <v>2599300.4817015398</v>
      </c>
      <c r="AR106" s="365">
        <v>0</v>
      </c>
      <c r="AS106" s="375">
        <v>2599300.4817015398</v>
      </c>
      <c r="AU106" s="378">
        <v>1050000</v>
      </c>
      <c r="AV106" s="379">
        <v>-1750</v>
      </c>
      <c r="AW106" s="380">
        <v>1050000</v>
      </c>
      <c r="AX106" s="381">
        <v>2601050.4817015398</v>
      </c>
      <c r="AZ106" s="365">
        <v>0</v>
      </c>
      <c r="BA106" s="370">
        <v>0</v>
      </c>
      <c r="BB106" s="370">
        <v>0</v>
      </c>
      <c r="BC106" s="375">
        <v>2601050.4817015398</v>
      </c>
      <c r="BE106" s="365">
        <v>0</v>
      </c>
      <c r="BF106" s="370">
        <v>0</v>
      </c>
      <c r="BG106" s="370">
        <v>0</v>
      </c>
      <c r="BH106" s="375">
        <v>2601050.4817015398</v>
      </c>
      <c r="BJ106" s="365">
        <v>0</v>
      </c>
      <c r="BK106" s="370">
        <v>0</v>
      </c>
      <c r="BL106" s="370">
        <v>0</v>
      </c>
      <c r="BM106" s="375">
        <v>2601050.4817015398</v>
      </c>
      <c r="BO106" s="365">
        <v>0</v>
      </c>
      <c r="BP106" s="370">
        <v>0</v>
      </c>
      <c r="BQ106" s="370">
        <v>0</v>
      </c>
      <c r="BR106" s="375">
        <v>2601050.4817015398</v>
      </c>
      <c r="BT106" s="365">
        <v>0</v>
      </c>
      <c r="BU106" s="370">
        <v>0</v>
      </c>
      <c r="BV106" s="370">
        <v>0</v>
      </c>
      <c r="BW106" s="375">
        <v>2601050.4817015398</v>
      </c>
      <c r="BY106" s="365">
        <v>2210892.9094463089</v>
      </c>
      <c r="BZ106" s="373">
        <v>48527172.133509316</v>
      </c>
      <c r="CA106" s="375">
        <v>390157.57225523097</v>
      </c>
      <c r="CC106" s="365">
        <v>0</v>
      </c>
      <c r="CD106" s="375">
        <v>0</v>
      </c>
      <c r="CF106" s="365">
        <v>0</v>
      </c>
      <c r="CG106" s="375">
        <v>0</v>
      </c>
      <c r="CI106" s="365">
        <v>390157.57225523097</v>
      </c>
      <c r="CJ106" s="375">
        <v>2210892.9094463089</v>
      </c>
    </row>
    <row r="107" spans="4:88">
      <c r="G107" s="417">
        <v>103</v>
      </c>
      <c r="H107" s="251">
        <v>0</v>
      </c>
      <c r="I107" s="377">
        <v>2</v>
      </c>
      <c r="J107" s="368">
        <v>0</v>
      </c>
      <c r="K107" s="368">
        <v>4594775.0837445548</v>
      </c>
      <c r="L107" s="369">
        <v>2656137.2975220112</v>
      </c>
      <c r="N107" s="367">
        <v>1938637.7862225436</v>
      </c>
      <c r="O107" s="370">
        <v>0</v>
      </c>
      <c r="P107" s="370">
        <v>0</v>
      </c>
      <c r="Q107" s="370">
        <v>0</v>
      </c>
      <c r="R107" s="370">
        <v>0</v>
      </c>
      <c r="S107" s="370">
        <v>0</v>
      </c>
      <c r="T107" s="379">
        <v>63626400</v>
      </c>
      <c r="U107" s="371">
        <v>0</v>
      </c>
      <c r="V107" s="371">
        <v>1051750</v>
      </c>
      <c r="W107" s="372">
        <v>2990387.7862225436</v>
      </c>
      <c r="X107" s="41"/>
      <c r="Y107" s="365">
        <v>0</v>
      </c>
      <c r="Z107" s="370">
        <v>0</v>
      </c>
      <c r="AA107" s="370">
        <v>0</v>
      </c>
      <c r="AB107" s="375">
        <v>2990387.7862225436</v>
      </c>
      <c r="AC107" s="41"/>
      <c r="AD107" s="449">
        <v>0</v>
      </c>
      <c r="AE107" s="365">
        <v>0</v>
      </c>
      <c r="AF107" s="375">
        <v>1938637.7862225436</v>
      </c>
      <c r="AH107" s="365">
        <v>0</v>
      </c>
      <c r="AI107" s="370">
        <v>0</v>
      </c>
      <c r="AJ107" s="370">
        <v>0</v>
      </c>
      <c r="AK107" s="375">
        <v>1938637.7862225436</v>
      </c>
      <c r="AM107" s="365">
        <v>0</v>
      </c>
      <c r="AN107" s="370">
        <v>0</v>
      </c>
      <c r="AO107" s="370">
        <v>0</v>
      </c>
      <c r="AP107" s="375">
        <v>1938637.7862225436</v>
      </c>
      <c r="AR107" s="365">
        <v>0</v>
      </c>
      <c r="AS107" s="375">
        <v>1938637.7862225436</v>
      </c>
      <c r="AU107" s="378">
        <v>1050000</v>
      </c>
      <c r="AV107" s="379">
        <v>-1750</v>
      </c>
      <c r="AW107" s="380">
        <v>1050000</v>
      </c>
      <c r="AX107" s="381">
        <v>1940387.7862225436</v>
      </c>
      <c r="AZ107" s="365">
        <v>0</v>
      </c>
      <c r="BA107" s="370">
        <v>0</v>
      </c>
      <c r="BB107" s="370">
        <v>0</v>
      </c>
      <c r="BC107" s="375">
        <v>1940387.7862225436</v>
      </c>
      <c r="BE107" s="365">
        <v>0</v>
      </c>
      <c r="BF107" s="370">
        <v>0</v>
      </c>
      <c r="BG107" s="370">
        <v>0</v>
      </c>
      <c r="BH107" s="375">
        <v>1940387.7862225436</v>
      </c>
      <c r="BJ107" s="365">
        <v>0</v>
      </c>
      <c r="BK107" s="370">
        <v>0</v>
      </c>
      <c r="BL107" s="370">
        <v>0</v>
      </c>
      <c r="BM107" s="375">
        <v>1940387.7862225436</v>
      </c>
      <c r="BO107" s="365">
        <v>0</v>
      </c>
      <c r="BP107" s="370">
        <v>0</v>
      </c>
      <c r="BQ107" s="370">
        <v>0</v>
      </c>
      <c r="BR107" s="375">
        <v>1940387.7862225436</v>
      </c>
      <c r="BT107" s="365">
        <v>0</v>
      </c>
      <c r="BU107" s="370">
        <v>0</v>
      </c>
      <c r="BV107" s="370">
        <v>0</v>
      </c>
      <c r="BW107" s="375">
        <v>1940387.7862225436</v>
      </c>
      <c r="BY107" s="365">
        <v>1649329.6182891619</v>
      </c>
      <c r="BZ107" s="373">
        <v>50176501.751798481</v>
      </c>
      <c r="CA107" s="375">
        <v>291058.16793338163</v>
      </c>
      <c r="CC107" s="365">
        <v>0</v>
      </c>
      <c r="CD107" s="375">
        <v>0</v>
      </c>
      <c r="CF107" s="365">
        <v>0</v>
      </c>
      <c r="CG107" s="375">
        <v>0</v>
      </c>
      <c r="CI107" s="365">
        <v>291058.16793338151</v>
      </c>
      <c r="CJ107" s="375">
        <v>1649329.6182891619</v>
      </c>
    </row>
    <row r="108" spans="4:88">
      <c r="G108" s="417">
        <v>104</v>
      </c>
      <c r="H108" s="251">
        <v>0</v>
      </c>
      <c r="I108" s="377">
        <v>1</v>
      </c>
      <c r="J108" s="368">
        <v>0</v>
      </c>
      <c r="K108" s="368">
        <v>4902304.0112043135</v>
      </c>
      <c r="L108" s="369">
        <v>2657617.5987015874</v>
      </c>
      <c r="N108" s="367">
        <v>2244686.4125027261</v>
      </c>
      <c r="O108" s="370">
        <v>0</v>
      </c>
      <c r="P108" s="370">
        <v>0</v>
      </c>
      <c r="Q108" s="370">
        <v>0</v>
      </c>
      <c r="R108" s="370">
        <v>0</v>
      </c>
      <c r="S108" s="370">
        <v>0</v>
      </c>
      <c r="T108" s="379">
        <v>63626400</v>
      </c>
      <c r="U108" s="371">
        <v>0</v>
      </c>
      <c r="V108" s="371">
        <v>1051750</v>
      </c>
      <c r="W108" s="372">
        <v>3296436.4125027261</v>
      </c>
      <c r="X108" s="41"/>
      <c r="Y108" s="365">
        <v>0</v>
      </c>
      <c r="Z108" s="370">
        <v>0</v>
      </c>
      <c r="AA108" s="370">
        <v>0</v>
      </c>
      <c r="AB108" s="375">
        <v>3296436.4125027261</v>
      </c>
      <c r="AC108" s="41"/>
      <c r="AD108" s="449">
        <v>0</v>
      </c>
      <c r="AE108" s="365">
        <v>0</v>
      </c>
      <c r="AF108" s="375">
        <v>2244686.4125027261</v>
      </c>
      <c r="AH108" s="365">
        <v>0</v>
      </c>
      <c r="AI108" s="370">
        <v>0</v>
      </c>
      <c r="AJ108" s="370">
        <v>0</v>
      </c>
      <c r="AK108" s="375">
        <v>2244686.4125027261</v>
      </c>
      <c r="AM108" s="365">
        <v>0</v>
      </c>
      <c r="AN108" s="370">
        <v>0</v>
      </c>
      <c r="AO108" s="370">
        <v>0</v>
      </c>
      <c r="AP108" s="375">
        <v>2244686.4125027261</v>
      </c>
      <c r="AR108" s="365">
        <v>0</v>
      </c>
      <c r="AS108" s="375">
        <v>2244686.4125027261</v>
      </c>
      <c r="AU108" s="378">
        <v>1050000</v>
      </c>
      <c r="AV108" s="379">
        <v>-1750</v>
      </c>
      <c r="AW108" s="380">
        <v>1050000</v>
      </c>
      <c r="AX108" s="381">
        <v>2246436.4125027261</v>
      </c>
      <c r="AZ108" s="365">
        <v>0</v>
      </c>
      <c r="BA108" s="370">
        <v>0</v>
      </c>
      <c r="BB108" s="370">
        <v>0</v>
      </c>
      <c r="BC108" s="375">
        <v>2246436.4125027261</v>
      </c>
      <c r="BE108" s="365">
        <v>0</v>
      </c>
      <c r="BF108" s="370">
        <v>0</v>
      </c>
      <c r="BG108" s="370">
        <v>0</v>
      </c>
      <c r="BH108" s="375">
        <v>2246436.4125027261</v>
      </c>
      <c r="BJ108" s="365">
        <v>0</v>
      </c>
      <c r="BK108" s="370">
        <v>0</v>
      </c>
      <c r="BL108" s="370">
        <v>0</v>
      </c>
      <c r="BM108" s="375">
        <v>2246436.4125027261</v>
      </c>
      <c r="BO108" s="365">
        <v>0</v>
      </c>
      <c r="BP108" s="370">
        <v>0</v>
      </c>
      <c r="BQ108" s="370">
        <v>0</v>
      </c>
      <c r="BR108" s="375">
        <v>2246436.4125027261</v>
      </c>
      <c r="BT108" s="365">
        <v>0</v>
      </c>
      <c r="BU108" s="370">
        <v>0</v>
      </c>
      <c r="BV108" s="370">
        <v>0</v>
      </c>
      <c r="BW108" s="375">
        <v>2246436.4125027261</v>
      </c>
      <c r="BY108" s="365">
        <v>1909470.9506273172</v>
      </c>
      <c r="BZ108" s="373">
        <v>52085972.7024258</v>
      </c>
      <c r="CA108" s="375">
        <v>336965.46187540889</v>
      </c>
      <c r="CC108" s="365">
        <v>0</v>
      </c>
      <c r="CD108" s="375">
        <v>0</v>
      </c>
      <c r="CF108" s="365">
        <v>0</v>
      </c>
      <c r="CG108" s="375">
        <v>0</v>
      </c>
      <c r="CI108" s="365">
        <v>336965.46187540889</v>
      </c>
      <c r="CJ108" s="375">
        <v>1909470.9506273172</v>
      </c>
    </row>
    <row r="109" spans="4:88">
      <c r="G109" s="417">
        <v>105</v>
      </c>
      <c r="H109" s="251">
        <v>0</v>
      </c>
      <c r="I109" s="377">
        <v>0</v>
      </c>
      <c r="J109" s="368">
        <v>0</v>
      </c>
      <c r="K109" s="368">
        <v>5264798.7072068732</v>
      </c>
      <c r="L109" s="369">
        <v>2659098.7248729984</v>
      </c>
      <c r="N109" s="367">
        <v>2605699.9823338748</v>
      </c>
      <c r="O109" s="370">
        <v>0</v>
      </c>
      <c r="P109" s="370">
        <v>0</v>
      </c>
      <c r="Q109" s="370">
        <v>0</v>
      </c>
      <c r="R109" s="370">
        <v>0</v>
      </c>
      <c r="S109" s="370">
        <v>0</v>
      </c>
      <c r="T109" s="379">
        <v>63626400</v>
      </c>
      <c r="U109" s="371">
        <v>0</v>
      </c>
      <c r="V109" s="371">
        <v>1051750</v>
      </c>
      <c r="W109" s="372">
        <v>3657449.9823338748</v>
      </c>
      <c r="X109" s="41"/>
      <c r="Y109" s="365">
        <v>1050000</v>
      </c>
      <c r="Z109" s="370">
        <v>1050000</v>
      </c>
      <c r="AA109" s="370">
        <v>0</v>
      </c>
      <c r="AB109" s="375">
        <v>2607449.9823338748</v>
      </c>
      <c r="AC109" s="41"/>
      <c r="AD109" s="449">
        <v>1050000</v>
      </c>
      <c r="AE109" s="365">
        <v>0</v>
      </c>
      <c r="AF109" s="375">
        <v>1555699.9823338748</v>
      </c>
      <c r="AH109" s="365">
        <v>0</v>
      </c>
      <c r="AI109" s="370">
        <v>0</v>
      </c>
      <c r="AJ109" s="370">
        <v>0</v>
      </c>
      <c r="AK109" s="375">
        <v>1555699.9823338748</v>
      </c>
      <c r="AM109" s="365">
        <v>0</v>
      </c>
      <c r="AN109" s="370">
        <v>0</v>
      </c>
      <c r="AO109" s="370">
        <v>0</v>
      </c>
      <c r="AP109" s="375">
        <v>1555699.9823338748</v>
      </c>
      <c r="AR109" s="365">
        <v>0</v>
      </c>
      <c r="AS109" s="375">
        <v>1555699.9823338748</v>
      </c>
      <c r="AU109" s="378">
        <v>0</v>
      </c>
      <c r="AV109" s="379">
        <v>-1051750</v>
      </c>
      <c r="AW109" s="380">
        <v>0</v>
      </c>
      <c r="AX109" s="381">
        <v>2607449.9823338748</v>
      </c>
      <c r="AZ109" s="365">
        <v>0</v>
      </c>
      <c r="BA109" s="370">
        <v>0</v>
      </c>
      <c r="BB109" s="370">
        <v>0</v>
      </c>
      <c r="BC109" s="375">
        <v>2607449.9823338748</v>
      </c>
      <c r="BE109" s="365">
        <v>0</v>
      </c>
      <c r="BF109" s="370">
        <v>0</v>
      </c>
      <c r="BG109" s="370">
        <v>0</v>
      </c>
      <c r="BH109" s="375">
        <v>2607449.9823338748</v>
      </c>
      <c r="BJ109" s="365">
        <v>0</v>
      </c>
      <c r="BK109" s="370">
        <v>0</v>
      </c>
      <c r="BL109" s="370">
        <v>0</v>
      </c>
      <c r="BM109" s="375">
        <v>2607449.9823338748</v>
      </c>
      <c r="BO109" s="365">
        <v>0</v>
      </c>
      <c r="BP109" s="370">
        <v>0</v>
      </c>
      <c r="BQ109" s="370">
        <v>0</v>
      </c>
      <c r="BR109" s="375">
        <v>2607449.9823338748</v>
      </c>
      <c r="BT109" s="365">
        <v>0</v>
      </c>
      <c r="BU109" s="370">
        <v>0</v>
      </c>
      <c r="BV109" s="370">
        <v>0</v>
      </c>
      <c r="BW109" s="375">
        <v>2607449.9823338748</v>
      </c>
      <c r="BY109" s="365">
        <v>2216332.4849837935</v>
      </c>
      <c r="BZ109" s="373">
        <v>54302305.187409595</v>
      </c>
      <c r="CA109" s="375">
        <v>391117.49735008134</v>
      </c>
      <c r="CC109" s="365">
        <v>0</v>
      </c>
      <c r="CD109" s="375">
        <v>0</v>
      </c>
      <c r="CF109" s="365">
        <v>0</v>
      </c>
      <c r="CG109" s="375">
        <v>0</v>
      </c>
      <c r="CI109" s="365">
        <v>391117.49735008122</v>
      </c>
      <c r="CJ109" s="375">
        <v>2216332.4849837935</v>
      </c>
    </row>
    <row r="110" spans="4:88">
      <c r="G110" s="417">
        <v>106</v>
      </c>
      <c r="H110" s="251">
        <v>0</v>
      </c>
      <c r="I110" s="377">
        <v>1</v>
      </c>
      <c r="J110" s="368">
        <v>0</v>
      </c>
      <c r="K110" s="368">
        <v>4899793.3311974825</v>
      </c>
      <c r="L110" s="369">
        <v>2660580.6764960233</v>
      </c>
      <c r="N110" s="367">
        <v>2239212.6547014592</v>
      </c>
      <c r="O110" s="370">
        <v>0</v>
      </c>
      <c r="P110" s="370">
        <v>0</v>
      </c>
      <c r="Q110" s="370">
        <v>0</v>
      </c>
      <c r="R110" s="370">
        <v>0</v>
      </c>
      <c r="S110" s="370">
        <v>0</v>
      </c>
      <c r="T110" s="379">
        <v>63626400</v>
      </c>
      <c r="U110" s="371">
        <v>0</v>
      </c>
      <c r="V110" s="371">
        <v>0</v>
      </c>
      <c r="W110" s="372">
        <v>2239212.6547014592</v>
      </c>
      <c r="X110" s="41"/>
      <c r="Y110" s="365">
        <v>0</v>
      </c>
      <c r="Z110" s="370">
        <v>0</v>
      </c>
      <c r="AA110" s="370">
        <v>0</v>
      </c>
      <c r="AB110" s="375">
        <v>2239212.6547014592</v>
      </c>
      <c r="AC110" s="41"/>
      <c r="AD110" s="449">
        <v>0</v>
      </c>
      <c r="AE110" s="365">
        <v>0</v>
      </c>
      <c r="AF110" s="375">
        <v>2239212.6547014592</v>
      </c>
      <c r="AH110" s="365">
        <v>0</v>
      </c>
      <c r="AI110" s="370">
        <v>0</v>
      </c>
      <c r="AJ110" s="370">
        <v>0</v>
      </c>
      <c r="AK110" s="375">
        <v>2239212.6547014592</v>
      </c>
      <c r="AM110" s="365">
        <v>0</v>
      </c>
      <c r="AN110" s="370">
        <v>0</v>
      </c>
      <c r="AO110" s="370">
        <v>0</v>
      </c>
      <c r="AP110" s="375">
        <v>2239212.6547014592</v>
      </c>
      <c r="AR110" s="365">
        <v>0</v>
      </c>
      <c r="AS110" s="375">
        <v>2239212.6547014592</v>
      </c>
      <c r="AU110" s="378">
        <v>0</v>
      </c>
      <c r="AV110" s="379">
        <v>0</v>
      </c>
      <c r="AW110" s="380">
        <v>0</v>
      </c>
      <c r="AX110" s="381">
        <v>2239212.6547014592</v>
      </c>
      <c r="AZ110" s="365">
        <v>0</v>
      </c>
      <c r="BA110" s="370">
        <v>0</v>
      </c>
      <c r="BB110" s="370">
        <v>0</v>
      </c>
      <c r="BC110" s="375">
        <v>2239212.6547014592</v>
      </c>
      <c r="BE110" s="365">
        <v>0</v>
      </c>
      <c r="BF110" s="370">
        <v>0</v>
      </c>
      <c r="BG110" s="370">
        <v>0</v>
      </c>
      <c r="BH110" s="375">
        <v>2239212.6547014592</v>
      </c>
      <c r="BJ110" s="365">
        <v>0</v>
      </c>
      <c r="BK110" s="370">
        <v>0</v>
      </c>
      <c r="BL110" s="370">
        <v>0</v>
      </c>
      <c r="BM110" s="375">
        <v>2239212.6547014592</v>
      </c>
      <c r="BO110" s="365">
        <v>0</v>
      </c>
      <c r="BP110" s="370">
        <v>0</v>
      </c>
      <c r="BQ110" s="370">
        <v>0</v>
      </c>
      <c r="BR110" s="375">
        <v>2239212.6547014592</v>
      </c>
      <c r="BT110" s="365">
        <v>0</v>
      </c>
      <c r="BU110" s="370">
        <v>0</v>
      </c>
      <c r="BV110" s="370">
        <v>0</v>
      </c>
      <c r="BW110" s="375">
        <v>2239212.6547014592</v>
      </c>
      <c r="BY110" s="365">
        <v>1903330.7564962404</v>
      </c>
      <c r="BZ110" s="373">
        <v>56205635.943905838</v>
      </c>
      <c r="CA110" s="375">
        <v>335881.89820521884</v>
      </c>
      <c r="CC110" s="365">
        <v>0</v>
      </c>
      <c r="CD110" s="375">
        <v>0</v>
      </c>
      <c r="CF110" s="365">
        <v>0</v>
      </c>
      <c r="CG110" s="375">
        <v>0</v>
      </c>
      <c r="CI110" s="365">
        <v>335881.89820521889</v>
      </c>
      <c r="CJ110" s="375">
        <v>1903330.7564962404</v>
      </c>
    </row>
    <row r="111" spans="4:88">
      <c r="G111" s="417">
        <v>107</v>
      </c>
      <c r="H111" s="251">
        <v>0</v>
      </c>
      <c r="I111" s="377">
        <v>1</v>
      </c>
      <c r="J111" s="368">
        <v>0</v>
      </c>
      <c r="K111" s="368">
        <v>4908022.1030099299</v>
      </c>
      <c r="L111" s="369">
        <v>2662063.4540306972</v>
      </c>
      <c r="N111" s="367">
        <v>2245958.6489792326</v>
      </c>
      <c r="O111" s="370">
        <v>0</v>
      </c>
      <c r="P111" s="370">
        <v>0</v>
      </c>
      <c r="Q111" s="370">
        <v>0</v>
      </c>
      <c r="R111" s="370">
        <v>0</v>
      </c>
      <c r="S111" s="370">
        <v>0</v>
      </c>
      <c r="T111" s="379">
        <v>63626400</v>
      </c>
      <c r="U111" s="371">
        <v>0</v>
      </c>
      <c r="V111" s="371">
        <v>0</v>
      </c>
      <c r="W111" s="372">
        <v>2245958.6489792326</v>
      </c>
      <c r="X111" s="41"/>
      <c r="Y111" s="365">
        <v>0</v>
      </c>
      <c r="Z111" s="370">
        <v>0</v>
      </c>
      <c r="AA111" s="370">
        <v>0</v>
      </c>
      <c r="AB111" s="375">
        <v>2245958.6489792326</v>
      </c>
      <c r="AC111" s="41"/>
      <c r="AD111" s="449">
        <v>0</v>
      </c>
      <c r="AE111" s="365">
        <v>0</v>
      </c>
      <c r="AF111" s="375">
        <v>2245958.6489792326</v>
      </c>
      <c r="AH111" s="365">
        <v>0</v>
      </c>
      <c r="AI111" s="370">
        <v>0</v>
      </c>
      <c r="AJ111" s="370">
        <v>0</v>
      </c>
      <c r="AK111" s="375">
        <v>2245958.6489792326</v>
      </c>
      <c r="AM111" s="365">
        <v>0</v>
      </c>
      <c r="AN111" s="370">
        <v>0</v>
      </c>
      <c r="AO111" s="370">
        <v>0</v>
      </c>
      <c r="AP111" s="375">
        <v>2245958.6489792326</v>
      </c>
      <c r="AR111" s="365">
        <v>0</v>
      </c>
      <c r="AS111" s="375">
        <v>2245958.6489792326</v>
      </c>
      <c r="AU111" s="378">
        <v>1800000</v>
      </c>
      <c r="AV111" s="379">
        <v>1800000</v>
      </c>
      <c r="AW111" s="380">
        <v>1800000</v>
      </c>
      <c r="AX111" s="381">
        <v>445958.64897923265</v>
      </c>
      <c r="AZ111" s="365">
        <v>0</v>
      </c>
      <c r="BA111" s="370">
        <v>0</v>
      </c>
      <c r="BB111" s="370">
        <v>0</v>
      </c>
      <c r="BC111" s="375">
        <v>445958.64897923265</v>
      </c>
      <c r="BE111" s="365">
        <v>0</v>
      </c>
      <c r="BF111" s="370">
        <v>0</v>
      </c>
      <c r="BG111" s="370">
        <v>0</v>
      </c>
      <c r="BH111" s="375">
        <v>445958.64897923265</v>
      </c>
      <c r="BJ111" s="365">
        <v>0</v>
      </c>
      <c r="BK111" s="370">
        <v>0</v>
      </c>
      <c r="BL111" s="370">
        <v>0</v>
      </c>
      <c r="BM111" s="375">
        <v>445958.64897923265</v>
      </c>
      <c r="BO111" s="365">
        <v>0</v>
      </c>
      <c r="BP111" s="370">
        <v>0</v>
      </c>
      <c r="BQ111" s="370">
        <v>0</v>
      </c>
      <c r="BR111" s="375">
        <v>445958.64897923265</v>
      </c>
      <c r="BT111" s="365">
        <v>0</v>
      </c>
      <c r="BU111" s="370">
        <v>0</v>
      </c>
      <c r="BV111" s="370">
        <v>0</v>
      </c>
      <c r="BW111" s="375">
        <v>445958.64897923265</v>
      </c>
      <c r="BY111" s="365">
        <v>379064.85163234774</v>
      </c>
      <c r="BZ111" s="373">
        <v>56584700.795538187</v>
      </c>
      <c r="CA111" s="375">
        <v>66893.797346884909</v>
      </c>
      <c r="CC111" s="365">
        <v>0</v>
      </c>
      <c r="CD111" s="375">
        <v>0</v>
      </c>
      <c r="CF111" s="365">
        <v>0</v>
      </c>
      <c r="CG111" s="375">
        <v>0</v>
      </c>
      <c r="CI111" s="365">
        <v>66893.797346884894</v>
      </c>
      <c r="CJ111" s="375">
        <v>379064.85163234774</v>
      </c>
    </row>
    <row r="112" spans="4:88">
      <c r="G112" s="417">
        <v>108</v>
      </c>
      <c r="H112" s="251">
        <v>0</v>
      </c>
      <c r="I112" s="377">
        <v>1</v>
      </c>
      <c r="J112" s="368">
        <v>0</v>
      </c>
      <c r="K112" s="368">
        <v>4972843.9899043636</v>
      </c>
      <c r="L112" s="369">
        <v>2663547.0579373115</v>
      </c>
      <c r="N112" s="367">
        <v>2309296.9319670522</v>
      </c>
      <c r="O112" s="370">
        <v>0</v>
      </c>
      <c r="P112" s="370">
        <v>0</v>
      </c>
      <c r="Q112" s="370">
        <v>0</v>
      </c>
      <c r="R112" s="370">
        <v>0</v>
      </c>
      <c r="S112" s="370">
        <v>0</v>
      </c>
      <c r="T112" s="379">
        <v>63626400</v>
      </c>
      <c r="U112" s="371">
        <v>0</v>
      </c>
      <c r="V112" s="371">
        <v>1803000</v>
      </c>
      <c r="W112" s="372">
        <v>4112296.9319670522</v>
      </c>
      <c r="X112" s="41"/>
      <c r="Y112" s="365">
        <v>0</v>
      </c>
      <c r="Z112" s="370">
        <v>0</v>
      </c>
      <c r="AA112" s="370">
        <v>0</v>
      </c>
      <c r="AB112" s="375">
        <v>4112296.9319670522</v>
      </c>
      <c r="AC112" s="41"/>
      <c r="AD112" s="449">
        <v>0</v>
      </c>
      <c r="AE112" s="365">
        <v>0</v>
      </c>
      <c r="AF112" s="375">
        <v>2309296.9319670522</v>
      </c>
      <c r="AH112" s="365">
        <v>0</v>
      </c>
      <c r="AI112" s="370">
        <v>0</v>
      </c>
      <c r="AJ112" s="370">
        <v>0</v>
      </c>
      <c r="AK112" s="375">
        <v>2309296.9319670522</v>
      </c>
      <c r="AM112" s="365">
        <v>0</v>
      </c>
      <c r="AN112" s="370">
        <v>0</v>
      </c>
      <c r="AO112" s="370">
        <v>0</v>
      </c>
      <c r="AP112" s="375">
        <v>2309296.9319670522</v>
      </c>
      <c r="AR112" s="365">
        <v>0</v>
      </c>
      <c r="AS112" s="375">
        <v>2309296.9319670522</v>
      </c>
      <c r="AU112" s="378">
        <v>1800000</v>
      </c>
      <c r="AV112" s="379">
        <v>-3000</v>
      </c>
      <c r="AW112" s="380">
        <v>1800000</v>
      </c>
      <c r="AX112" s="381">
        <v>2312296.9319670522</v>
      </c>
      <c r="AZ112" s="365">
        <v>0</v>
      </c>
      <c r="BA112" s="370">
        <v>0</v>
      </c>
      <c r="BB112" s="370">
        <v>0</v>
      </c>
      <c r="BC112" s="375">
        <v>2312296.9319670522</v>
      </c>
      <c r="BE112" s="365">
        <v>0</v>
      </c>
      <c r="BF112" s="370">
        <v>0</v>
      </c>
      <c r="BG112" s="370">
        <v>0</v>
      </c>
      <c r="BH112" s="375">
        <v>2312296.9319670522</v>
      </c>
      <c r="BJ112" s="365">
        <v>0</v>
      </c>
      <c r="BK112" s="370">
        <v>0</v>
      </c>
      <c r="BL112" s="370">
        <v>0</v>
      </c>
      <c r="BM112" s="375">
        <v>2312296.9319670522</v>
      </c>
      <c r="BO112" s="365">
        <v>0</v>
      </c>
      <c r="BP112" s="370">
        <v>0</v>
      </c>
      <c r="BQ112" s="370">
        <v>0</v>
      </c>
      <c r="BR112" s="375">
        <v>2312296.9319670522</v>
      </c>
      <c r="BT112" s="365">
        <v>0</v>
      </c>
      <c r="BU112" s="370">
        <v>0</v>
      </c>
      <c r="BV112" s="370">
        <v>0</v>
      </c>
      <c r="BW112" s="375">
        <v>2312296.9319670522</v>
      </c>
      <c r="BY112" s="365">
        <v>1965452.3921719943</v>
      </c>
      <c r="BZ112" s="373">
        <v>58550153.187710181</v>
      </c>
      <c r="CA112" s="375">
        <v>346844.53979505785</v>
      </c>
      <c r="CC112" s="365">
        <v>0</v>
      </c>
      <c r="CD112" s="375">
        <v>0</v>
      </c>
      <c r="CF112" s="365">
        <v>0</v>
      </c>
      <c r="CG112" s="375">
        <v>0</v>
      </c>
      <c r="CI112" s="365">
        <v>346844.53979505779</v>
      </c>
      <c r="CJ112" s="375">
        <v>1965452.3921719943</v>
      </c>
    </row>
    <row r="113" spans="5:88">
      <c r="G113" s="417">
        <v>109</v>
      </c>
      <c r="H113" s="251">
        <v>0</v>
      </c>
      <c r="I113" s="377">
        <v>0</v>
      </c>
      <c r="J113" s="368">
        <v>0</v>
      </c>
      <c r="K113" s="368">
        <v>5272860.3834547764</v>
      </c>
      <c r="L113" s="369">
        <v>2665031.4886764153</v>
      </c>
      <c r="N113" s="367">
        <v>2607828.8947783611</v>
      </c>
      <c r="O113" s="370">
        <v>0</v>
      </c>
      <c r="P113" s="370">
        <v>0</v>
      </c>
      <c r="Q113" s="370">
        <v>0</v>
      </c>
      <c r="R113" s="370">
        <v>0</v>
      </c>
      <c r="S113" s="370">
        <v>0</v>
      </c>
      <c r="T113" s="379">
        <v>63626400</v>
      </c>
      <c r="U113" s="371">
        <v>0</v>
      </c>
      <c r="V113" s="371">
        <v>1803000</v>
      </c>
      <c r="W113" s="372">
        <v>4410828.8947783615</v>
      </c>
      <c r="X113" s="41"/>
      <c r="Y113" s="365">
        <v>0</v>
      </c>
      <c r="Z113" s="370">
        <v>0</v>
      </c>
      <c r="AA113" s="370">
        <v>0</v>
      </c>
      <c r="AB113" s="375">
        <v>4410828.8947783615</v>
      </c>
      <c r="AC113" s="41"/>
      <c r="AD113" s="449">
        <v>0</v>
      </c>
      <c r="AE113" s="365">
        <v>0</v>
      </c>
      <c r="AF113" s="375">
        <v>2607828.8947783615</v>
      </c>
      <c r="AH113" s="365">
        <v>0</v>
      </c>
      <c r="AI113" s="370">
        <v>0</v>
      </c>
      <c r="AJ113" s="370">
        <v>0</v>
      </c>
      <c r="AK113" s="375">
        <v>2607828.8947783615</v>
      </c>
      <c r="AM113" s="365">
        <v>0</v>
      </c>
      <c r="AN113" s="370">
        <v>0</v>
      </c>
      <c r="AO113" s="370">
        <v>0</v>
      </c>
      <c r="AP113" s="375">
        <v>2607828.8947783615</v>
      </c>
      <c r="AR113" s="365">
        <v>0</v>
      </c>
      <c r="AS113" s="375">
        <v>2607828.8947783615</v>
      </c>
      <c r="AU113" s="378">
        <v>1800000</v>
      </c>
      <c r="AV113" s="379">
        <v>-3000</v>
      </c>
      <c r="AW113" s="380">
        <v>1800000</v>
      </c>
      <c r="AX113" s="381">
        <v>2610828.8947783615</v>
      </c>
      <c r="AZ113" s="365">
        <v>0</v>
      </c>
      <c r="BA113" s="370">
        <v>0</v>
      </c>
      <c r="BB113" s="370">
        <v>0</v>
      </c>
      <c r="BC113" s="375">
        <v>2610828.8947783615</v>
      </c>
      <c r="BE113" s="365">
        <v>0</v>
      </c>
      <c r="BF113" s="370">
        <v>0</v>
      </c>
      <c r="BG113" s="370">
        <v>0</v>
      </c>
      <c r="BH113" s="375">
        <v>2610828.8947783615</v>
      </c>
      <c r="BJ113" s="365">
        <v>0</v>
      </c>
      <c r="BK113" s="370">
        <v>0</v>
      </c>
      <c r="BL113" s="370">
        <v>0</v>
      </c>
      <c r="BM113" s="375">
        <v>2610828.8947783615</v>
      </c>
      <c r="BO113" s="365">
        <v>0</v>
      </c>
      <c r="BP113" s="370">
        <v>0</v>
      </c>
      <c r="BQ113" s="370">
        <v>0</v>
      </c>
      <c r="BR113" s="375">
        <v>2610828.8947783615</v>
      </c>
      <c r="BT113" s="365">
        <v>0</v>
      </c>
      <c r="BU113" s="370">
        <v>0</v>
      </c>
      <c r="BV113" s="370">
        <v>0</v>
      </c>
      <c r="BW113" s="375">
        <v>2610828.8947783615</v>
      </c>
      <c r="BY113" s="365">
        <v>2219204.5605616071</v>
      </c>
      <c r="BZ113" s="373">
        <v>60769357.748271786</v>
      </c>
      <c r="CA113" s="375">
        <v>391624.33421675442</v>
      </c>
      <c r="CC113" s="365">
        <v>0</v>
      </c>
      <c r="CD113" s="375">
        <v>0</v>
      </c>
      <c r="CF113" s="365">
        <v>0</v>
      </c>
      <c r="CG113" s="375">
        <v>0</v>
      </c>
      <c r="CI113" s="365">
        <v>391624.33421675424</v>
      </c>
      <c r="CJ113" s="375">
        <v>2219204.5605616071</v>
      </c>
    </row>
    <row r="114" spans="5:88">
      <c r="G114" s="417">
        <v>110</v>
      </c>
      <c r="H114" s="251">
        <v>0</v>
      </c>
      <c r="I114" s="377">
        <v>0</v>
      </c>
      <c r="J114" s="368">
        <v>0</v>
      </c>
      <c r="K114" s="368">
        <v>5272860.3834547764</v>
      </c>
      <c r="L114" s="369">
        <v>2666516.7467088131</v>
      </c>
      <c r="N114" s="367">
        <v>2606343.6367459632</v>
      </c>
      <c r="O114" s="370">
        <v>0</v>
      </c>
      <c r="P114" s="370">
        <v>0</v>
      </c>
      <c r="Q114" s="370">
        <v>0</v>
      </c>
      <c r="R114" s="370">
        <v>0</v>
      </c>
      <c r="S114" s="370">
        <v>0</v>
      </c>
      <c r="T114" s="379">
        <v>63626400</v>
      </c>
      <c r="U114" s="371">
        <v>0</v>
      </c>
      <c r="V114" s="371">
        <v>1803000</v>
      </c>
      <c r="W114" s="372">
        <v>4409343.6367459632</v>
      </c>
      <c r="X114" s="41"/>
      <c r="Y114" s="365">
        <v>0</v>
      </c>
      <c r="Z114" s="370">
        <v>0</v>
      </c>
      <c r="AA114" s="370">
        <v>0</v>
      </c>
      <c r="AB114" s="375">
        <v>4409343.6367459632</v>
      </c>
      <c r="AC114" s="41"/>
      <c r="AD114" s="449">
        <v>0</v>
      </c>
      <c r="AE114" s="365">
        <v>0</v>
      </c>
      <c r="AF114" s="375">
        <v>2606343.6367459632</v>
      </c>
      <c r="AH114" s="365">
        <v>0</v>
      </c>
      <c r="AI114" s="370">
        <v>0</v>
      </c>
      <c r="AJ114" s="370">
        <v>0</v>
      </c>
      <c r="AK114" s="375">
        <v>2606343.6367459632</v>
      </c>
      <c r="AM114" s="365">
        <v>0</v>
      </c>
      <c r="AN114" s="370">
        <v>0</v>
      </c>
      <c r="AO114" s="370">
        <v>0</v>
      </c>
      <c r="AP114" s="375">
        <v>2606343.6367459632</v>
      </c>
      <c r="AR114" s="365">
        <v>0</v>
      </c>
      <c r="AS114" s="375">
        <v>2606343.6367459632</v>
      </c>
      <c r="AU114" s="378">
        <v>1800000</v>
      </c>
      <c r="AV114" s="379">
        <v>-3000</v>
      </c>
      <c r="AW114" s="380">
        <v>1800000</v>
      </c>
      <c r="AX114" s="381">
        <v>2609343.6367459632</v>
      </c>
      <c r="AZ114" s="365">
        <v>0</v>
      </c>
      <c r="BA114" s="370">
        <v>0</v>
      </c>
      <c r="BB114" s="370">
        <v>0</v>
      </c>
      <c r="BC114" s="375">
        <v>2609343.6367459632</v>
      </c>
      <c r="BE114" s="365">
        <v>0</v>
      </c>
      <c r="BF114" s="370">
        <v>0</v>
      </c>
      <c r="BG114" s="370">
        <v>0</v>
      </c>
      <c r="BH114" s="375">
        <v>2609343.6367459632</v>
      </c>
      <c r="BJ114" s="365">
        <v>0</v>
      </c>
      <c r="BK114" s="370">
        <v>0</v>
      </c>
      <c r="BL114" s="370">
        <v>0</v>
      </c>
      <c r="BM114" s="375">
        <v>2609343.6367459632</v>
      </c>
      <c r="BO114" s="365">
        <v>0</v>
      </c>
      <c r="BP114" s="370">
        <v>0</v>
      </c>
      <c r="BQ114" s="370">
        <v>0</v>
      </c>
      <c r="BR114" s="375">
        <v>2609343.6367459632</v>
      </c>
      <c r="BT114" s="365">
        <v>0</v>
      </c>
      <c r="BU114" s="370">
        <v>0</v>
      </c>
      <c r="BV114" s="370">
        <v>0</v>
      </c>
      <c r="BW114" s="375">
        <v>2609343.6367459632</v>
      </c>
      <c r="BY114" s="365">
        <v>2217942.0912340689</v>
      </c>
      <c r="BZ114" s="373">
        <v>62987299.839505851</v>
      </c>
      <c r="CA114" s="375">
        <v>391401.54551189439</v>
      </c>
      <c r="CC114" s="365">
        <v>0</v>
      </c>
      <c r="CD114" s="375">
        <v>0</v>
      </c>
      <c r="CF114" s="365">
        <v>0</v>
      </c>
      <c r="CG114" s="375">
        <v>0</v>
      </c>
      <c r="CI114" s="365">
        <v>391401.54551189445</v>
      </c>
      <c r="CJ114" s="375">
        <v>2217942.0912340689</v>
      </c>
    </row>
    <row r="115" spans="5:88">
      <c r="G115" s="417">
        <v>111</v>
      </c>
      <c r="H115" s="251">
        <v>0</v>
      </c>
      <c r="I115" s="377">
        <v>0</v>
      </c>
      <c r="J115" s="368">
        <v>0</v>
      </c>
      <c r="K115" s="368">
        <v>5272860.3834547764</v>
      </c>
      <c r="L115" s="369">
        <v>2668002.8324955665</v>
      </c>
      <c r="N115" s="367">
        <v>2604857.5509592099</v>
      </c>
      <c r="O115" s="370">
        <v>0</v>
      </c>
      <c r="P115" s="370">
        <v>0</v>
      </c>
      <c r="Q115" s="370">
        <v>0</v>
      </c>
      <c r="R115" s="370">
        <v>0</v>
      </c>
      <c r="S115" s="370">
        <v>0</v>
      </c>
      <c r="T115" s="379">
        <v>63626400</v>
      </c>
      <c r="U115" s="371">
        <v>0</v>
      </c>
      <c r="V115" s="371">
        <v>1803000</v>
      </c>
      <c r="W115" s="372">
        <v>4407857.5509592099</v>
      </c>
      <c r="X115" s="41"/>
      <c r="Y115" s="365">
        <v>1800000</v>
      </c>
      <c r="Z115" s="370">
        <v>1800000</v>
      </c>
      <c r="AA115" s="370">
        <v>0</v>
      </c>
      <c r="AB115" s="375">
        <v>2607857.5509592099</v>
      </c>
      <c r="AC115" s="41"/>
      <c r="AD115" s="449">
        <v>1800000</v>
      </c>
      <c r="AE115" s="365">
        <v>0</v>
      </c>
      <c r="AF115" s="375">
        <v>804857.55095920991</v>
      </c>
      <c r="AH115" s="365">
        <v>0</v>
      </c>
      <c r="AI115" s="370">
        <v>0</v>
      </c>
      <c r="AJ115" s="370">
        <v>0</v>
      </c>
      <c r="AK115" s="375">
        <v>804857.55095920991</v>
      </c>
      <c r="AM115" s="365">
        <v>0</v>
      </c>
      <c r="AN115" s="370">
        <v>0</v>
      </c>
      <c r="AO115" s="370">
        <v>0</v>
      </c>
      <c r="AP115" s="375">
        <v>804857.55095920991</v>
      </c>
      <c r="AR115" s="365">
        <v>0</v>
      </c>
      <c r="AS115" s="375">
        <v>804857.55095920991</v>
      </c>
      <c r="AU115" s="378">
        <v>0</v>
      </c>
      <c r="AV115" s="379">
        <v>-1803000</v>
      </c>
      <c r="AW115" s="380">
        <v>0</v>
      </c>
      <c r="AX115" s="381">
        <v>2607857.5509592099</v>
      </c>
      <c r="AZ115" s="365">
        <v>0</v>
      </c>
      <c r="BA115" s="370">
        <v>0</v>
      </c>
      <c r="BB115" s="370">
        <v>0</v>
      </c>
      <c r="BC115" s="375">
        <v>2607857.5509592099</v>
      </c>
      <c r="BE115" s="365">
        <v>0</v>
      </c>
      <c r="BF115" s="370">
        <v>0</v>
      </c>
      <c r="BG115" s="370">
        <v>0</v>
      </c>
      <c r="BH115" s="375">
        <v>2607857.5509592099</v>
      </c>
      <c r="BJ115" s="365">
        <v>0</v>
      </c>
      <c r="BK115" s="370">
        <v>0</v>
      </c>
      <c r="BL115" s="370">
        <v>0</v>
      </c>
      <c r="BM115" s="375">
        <v>2607857.5509592099</v>
      </c>
      <c r="BO115" s="365">
        <v>0</v>
      </c>
      <c r="BP115" s="370">
        <v>0</v>
      </c>
      <c r="BQ115" s="370">
        <v>0</v>
      </c>
      <c r="BR115" s="375">
        <v>2607857.5509592099</v>
      </c>
      <c r="BT115" s="365">
        <v>0</v>
      </c>
      <c r="BU115" s="370">
        <v>0</v>
      </c>
      <c r="BV115" s="370">
        <v>0</v>
      </c>
      <c r="BW115" s="375">
        <v>2607857.5509592099</v>
      </c>
      <c r="BY115" s="365">
        <v>2216678.9183153282</v>
      </c>
      <c r="BZ115" s="373">
        <v>65203978.75782118</v>
      </c>
      <c r="CA115" s="375">
        <v>391178.63264388172</v>
      </c>
      <c r="CC115" s="365">
        <v>0</v>
      </c>
      <c r="CD115" s="375">
        <v>0</v>
      </c>
      <c r="CF115" s="365">
        <v>0</v>
      </c>
      <c r="CG115" s="375">
        <v>0</v>
      </c>
      <c r="CI115" s="365">
        <v>391178.63264388149</v>
      </c>
      <c r="CJ115" s="375">
        <v>2216678.9183153282</v>
      </c>
    </row>
    <row r="116" spans="5:88">
      <c r="G116" s="417">
        <v>112</v>
      </c>
      <c r="H116" s="251">
        <v>0</v>
      </c>
      <c r="I116" s="377">
        <v>1</v>
      </c>
      <c r="J116" s="368">
        <v>0</v>
      </c>
      <c r="K116" s="368">
        <v>5014750.667434915</v>
      </c>
      <c r="L116" s="369">
        <v>2669489.7464979943</v>
      </c>
      <c r="N116" s="367">
        <v>2345260.9209369207</v>
      </c>
      <c r="O116" s="370">
        <v>0</v>
      </c>
      <c r="P116" s="370">
        <v>0</v>
      </c>
      <c r="Q116" s="370">
        <v>0</v>
      </c>
      <c r="R116" s="370">
        <v>0</v>
      </c>
      <c r="S116" s="370">
        <v>0</v>
      </c>
      <c r="T116" s="379">
        <v>63626400</v>
      </c>
      <c r="U116" s="371">
        <v>0</v>
      </c>
      <c r="V116" s="371">
        <v>0</v>
      </c>
      <c r="W116" s="372">
        <v>2345260.9209369207</v>
      </c>
      <c r="X116" s="41"/>
      <c r="Y116" s="365">
        <v>0</v>
      </c>
      <c r="Z116" s="370">
        <v>0</v>
      </c>
      <c r="AA116" s="370">
        <v>0</v>
      </c>
      <c r="AB116" s="375">
        <v>2345260.9209369207</v>
      </c>
      <c r="AC116" s="41"/>
      <c r="AD116" s="449">
        <v>0</v>
      </c>
      <c r="AE116" s="365">
        <v>0</v>
      </c>
      <c r="AF116" s="375">
        <v>2345260.9209369207</v>
      </c>
      <c r="AH116" s="365">
        <v>0</v>
      </c>
      <c r="AI116" s="370">
        <v>0</v>
      </c>
      <c r="AJ116" s="370">
        <v>0</v>
      </c>
      <c r="AK116" s="375">
        <v>2345260.9209369207</v>
      </c>
      <c r="AM116" s="365">
        <v>0</v>
      </c>
      <c r="AN116" s="370">
        <v>0</v>
      </c>
      <c r="AO116" s="370">
        <v>0</v>
      </c>
      <c r="AP116" s="375">
        <v>2345260.9209369207</v>
      </c>
      <c r="AR116" s="365">
        <v>0</v>
      </c>
      <c r="AS116" s="375">
        <v>2345260.9209369207</v>
      </c>
      <c r="AU116" s="378">
        <v>0</v>
      </c>
      <c r="AV116" s="379">
        <v>0</v>
      </c>
      <c r="AW116" s="380">
        <v>0</v>
      </c>
      <c r="AX116" s="381">
        <v>2345260.9209369207</v>
      </c>
      <c r="AZ116" s="365">
        <v>0</v>
      </c>
      <c r="BA116" s="370">
        <v>0</v>
      </c>
      <c r="BB116" s="370">
        <v>0</v>
      </c>
      <c r="BC116" s="375">
        <v>2345260.9209369207</v>
      </c>
      <c r="BE116" s="365">
        <v>0</v>
      </c>
      <c r="BF116" s="370">
        <v>0</v>
      </c>
      <c r="BG116" s="370">
        <v>0</v>
      </c>
      <c r="BH116" s="375">
        <v>2345260.9209369207</v>
      </c>
      <c r="BJ116" s="365">
        <v>0</v>
      </c>
      <c r="BK116" s="370">
        <v>0</v>
      </c>
      <c r="BL116" s="370">
        <v>0</v>
      </c>
      <c r="BM116" s="375">
        <v>2345260.9209369207</v>
      </c>
      <c r="BO116" s="365">
        <v>0</v>
      </c>
      <c r="BP116" s="370">
        <v>0</v>
      </c>
      <c r="BQ116" s="370">
        <v>0</v>
      </c>
      <c r="BR116" s="375">
        <v>2345260.9209369207</v>
      </c>
      <c r="BT116" s="365">
        <v>0</v>
      </c>
      <c r="BU116" s="370">
        <v>0</v>
      </c>
      <c r="BV116" s="370">
        <v>0</v>
      </c>
      <c r="BW116" s="375">
        <v>2345260.9209369207</v>
      </c>
      <c r="BY116" s="365">
        <v>1993471.7827963824</v>
      </c>
      <c r="BZ116" s="373">
        <v>67197450.540617555</v>
      </c>
      <c r="CA116" s="375">
        <v>351789.13814053824</v>
      </c>
      <c r="CC116" s="365">
        <v>0</v>
      </c>
      <c r="CD116" s="375">
        <v>0</v>
      </c>
      <c r="CF116" s="365">
        <v>0</v>
      </c>
      <c r="CG116" s="375">
        <v>0</v>
      </c>
      <c r="CI116" s="365">
        <v>351789.13814053807</v>
      </c>
      <c r="CJ116" s="375">
        <v>1993471.7827963824</v>
      </c>
    </row>
    <row r="117" spans="5:88">
      <c r="G117" s="417">
        <v>113</v>
      </c>
      <c r="H117" s="251">
        <v>0</v>
      </c>
      <c r="I117" s="377">
        <v>0</v>
      </c>
      <c r="J117" s="368">
        <v>0</v>
      </c>
      <c r="K117" s="368">
        <v>5274201.2936216798</v>
      </c>
      <c r="L117" s="369">
        <v>2670977.4891776717</v>
      </c>
      <c r="N117" s="367">
        <v>2603223.804444008</v>
      </c>
      <c r="O117" s="370">
        <v>0</v>
      </c>
      <c r="P117" s="370">
        <v>0</v>
      </c>
      <c r="Q117" s="370">
        <v>0</v>
      </c>
      <c r="R117" s="370">
        <v>0</v>
      </c>
      <c r="S117" s="370">
        <v>0</v>
      </c>
      <c r="T117" s="379">
        <v>63626400</v>
      </c>
      <c r="U117" s="371">
        <v>0</v>
      </c>
      <c r="V117" s="371">
        <v>0</v>
      </c>
      <c r="W117" s="372">
        <v>2603223.804444008</v>
      </c>
      <c r="X117" s="41"/>
      <c r="Y117" s="365">
        <v>0</v>
      </c>
      <c r="Z117" s="370">
        <v>0</v>
      </c>
      <c r="AA117" s="370">
        <v>0</v>
      </c>
      <c r="AB117" s="375">
        <v>2603223.804444008</v>
      </c>
      <c r="AC117" s="41"/>
      <c r="AD117" s="449">
        <v>0</v>
      </c>
      <c r="AE117" s="365">
        <v>0</v>
      </c>
      <c r="AF117" s="375">
        <v>2603223.804444008</v>
      </c>
      <c r="AH117" s="365">
        <v>0</v>
      </c>
      <c r="AI117" s="370">
        <v>0</v>
      </c>
      <c r="AJ117" s="370">
        <v>0</v>
      </c>
      <c r="AK117" s="375">
        <v>2603223.804444008</v>
      </c>
      <c r="AM117" s="365">
        <v>0</v>
      </c>
      <c r="AN117" s="370">
        <v>0</v>
      </c>
      <c r="AO117" s="370">
        <v>0</v>
      </c>
      <c r="AP117" s="375">
        <v>2603223.804444008</v>
      </c>
      <c r="AR117" s="365">
        <v>0</v>
      </c>
      <c r="AS117" s="375">
        <v>2603223.804444008</v>
      </c>
      <c r="AU117" s="378">
        <v>950000</v>
      </c>
      <c r="AV117" s="379">
        <v>950000</v>
      </c>
      <c r="AW117" s="380">
        <v>950000</v>
      </c>
      <c r="AX117" s="381">
        <v>1653223.804444008</v>
      </c>
      <c r="AZ117" s="365">
        <v>0</v>
      </c>
      <c r="BA117" s="370">
        <v>0</v>
      </c>
      <c r="BB117" s="370">
        <v>0</v>
      </c>
      <c r="BC117" s="375">
        <v>1653223.804444008</v>
      </c>
      <c r="BE117" s="365">
        <v>0</v>
      </c>
      <c r="BF117" s="370">
        <v>0</v>
      </c>
      <c r="BG117" s="370">
        <v>0</v>
      </c>
      <c r="BH117" s="375">
        <v>1653223.804444008</v>
      </c>
      <c r="BJ117" s="365">
        <v>0</v>
      </c>
      <c r="BK117" s="370">
        <v>0</v>
      </c>
      <c r="BL117" s="370">
        <v>0</v>
      </c>
      <c r="BM117" s="375">
        <v>1653223.804444008</v>
      </c>
      <c r="BO117" s="365">
        <v>0</v>
      </c>
      <c r="BP117" s="370">
        <v>0</v>
      </c>
      <c r="BQ117" s="370">
        <v>0</v>
      </c>
      <c r="BR117" s="375">
        <v>1653223.804444008</v>
      </c>
      <c r="BT117" s="365">
        <v>0</v>
      </c>
      <c r="BU117" s="370">
        <v>0</v>
      </c>
      <c r="BV117" s="370">
        <v>0</v>
      </c>
      <c r="BW117" s="375">
        <v>1653223.804444008</v>
      </c>
      <c r="BY117" s="365">
        <v>1405240.2337774069</v>
      </c>
      <c r="BZ117" s="373">
        <v>68602690.774394959</v>
      </c>
      <c r="CA117" s="375">
        <v>247983.57066660118</v>
      </c>
      <c r="CC117" s="365">
        <v>0</v>
      </c>
      <c r="CD117" s="375">
        <v>0</v>
      </c>
      <c r="CF117" s="365">
        <v>0</v>
      </c>
      <c r="CG117" s="375">
        <v>0</v>
      </c>
      <c r="CI117" s="365">
        <v>247983.57066660118</v>
      </c>
      <c r="CJ117" s="375">
        <v>1405240.2337774069</v>
      </c>
    </row>
    <row r="118" spans="5:88">
      <c r="E118" s="96"/>
      <c r="F118" s="404"/>
      <c r="G118" s="417">
        <v>114</v>
      </c>
      <c r="H118" s="251">
        <v>0</v>
      </c>
      <c r="I118" s="377">
        <v>1</v>
      </c>
      <c r="J118" s="368">
        <v>0</v>
      </c>
      <c r="K118" s="368">
        <v>4946794.7473194823</v>
      </c>
      <c r="L118" s="369">
        <v>2672466.0609964328</v>
      </c>
      <c r="N118" s="367">
        <v>2274328.6863230495</v>
      </c>
      <c r="O118" s="370">
        <v>0</v>
      </c>
      <c r="P118" s="370">
        <v>0</v>
      </c>
      <c r="Q118" s="370">
        <v>0</v>
      </c>
      <c r="R118" s="370">
        <v>0</v>
      </c>
      <c r="S118" s="370">
        <v>0</v>
      </c>
      <c r="T118" s="379">
        <v>63626400</v>
      </c>
      <c r="U118" s="371">
        <v>0</v>
      </c>
      <c r="V118" s="371">
        <v>951583.33333333337</v>
      </c>
      <c r="W118" s="372">
        <v>3225912.019656383</v>
      </c>
      <c r="X118" s="41"/>
      <c r="Y118" s="365">
        <v>0</v>
      </c>
      <c r="Z118" s="370">
        <v>0</v>
      </c>
      <c r="AA118" s="370">
        <v>0</v>
      </c>
      <c r="AB118" s="375">
        <v>3225912.019656383</v>
      </c>
      <c r="AC118" s="41"/>
      <c r="AD118" s="449">
        <v>0</v>
      </c>
      <c r="AE118" s="365">
        <v>0</v>
      </c>
      <c r="AF118" s="375">
        <v>2274328.6863230495</v>
      </c>
      <c r="AH118" s="365">
        <v>0</v>
      </c>
      <c r="AI118" s="370">
        <v>0</v>
      </c>
      <c r="AJ118" s="370">
        <v>0</v>
      </c>
      <c r="AK118" s="375">
        <v>2274328.6863230495</v>
      </c>
      <c r="AM118" s="365">
        <v>0</v>
      </c>
      <c r="AN118" s="370">
        <v>0</v>
      </c>
      <c r="AO118" s="370">
        <v>0</v>
      </c>
      <c r="AP118" s="375">
        <v>2274328.6863230495</v>
      </c>
      <c r="AR118" s="365">
        <v>0</v>
      </c>
      <c r="AS118" s="375">
        <v>2274328.6863230495</v>
      </c>
      <c r="AU118" s="378">
        <v>950000</v>
      </c>
      <c r="AV118" s="379">
        <v>-1583.3333333333721</v>
      </c>
      <c r="AW118" s="380">
        <v>950000</v>
      </c>
      <c r="AX118" s="381">
        <v>2275912.019656383</v>
      </c>
      <c r="AZ118" s="365">
        <v>0</v>
      </c>
      <c r="BA118" s="370">
        <v>0</v>
      </c>
      <c r="BB118" s="370">
        <v>0</v>
      </c>
      <c r="BC118" s="375">
        <v>2275912.019656383</v>
      </c>
      <c r="BE118" s="365">
        <v>0</v>
      </c>
      <c r="BF118" s="370">
        <v>0</v>
      </c>
      <c r="BG118" s="370">
        <v>0</v>
      </c>
      <c r="BH118" s="375">
        <v>2275912.019656383</v>
      </c>
      <c r="BJ118" s="365">
        <v>0</v>
      </c>
      <c r="BK118" s="370">
        <v>0</v>
      </c>
      <c r="BL118" s="370">
        <v>0</v>
      </c>
      <c r="BM118" s="375">
        <v>2275912.019656383</v>
      </c>
      <c r="BO118" s="365">
        <v>0</v>
      </c>
      <c r="BP118" s="370">
        <v>0</v>
      </c>
      <c r="BQ118" s="370">
        <v>0</v>
      </c>
      <c r="BR118" s="375">
        <v>2275912.019656383</v>
      </c>
      <c r="BT118" s="365">
        <v>0</v>
      </c>
      <c r="BU118" s="370">
        <v>0</v>
      </c>
      <c r="BV118" s="370">
        <v>0</v>
      </c>
      <c r="BW118" s="375">
        <v>2275912.019656383</v>
      </c>
      <c r="BY118" s="365">
        <v>1934525.2167079255</v>
      </c>
      <c r="BZ118" s="373">
        <v>70537215.991102889</v>
      </c>
      <c r="CA118" s="375">
        <v>341386.80294845742</v>
      </c>
      <c r="CC118" s="365">
        <v>0</v>
      </c>
      <c r="CD118" s="375">
        <v>0</v>
      </c>
      <c r="CF118" s="365">
        <v>0</v>
      </c>
      <c r="CG118" s="375">
        <v>0</v>
      </c>
      <c r="CI118" s="365">
        <v>341386.80294845742</v>
      </c>
      <c r="CJ118" s="375">
        <v>1934525.2167079255</v>
      </c>
    </row>
    <row r="119" spans="5:88">
      <c r="G119" s="417">
        <v>115</v>
      </c>
      <c r="H119" s="251">
        <v>0</v>
      </c>
      <c r="I119" s="377">
        <v>0</v>
      </c>
      <c r="J119" s="368">
        <v>0</v>
      </c>
      <c r="K119" s="368">
        <v>5279331.2582418108</v>
      </c>
      <c r="L119" s="369">
        <v>2673955.4624163671</v>
      </c>
      <c r="N119" s="367">
        <v>2605375.7958254437</v>
      </c>
      <c r="O119" s="370">
        <v>0</v>
      </c>
      <c r="P119" s="370">
        <v>0</v>
      </c>
      <c r="Q119" s="370">
        <v>0</v>
      </c>
      <c r="R119" s="370">
        <v>0</v>
      </c>
      <c r="S119" s="370">
        <v>0</v>
      </c>
      <c r="T119" s="379">
        <v>63626400</v>
      </c>
      <c r="U119" s="371">
        <v>0</v>
      </c>
      <c r="V119" s="371">
        <v>951583.33333333337</v>
      </c>
      <c r="W119" s="372">
        <v>3556959.1291587772</v>
      </c>
      <c r="X119" s="41"/>
      <c r="Y119" s="365">
        <v>0</v>
      </c>
      <c r="Z119" s="370">
        <v>0</v>
      </c>
      <c r="AA119" s="370">
        <v>0</v>
      </c>
      <c r="AB119" s="375">
        <v>3556959.1291587772</v>
      </c>
      <c r="AC119" s="41"/>
      <c r="AD119" s="449">
        <v>0</v>
      </c>
      <c r="AE119" s="365">
        <v>0</v>
      </c>
      <c r="AF119" s="375">
        <v>2605375.7958254437</v>
      </c>
      <c r="AH119" s="365">
        <v>0</v>
      </c>
      <c r="AI119" s="370">
        <v>0</v>
      </c>
      <c r="AJ119" s="370">
        <v>0</v>
      </c>
      <c r="AK119" s="375">
        <v>2605375.7958254437</v>
      </c>
      <c r="AM119" s="365">
        <v>0</v>
      </c>
      <c r="AN119" s="370">
        <v>0</v>
      </c>
      <c r="AO119" s="370">
        <v>0</v>
      </c>
      <c r="AP119" s="375">
        <v>2605375.7958254437</v>
      </c>
      <c r="AR119" s="365">
        <v>0</v>
      </c>
      <c r="AS119" s="375">
        <v>2605375.7958254437</v>
      </c>
      <c r="AU119" s="378">
        <v>950000</v>
      </c>
      <c r="AV119" s="379">
        <v>-1583.3333333333721</v>
      </c>
      <c r="AW119" s="380">
        <v>950000</v>
      </c>
      <c r="AX119" s="381">
        <v>2606959.1291587772</v>
      </c>
      <c r="AZ119" s="365">
        <v>0</v>
      </c>
      <c r="BA119" s="370">
        <v>0</v>
      </c>
      <c r="BB119" s="370">
        <v>0</v>
      </c>
      <c r="BC119" s="375">
        <v>2606959.1291587772</v>
      </c>
      <c r="BE119" s="365">
        <v>0</v>
      </c>
      <c r="BF119" s="370">
        <v>0</v>
      </c>
      <c r="BG119" s="370">
        <v>0</v>
      </c>
      <c r="BH119" s="375">
        <v>2606959.1291587772</v>
      </c>
      <c r="BJ119" s="365">
        <v>0</v>
      </c>
      <c r="BK119" s="370">
        <v>0</v>
      </c>
      <c r="BL119" s="370">
        <v>0</v>
      </c>
      <c r="BM119" s="375">
        <v>2606959.1291587772</v>
      </c>
      <c r="BO119" s="365">
        <v>0</v>
      </c>
      <c r="BP119" s="370">
        <v>0</v>
      </c>
      <c r="BQ119" s="370">
        <v>0</v>
      </c>
      <c r="BR119" s="375">
        <v>2606959.1291587772</v>
      </c>
      <c r="BT119" s="365">
        <v>0</v>
      </c>
      <c r="BU119" s="370">
        <v>0</v>
      </c>
      <c r="BV119" s="370">
        <v>0</v>
      </c>
      <c r="BW119" s="375">
        <v>2606959.1291587772</v>
      </c>
      <c r="BY119" s="365">
        <v>2215915.2597849607</v>
      </c>
      <c r="BZ119" s="373">
        <v>72753131.250887856</v>
      </c>
      <c r="CA119" s="375">
        <v>391043.86937381653</v>
      </c>
      <c r="CC119" s="365">
        <v>0</v>
      </c>
      <c r="CD119" s="375">
        <v>0</v>
      </c>
      <c r="CF119" s="365">
        <v>0</v>
      </c>
      <c r="CG119" s="375">
        <v>0</v>
      </c>
      <c r="CI119" s="365">
        <v>391043.86937381659</v>
      </c>
      <c r="CJ119" s="375">
        <v>2215915.2597849607</v>
      </c>
    </row>
    <row r="120" spans="5:88">
      <c r="G120" s="417">
        <v>116</v>
      </c>
      <c r="H120" s="251">
        <v>0</v>
      </c>
      <c r="I120" s="377">
        <v>1</v>
      </c>
      <c r="J120" s="368">
        <v>0</v>
      </c>
      <c r="K120" s="368">
        <v>4951307.2018771879</v>
      </c>
      <c r="L120" s="369">
        <v>2675445.6938998234</v>
      </c>
      <c r="N120" s="367">
        <v>2275861.5079773646</v>
      </c>
      <c r="O120" s="370">
        <v>0</v>
      </c>
      <c r="P120" s="370">
        <v>0</v>
      </c>
      <c r="Q120" s="370">
        <v>0</v>
      </c>
      <c r="R120" s="370">
        <v>0</v>
      </c>
      <c r="S120" s="370">
        <v>0</v>
      </c>
      <c r="T120" s="379">
        <v>63626400</v>
      </c>
      <c r="U120" s="371">
        <v>0</v>
      </c>
      <c r="V120" s="371">
        <v>951583.33333333337</v>
      </c>
      <c r="W120" s="372">
        <v>3227444.8413106981</v>
      </c>
      <c r="X120" s="41"/>
      <c r="Y120" s="365">
        <v>0</v>
      </c>
      <c r="Z120" s="370">
        <v>0</v>
      </c>
      <c r="AA120" s="370">
        <v>0</v>
      </c>
      <c r="AB120" s="375">
        <v>3227444.8413106981</v>
      </c>
      <c r="AC120" s="41"/>
      <c r="AD120" s="449">
        <v>0</v>
      </c>
      <c r="AE120" s="365">
        <v>0</v>
      </c>
      <c r="AF120" s="375">
        <v>2275861.5079773646</v>
      </c>
      <c r="AH120" s="365">
        <v>0</v>
      </c>
      <c r="AI120" s="370">
        <v>0</v>
      </c>
      <c r="AJ120" s="370">
        <v>0</v>
      </c>
      <c r="AK120" s="375">
        <v>2275861.5079773646</v>
      </c>
      <c r="AM120" s="365">
        <v>0</v>
      </c>
      <c r="AN120" s="370">
        <v>0</v>
      </c>
      <c r="AO120" s="370">
        <v>0</v>
      </c>
      <c r="AP120" s="375">
        <v>2275861.5079773646</v>
      </c>
      <c r="AR120" s="365">
        <v>0</v>
      </c>
      <c r="AS120" s="375">
        <v>2275861.5079773646</v>
      </c>
      <c r="AU120" s="378">
        <v>2000000</v>
      </c>
      <c r="AV120" s="379">
        <v>1048416.6666666666</v>
      </c>
      <c r="AW120" s="380">
        <v>2000000</v>
      </c>
      <c r="AX120" s="381">
        <v>1227444.8413106981</v>
      </c>
      <c r="AZ120" s="365">
        <v>0</v>
      </c>
      <c r="BA120" s="370">
        <v>0</v>
      </c>
      <c r="BB120" s="370">
        <v>0</v>
      </c>
      <c r="BC120" s="375">
        <v>1227444.8413106981</v>
      </c>
      <c r="BE120" s="365">
        <v>0</v>
      </c>
      <c r="BF120" s="370">
        <v>0</v>
      </c>
      <c r="BG120" s="370">
        <v>0</v>
      </c>
      <c r="BH120" s="375">
        <v>1227444.8413106981</v>
      </c>
      <c r="BJ120" s="365">
        <v>0</v>
      </c>
      <c r="BK120" s="370">
        <v>0</v>
      </c>
      <c r="BL120" s="370">
        <v>0</v>
      </c>
      <c r="BM120" s="375">
        <v>1227444.8413106981</v>
      </c>
      <c r="BO120" s="365">
        <v>0</v>
      </c>
      <c r="BP120" s="370">
        <v>0</v>
      </c>
      <c r="BQ120" s="370">
        <v>0</v>
      </c>
      <c r="BR120" s="375">
        <v>1227444.8413106981</v>
      </c>
      <c r="BT120" s="365">
        <v>0</v>
      </c>
      <c r="BU120" s="370">
        <v>0</v>
      </c>
      <c r="BV120" s="370">
        <v>0</v>
      </c>
      <c r="BW120" s="375">
        <v>1227444.8413106981</v>
      </c>
      <c r="BY120" s="365">
        <v>1043328.1151140933</v>
      </c>
      <c r="BZ120" s="373">
        <v>73796459.366001949</v>
      </c>
      <c r="CA120" s="375">
        <v>184116.72619660478</v>
      </c>
      <c r="CC120" s="365">
        <v>0</v>
      </c>
      <c r="CD120" s="375">
        <v>0</v>
      </c>
      <c r="CF120" s="365">
        <v>0</v>
      </c>
      <c r="CG120" s="375">
        <v>0</v>
      </c>
      <c r="CI120" s="365">
        <v>184116.72619660469</v>
      </c>
      <c r="CJ120" s="375">
        <v>1043328.1151140933</v>
      </c>
    </row>
    <row r="121" spans="5:88">
      <c r="G121" s="417">
        <v>117</v>
      </c>
      <c r="H121" s="251">
        <v>0</v>
      </c>
      <c r="I121" s="377">
        <v>1</v>
      </c>
      <c r="J121" s="368">
        <v>0</v>
      </c>
      <c r="K121" s="368">
        <v>4946896.2089225436</v>
      </c>
      <c r="L121" s="369">
        <v>2676936.7559094066</v>
      </c>
      <c r="N121" s="367">
        <v>2269959.453013137</v>
      </c>
      <c r="O121" s="370">
        <v>0</v>
      </c>
      <c r="P121" s="370">
        <v>0</v>
      </c>
      <c r="Q121" s="370">
        <v>0</v>
      </c>
      <c r="R121" s="370">
        <v>0</v>
      </c>
      <c r="S121" s="370">
        <v>0</v>
      </c>
      <c r="T121" s="379">
        <v>63626400</v>
      </c>
      <c r="U121" s="371">
        <v>0</v>
      </c>
      <c r="V121" s="371">
        <v>2003333.3333333335</v>
      </c>
      <c r="W121" s="372">
        <v>4273292.7863464709</v>
      </c>
      <c r="X121" s="41"/>
      <c r="Y121" s="365">
        <v>950000</v>
      </c>
      <c r="Z121" s="370">
        <v>950000</v>
      </c>
      <c r="AA121" s="370">
        <v>0</v>
      </c>
      <c r="AB121" s="375">
        <v>3323292.7863464709</v>
      </c>
      <c r="AC121" s="41"/>
      <c r="AD121" s="449">
        <v>950000</v>
      </c>
      <c r="AE121" s="365">
        <v>0</v>
      </c>
      <c r="AF121" s="375">
        <v>1319959.4530131374</v>
      </c>
      <c r="AH121" s="365">
        <v>0</v>
      </c>
      <c r="AI121" s="370">
        <v>0</v>
      </c>
      <c r="AJ121" s="370">
        <v>0</v>
      </c>
      <c r="AK121" s="375">
        <v>1319959.4530131374</v>
      </c>
      <c r="AM121" s="365">
        <v>0</v>
      </c>
      <c r="AN121" s="370">
        <v>0</v>
      </c>
      <c r="AO121" s="370">
        <v>0</v>
      </c>
      <c r="AP121" s="375">
        <v>1319959.4530131374</v>
      </c>
      <c r="AR121" s="365">
        <v>0</v>
      </c>
      <c r="AS121" s="375">
        <v>1319959.4530131374</v>
      </c>
      <c r="AU121" s="378">
        <v>1050000</v>
      </c>
      <c r="AV121" s="379">
        <v>-953333.33333333349</v>
      </c>
      <c r="AW121" s="380">
        <v>1050000</v>
      </c>
      <c r="AX121" s="381">
        <v>2273292.7863464709</v>
      </c>
      <c r="AZ121" s="365">
        <v>0</v>
      </c>
      <c r="BA121" s="370">
        <v>0</v>
      </c>
      <c r="BB121" s="370">
        <v>0</v>
      </c>
      <c r="BC121" s="375">
        <v>2273292.7863464709</v>
      </c>
      <c r="BE121" s="365">
        <v>0</v>
      </c>
      <c r="BF121" s="370">
        <v>0</v>
      </c>
      <c r="BG121" s="370">
        <v>0</v>
      </c>
      <c r="BH121" s="375">
        <v>2273292.7863464709</v>
      </c>
      <c r="BJ121" s="365">
        <v>0</v>
      </c>
      <c r="BK121" s="370">
        <v>0</v>
      </c>
      <c r="BL121" s="370">
        <v>0</v>
      </c>
      <c r="BM121" s="375">
        <v>2273292.7863464709</v>
      </c>
      <c r="BO121" s="365">
        <v>0</v>
      </c>
      <c r="BP121" s="370">
        <v>0</v>
      </c>
      <c r="BQ121" s="370">
        <v>0</v>
      </c>
      <c r="BR121" s="375">
        <v>2273292.7863464709</v>
      </c>
      <c r="BT121" s="365">
        <v>0</v>
      </c>
      <c r="BU121" s="370">
        <v>0</v>
      </c>
      <c r="BV121" s="370">
        <v>0</v>
      </c>
      <c r="BW121" s="375">
        <v>2273292.7863464709</v>
      </c>
      <c r="BY121" s="365">
        <v>1932298.8683945003</v>
      </c>
      <c r="BZ121" s="373">
        <v>75728758.234396443</v>
      </c>
      <c r="CA121" s="375">
        <v>340993.91795197059</v>
      </c>
      <c r="CC121" s="365">
        <v>0</v>
      </c>
      <c r="CD121" s="375">
        <v>0</v>
      </c>
      <c r="CF121" s="365">
        <v>0</v>
      </c>
      <c r="CG121" s="375">
        <v>0</v>
      </c>
      <c r="CI121" s="365">
        <v>340993.91795197065</v>
      </c>
      <c r="CJ121" s="375">
        <v>1932298.8683945003</v>
      </c>
    </row>
    <row r="122" spans="5:88">
      <c r="G122" s="417">
        <v>118</v>
      </c>
      <c r="H122" s="251">
        <v>0</v>
      </c>
      <c r="I122" s="377">
        <v>1</v>
      </c>
      <c r="J122" s="368">
        <v>0</v>
      </c>
      <c r="K122" s="368">
        <v>4928566.7191789625</v>
      </c>
      <c r="L122" s="369">
        <v>2678428.6489079809</v>
      </c>
      <c r="N122" s="367">
        <v>2250138.0702709816</v>
      </c>
      <c r="O122" s="370">
        <v>0</v>
      </c>
      <c r="P122" s="370">
        <v>0</v>
      </c>
      <c r="Q122" s="370">
        <v>0</v>
      </c>
      <c r="R122" s="370">
        <v>0</v>
      </c>
      <c r="S122" s="370">
        <v>0</v>
      </c>
      <c r="T122" s="379">
        <v>63626400</v>
      </c>
      <c r="U122" s="371">
        <v>0</v>
      </c>
      <c r="V122" s="371">
        <v>1051750</v>
      </c>
      <c r="W122" s="372">
        <v>3301888.0702709816</v>
      </c>
      <c r="X122" s="41"/>
      <c r="Y122" s="365">
        <v>0</v>
      </c>
      <c r="Z122" s="370">
        <v>0</v>
      </c>
      <c r="AA122" s="370">
        <v>0</v>
      </c>
      <c r="AB122" s="375">
        <v>3301888.0702709816</v>
      </c>
      <c r="AC122" s="41"/>
      <c r="AD122" s="449">
        <v>0</v>
      </c>
      <c r="AE122" s="365">
        <v>0</v>
      </c>
      <c r="AF122" s="375">
        <v>2250138.0702709816</v>
      </c>
      <c r="AH122" s="365">
        <v>0</v>
      </c>
      <c r="AI122" s="370">
        <v>0</v>
      </c>
      <c r="AJ122" s="370">
        <v>0</v>
      </c>
      <c r="AK122" s="375">
        <v>2250138.0702709816</v>
      </c>
      <c r="AM122" s="365">
        <v>0</v>
      </c>
      <c r="AN122" s="370">
        <v>0</v>
      </c>
      <c r="AO122" s="370">
        <v>0</v>
      </c>
      <c r="AP122" s="375">
        <v>2250138.0702709816</v>
      </c>
      <c r="AR122" s="365">
        <v>0</v>
      </c>
      <c r="AS122" s="375">
        <v>2250138.0702709816</v>
      </c>
      <c r="AU122" s="378">
        <v>1050000</v>
      </c>
      <c r="AV122" s="379">
        <v>-1750</v>
      </c>
      <c r="AW122" s="380">
        <v>1050000</v>
      </c>
      <c r="AX122" s="381">
        <v>2251888.0702709816</v>
      </c>
      <c r="AZ122" s="365">
        <v>0</v>
      </c>
      <c r="BA122" s="370">
        <v>0</v>
      </c>
      <c r="BB122" s="370">
        <v>0</v>
      </c>
      <c r="BC122" s="375">
        <v>2251888.0702709816</v>
      </c>
      <c r="BE122" s="365">
        <v>0</v>
      </c>
      <c r="BF122" s="370">
        <v>0</v>
      </c>
      <c r="BG122" s="370">
        <v>0</v>
      </c>
      <c r="BH122" s="375">
        <v>2251888.0702709816</v>
      </c>
      <c r="BJ122" s="365">
        <v>0</v>
      </c>
      <c r="BK122" s="370">
        <v>0</v>
      </c>
      <c r="BL122" s="370">
        <v>0</v>
      </c>
      <c r="BM122" s="375">
        <v>2251888.0702709816</v>
      </c>
      <c r="BO122" s="365">
        <v>0</v>
      </c>
      <c r="BP122" s="370">
        <v>0</v>
      </c>
      <c r="BQ122" s="370">
        <v>0</v>
      </c>
      <c r="BR122" s="375">
        <v>2251888.0702709816</v>
      </c>
      <c r="BT122" s="365">
        <v>0</v>
      </c>
      <c r="BU122" s="370">
        <v>0</v>
      </c>
      <c r="BV122" s="370">
        <v>0</v>
      </c>
      <c r="BW122" s="375">
        <v>2251888.0702709816</v>
      </c>
      <c r="BY122" s="365">
        <v>1914104.8597303343</v>
      </c>
      <c r="BZ122" s="373">
        <v>77642863.094126776</v>
      </c>
      <c r="CA122" s="375">
        <v>337783.21054064739</v>
      </c>
      <c r="CC122" s="365">
        <v>0</v>
      </c>
      <c r="CD122" s="375">
        <v>0</v>
      </c>
      <c r="CF122" s="365">
        <v>0</v>
      </c>
      <c r="CG122" s="375">
        <v>0</v>
      </c>
      <c r="CI122" s="365">
        <v>337783.21054064721</v>
      </c>
      <c r="CJ122" s="375">
        <v>1914104.8597303343</v>
      </c>
    </row>
    <row r="123" spans="5:88">
      <c r="G123" s="417">
        <v>119</v>
      </c>
      <c r="H123" s="251">
        <v>0</v>
      </c>
      <c r="I123" s="377">
        <v>0</v>
      </c>
      <c r="J123" s="368">
        <v>0</v>
      </c>
      <c r="K123" s="368">
        <v>5293459.3175044339</v>
      </c>
      <c r="L123" s="369">
        <v>2679921.3733586664</v>
      </c>
      <c r="N123" s="367">
        <v>2613537.9441457675</v>
      </c>
      <c r="O123" s="370">
        <v>0</v>
      </c>
      <c r="P123" s="370">
        <v>0</v>
      </c>
      <c r="Q123" s="370">
        <v>0</v>
      </c>
      <c r="R123" s="370">
        <v>0</v>
      </c>
      <c r="S123" s="370">
        <v>0</v>
      </c>
      <c r="T123" s="379">
        <v>63626400</v>
      </c>
      <c r="U123" s="371">
        <v>0</v>
      </c>
      <c r="V123" s="371">
        <v>1051750</v>
      </c>
      <c r="W123" s="372">
        <v>3665287.9441457675</v>
      </c>
      <c r="X123" s="41"/>
      <c r="Y123" s="365">
        <v>0</v>
      </c>
      <c r="Z123" s="370">
        <v>0</v>
      </c>
      <c r="AA123" s="370">
        <v>0</v>
      </c>
      <c r="AB123" s="375">
        <v>3665287.9441457675</v>
      </c>
      <c r="AC123" s="41"/>
      <c r="AD123" s="449">
        <v>0</v>
      </c>
      <c r="AE123" s="365">
        <v>0</v>
      </c>
      <c r="AF123" s="375">
        <v>2613537.9441457675</v>
      </c>
      <c r="AH123" s="365">
        <v>0</v>
      </c>
      <c r="AI123" s="370">
        <v>0</v>
      </c>
      <c r="AJ123" s="370">
        <v>0</v>
      </c>
      <c r="AK123" s="375">
        <v>2613537.9441457675</v>
      </c>
      <c r="AM123" s="365">
        <v>0</v>
      </c>
      <c r="AN123" s="370">
        <v>0</v>
      </c>
      <c r="AO123" s="370">
        <v>0</v>
      </c>
      <c r="AP123" s="375">
        <v>2613537.9441457675</v>
      </c>
      <c r="AR123" s="365">
        <v>0</v>
      </c>
      <c r="AS123" s="375">
        <v>2613537.9441457675</v>
      </c>
      <c r="AU123" s="378">
        <v>1050000</v>
      </c>
      <c r="AV123" s="379">
        <v>-1750</v>
      </c>
      <c r="AW123" s="380">
        <v>1050000</v>
      </c>
      <c r="AX123" s="381">
        <v>2615287.9441457675</v>
      </c>
      <c r="AZ123" s="365">
        <v>0</v>
      </c>
      <c r="BA123" s="370">
        <v>0</v>
      </c>
      <c r="BB123" s="370">
        <v>0</v>
      </c>
      <c r="BC123" s="375">
        <v>2615287.9441457675</v>
      </c>
      <c r="BE123" s="365">
        <v>0</v>
      </c>
      <c r="BF123" s="370">
        <v>0</v>
      </c>
      <c r="BG123" s="370">
        <v>0</v>
      </c>
      <c r="BH123" s="375">
        <v>2615287.9441457675</v>
      </c>
      <c r="BJ123" s="365">
        <v>0</v>
      </c>
      <c r="BK123" s="370">
        <v>0</v>
      </c>
      <c r="BL123" s="370">
        <v>0</v>
      </c>
      <c r="BM123" s="375">
        <v>2615287.9441457675</v>
      </c>
      <c r="BO123" s="365">
        <v>0</v>
      </c>
      <c r="BP123" s="370">
        <v>0</v>
      </c>
      <c r="BQ123" s="370">
        <v>0</v>
      </c>
      <c r="BR123" s="375">
        <v>2615287.9441457675</v>
      </c>
      <c r="BT123" s="365">
        <v>0</v>
      </c>
      <c r="BU123" s="370">
        <v>0</v>
      </c>
      <c r="BV123" s="370">
        <v>0</v>
      </c>
      <c r="BW123" s="375">
        <v>2615287.9441457675</v>
      </c>
      <c r="BY123" s="365">
        <v>2222994.7525239023</v>
      </c>
      <c r="BZ123" s="373">
        <v>79865857.846650675</v>
      </c>
      <c r="CA123" s="375">
        <v>392293.19162186515</v>
      </c>
      <c r="CC123" s="365">
        <v>0</v>
      </c>
      <c r="CD123" s="375">
        <v>0</v>
      </c>
      <c r="CF123" s="365">
        <v>0</v>
      </c>
      <c r="CG123" s="375">
        <v>0</v>
      </c>
      <c r="CI123" s="365">
        <v>392293.19162186509</v>
      </c>
      <c r="CJ123" s="375">
        <v>2222994.7525239023</v>
      </c>
    </row>
    <row r="124" spans="5:88">
      <c r="G124" s="417">
        <v>120</v>
      </c>
      <c r="H124" s="251">
        <v>0</v>
      </c>
      <c r="I124" s="377">
        <v>1</v>
      </c>
      <c r="J124" s="368">
        <v>0</v>
      </c>
      <c r="K124" s="368">
        <v>4930453.0638198517</v>
      </c>
      <c r="L124" s="369">
        <v>2681414.9297248437</v>
      </c>
      <c r="N124" s="367">
        <v>2249038.134095008</v>
      </c>
      <c r="O124" s="370">
        <v>0</v>
      </c>
      <c r="P124" s="370">
        <v>0</v>
      </c>
      <c r="Q124" s="370">
        <v>0</v>
      </c>
      <c r="R124" s="370">
        <v>0</v>
      </c>
      <c r="S124" s="370">
        <v>0</v>
      </c>
      <c r="T124" s="379">
        <v>63626400</v>
      </c>
      <c r="U124" s="371">
        <v>0</v>
      </c>
      <c r="V124" s="371">
        <v>1051750</v>
      </c>
      <c r="W124" s="372">
        <v>3300788.134095008</v>
      </c>
      <c r="X124" s="41"/>
      <c r="Y124" s="365">
        <v>1050000</v>
      </c>
      <c r="Z124" s="370">
        <v>1050000</v>
      </c>
      <c r="AA124" s="370">
        <v>0</v>
      </c>
      <c r="AB124" s="375">
        <v>2250788.134095008</v>
      </c>
      <c r="AC124" s="41"/>
      <c r="AD124" s="449">
        <v>1050000</v>
      </c>
      <c r="AE124" s="365">
        <v>0</v>
      </c>
      <c r="AF124" s="375">
        <v>1199038.134095008</v>
      </c>
      <c r="AH124" s="365">
        <v>0</v>
      </c>
      <c r="AI124" s="370">
        <v>0</v>
      </c>
      <c r="AJ124" s="370">
        <v>0</v>
      </c>
      <c r="AK124" s="375">
        <v>1199038.134095008</v>
      </c>
      <c r="AM124" s="365">
        <v>0</v>
      </c>
      <c r="AN124" s="370">
        <v>0</v>
      </c>
      <c r="AO124" s="370">
        <v>0</v>
      </c>
      <c r="AP124" s="375">
        <v>1199038.134095008</v>
      </c>
      <c r="AR124" s="365">
        <v>0</v>
      </c>
      <c r="AS124" s="375">
        <v>1199038.134095008</v>
      </c>
      <c r="AU124" s="378">
        <v>1050000</v>
      </c>
      <c r="AV124" s="379">
        <v>-1750</v>
      </c>
      <c r="AW124" s="380">
        <v>1050000</v>
      </c>
      <c r="AX124" s="381">
        <v>1200788.134095008</v>
      </c>
      <c r="AZ124" s="365">
        <v>0</v>
      </c>
      <c r="BA124" s="370">
        <v>0</v>
      </c>
      <c r="BB124" s="370">
        <v>0</v>
      </c>
      <c r="BC124" s="375">
        <v>1200788.134095008</v>
      </c>
      <c r="BE124" s="365">
        <v>0</v>
      </c>
      <c r="BF124" s="370">
        <v>0</v>
      </c>
      <c r="BG124" s="370">
        <v>0</v>
      </c>
      <c r="BH124" s="375">
        <v>1200788.134095008</v>
      </c>
      <c r="BJ124" s="365">
        <v>0</v>
      </c>
      <c r="BK124" s="370">
        <v>0</v>
      </c>
      <c r="BL124" s="370">
        <v>0</v>
      </c>
      <c r="BM124" s="375">
        <v>1200788.134095008</v>
      </c>
      <c r="BO124" s="365">
        <v>0</v>
      </c>
      <c r="BP124" s="370">
        <v>0</v>
      </c>
      <c r="BQ124" s="370">
        <v>0</v>
      </c>
      <c r="BR124" s="375">
        <v>1200788.134095008</v>
      </c>
      <c r="BT124" s="365">
        <v>0</v>
      </c>
      <c r="BU124" s="370">
        <v>0</v>
      </c>
      <c r="BV124" s="370">
        <v>0</v>
      </c>
      <c r="BW124" s="375">
        <v>1200788.134095008</v>
      </c>
      <c r="BY124" s="365">
        <v>1020669.9139807568</v>
      </c>
      <c r="BZ124" s="373">
        <v>80886527.760631427</v>
      </c>
      <c r="CA124" s="375">
        <v>180118.22011425125</v>
      </c>
      <c r="CC124" s="365">
        <v>0</v>
      </c>
      <c r="CD124" s="375">
        <v>0</v>
      </c>
      <c r="CF124" s="365">
        <v>0</v>
      </c>
      <c r="CG124" s="375">
        <v>0</v>
      </c>
      <c r="CI124" s="365">
        <v>180118.22011425119</v>
      </c>
      <c r="CJ124" s="375">
        <v>1020669.9139807568</v>
      </c>
    </row>
    <row r="125" spans="5:88">
      <c r="G125" s="417">
        <v>121</v>
      </c>
      <c r="H125" s="251">
        <v>0</v>
      </c>
      <c r="I125" s="377">
        <v>1</v>
      </c>
      <c r="J125" s="368">
        <v>0</v>
      </c>
      <c r="K125" s="368">
        <v>4995673.2124766987</v>
      </c>
      <c r="L125" s="369">
        <v>2682909.3184701502</v>
      </c>
      <c r="N125" s="367">
        <v>2312763.8940065484</v>
      </c>
      <c r="O125" s="370">
        <v>0</v>
      </c>
      <c r="P125" s="370">
        <v>0</v>
      </c>
      <c r="Q125" s="370">
        <v>0</v>
      </c>
      <c r="R125" s="370">
        <v>0</v>
      </c>
      <c r="S125" s="370">
        <v>0</v>
      </c>
      <c r="T125" s="379">
        <v>63626400</v>
      </c>
      <c r="U125" s="371">
        <v>0</v>
      </c>
      <c r="V125" s="371">
        <v>1051750</v>
      </c>
      <c r="W125" s="372">
        <v>3364513.8940065484</v>
      </c>
      <c r="X125" s="41"/>
      <c r="Y125" s="365">
        <v>0</v>
      </c>
      <c r="Z125" s="370">
        <v>0</v>
      </c>
      <c r="AA125" s="370">
        <v>0</v>
      </c>
      <c r="AB125" s="375">
        <v>3364513.8940065484</v>
      </c>
      <c r="AC125" s="41"/>
      <c r="AD125" s="449">
        <v>0</v>
      </c>
      <c r="AE125" s="365">
        <v>0</v>
      </c>
      <c r="AF125" s="375">
        <v>2312763.8940065484</v>
      </c>
      <c r="AH125" s="365">
        <v>0</v>
      </c>
      <c r="AI125" s="370">
        <v>0</v>
      </c>
      <c r="AJ125" s="370">
        <v>0</v>
      </c>
      <c r="AK125" s="375">
        <v>2312763.8940065484</v>
      </c>
      <c r="AM125" s="365">
        <v>0</v>
      </c>
      <c r="AN125" s="370">
        <v>0</v>
      </c>
      <c r="AO125" s="370">
        <v>0</v>
      </c>
      <c r="AP125" s="375">
        <v>2312763.8940065484</v>
      </c>
      <c r="AR125" s="365">
        <v>0</v>
      </c>
      <c r="AS125" s="375">
        <v>2312763.8940065484</v>
      </c>
      <c r="AU125" s="378">
        <v>1050000</v>
      </c>
      <c r="AV125" s="379">
        <v>-1750</v>
      </c>
      <c r="AW125" s="380">
        <v>1050000</v>
      </c>
      <c r="AX125" s="381">
        <v>2314513.8940065484</v>
      </c>
      <c r="AZ125" s="365">
        <v>0</v>
      </c>
      <c r="BA125" s="370">
        <v>0</v>
      </c>
      <c r="BB125" s="370">
        <v>0</v>
      </c>
      <c r="BC125" s="375">
        <v>2314513.8940065484</v>
      </c>
      <c r="BE125" s="365">
        <v>0</v>
      </c>
      <c r="BF125" s="370">
        <v>0</v>
      </c>
      <c r="BG125" s="370">
        <v>0</v>
      </c>
      <c r="BH125" s="375">
        <v>2314513.8940065484</v>
      </c>
      <c r="BJ125" s="365">
        <v>0</v>
      </c>
      <c r="BK125" s="370">
        <v>0</v>
      </c>
      <c r="BL125" s="370">
        <v>0</v>
      </c>
      <c r="BM125" s="375">
        <v>2314513.8940065484</v>
      </c>
      <c r="BO125" s="365">
        <v>0</v>
      </c>
      <c r="BP125" s="370">
        <v>0</v>
      </c>
      <c r="BQ125" s="370">
        <v>0</v>
      </c>
      <c r="BR125" s="375">
        <v>2314513.8940065484</v>
      </c>
      <c r="BT125" s="365">
        <v>0</v>
      </c>
      <c r="BU125" s="370">
        <v>0</v>
      </c>
      <c r="BV125" s="370">
        <v>0</v>
      </c>
      <c r="BW125" s="375">
        <v>2314513.8940065484</v>
      </c>
      <c r="BY125" s="365">
        <v>1967336.809905566</v>
      </c>
      <c r="BZ125" s="373">
        <v>82853864.570536986</v>
      </c>
      <c r="CA125" s="375">
        <v>347177.08410098241</v>
      </c>
      <c r="CC125" s="365">
        <v>0</v>
      </c>
      <c r="CD125" s="375">
        <v>0</v>
      </c>
      <c r="CF125" s="365">
        <v>0</v>
      </c>
      <c r="CG125" s="375">
        <v>0</v>
      </c>
      <c r="CI125" s="365">
        <v>347177.08410098223</v>
      </c>
      <c r="CJ125" s="375">
        <v>1967336.809905566</v>
      </c>
    </row>
    <row r="126" spans="5:88">
      <c r="G126" s="417">
        <v>122</v>
      </c>
      <c r="H126" s="251">
        <v>0</v>
      </c>
      <c r="I126" s="377">
        <v>1</v>
      </c>
      <c r="J126" s="368">
        <v>0</v>
      </c>
      <c r="K126" s="368">
        <v>5011143.649664348</v>
      </c>
      <c r="L126" s="369">
        <v>2684404.540058482</v>
      </c>
      <c r="N126" s="367">
        <v>2326739.109605866</v>
      </c>
      <c r="O126" s="370">
        <v>0</v>
      </c>
      <c r="P126" s="370">
        <v>0</v>
      </c>
      <c r="Q126" s="370">
        <v>0</v>
      </c>
      <c r="R126" s="370">
        <v>0</v>
      </c>
      <c r="S126" s="370">
        <v>0</v>
      </c>
      <c r="T126" s="379">
        <v>63626400</v>
      </c>
      <c r="U126" s="371">
        <v>0</v>
      </c>
      <c r="V126" s="371">
        <v>1051750</v>
      </c>
      <c r="W126" s="372">
        <v>3378489.109605866</v>
      </c>
      <c r="X126" s="41"/>
      <c r="Y126" s="365">
        <v>0</v>
      </c>
      <c r="Z126" s="370">
        <v>0</v>
      </c>
      <c r="AA126" s="370">
        <v>0</v>
      </c>
      <c r="AB126" s="375">
        <v>3378489.109605866</v>
      </c>
      <c r="AC126" s="41"/>
      <c r="AD126" s="449">
        <v>0</v>
      </c>
      <c r="AE126" s="365">
        <v>0</v>
      </c>
      <c r="AF126" s="375">
        <v>2326739.109605866</v>
      </c>
      <c r="AH126" s="365">
        <v>0</v>
      </c>
      <c r="AI126" s="370">
        <v>0</v>
      </c>
      <c r="AJ126" s="370">
        <v>0</v>
      </c>
      <c r="AK126" s="375">
        <v>2326739.109605866</v>
      </c>
      <c r="AM126" s="365">
        <v>0</v>
      </c>
      <c r="AN126" s="370">
        <v>0</v>
      </c>
      <c r="AO126" s="370">
        <v>0</v>
      </c>
      <c r="AP126" s="375">
        <v>2326739.109605866</v>
      </c>
      <c r="AR126" s="365">
        <v>0</v>
      </c>
      <c r="AS126" s="375">
        <v>2326739.109605866</v>
      </c>
      <c r="AU126" s="378">
        <v>1050000</v>
      </c>
      <c r="AV126" s="379">
        <v>-1750</v>
      </c>
      <c r="AW126" s="380">
        <v>1050000</v>
      </c>
      <c r="AX126" s="381">
        <v>2328489.109605866</v>
      </c>
      <c r="AZ126" s="365">
        <v>0</v>
      </c>
      <c r="BA126" s="370">
        <v>0</v>
      </c>
      <c r="BB126" s="370">
        <v>0</v>
      </c>
      <c r="BC126" s="375">
        <v>2328489.109605866</v>
      </c>
      <c r="BE126" s="365">
        <v>0</v>
      </c>
      <c r="BF126" s="370">
        <v>0</v>
      </c>
      <c r="BG126" s="370">
        <v>0</v>
      </c>
      <c r="BH126" s="375">
        <v>2328489.109605866</v>
      </c>
      <c r="BJ126" s="365">
        <v>0</v>
      </c>
      <c r="BK126" s="370">
        <v>0</v>
      </c>
      <c r="BL126" s="370">
        <v>0</v>
      </c>
      <c r="BM126" s="375">
        <v>2328489.109605866</v>
      </c>
      <c r="BO126" s="365">
        <v>0</v>
      </c>
      <c r="BP126" s="370">
        <v>0</v>
      </c>
      <c r="BQ126" s="370">
        <v>0</v>
      </c>
      <c r="BR126" s="375">
        <v>2328489.109605866</v>
      </c>
      <c r="BT126" s="365">
        <v>0</v>
      </c>
      <c r="BU126" s="370">
        <v>0</v>
      </c>
      <c r="BV126" s="370">
        <v>0</v>
      </c>
      <c r="BW126" s="375">
        <v>2328489.109605866</v>
      </c>
      <c r="BY126" s="365">
        <v>1979215.7431649861</v>
      </c>
      <c r="BZ126" s="373">
        <v>84833080.313701972</v>
      </c>
      <c r="CA126" s="375">
        <v>349273.36644087988</v>
      </c>
      <c r="CC126" s="365">
        <v>0</v>
      </c>
      <c r="CD126" s="375">
        <v>0</v>
      </c>
      <c r="CF126" s="365">
        <v>0</v>
      </c>
      <c r="CG126" s="375">
        <v>0</v>
      </c>
      <c r="CI126" s="365">
        <v>349273.36644087988</v>
      </c>
      <c r="CJ126" s="375">
        <v>1979215.7431649861</v>
      </c>
    </row>
    <row r="127" spans="5:88">
      <c r="G127" s="417">
        <v>123</v>
      </c>
      <c r="H127" s="251">
        <v>0</v>
      </c>
      <c r="I127" s="377">
        <v>1</v>
      </c>
      <c r="J127" s="368">
        <v>0</v>
      </c>
      <c r="K127" s="368">
        <v>5042568.705450993</v>
      </c>
      <c r="L127" s="369">
        <v>2685900.5949539933</v>
      </c>
      <c r="N127" s="367">
        <v>2356668.1104969997</v>
      </c>
      <c r="O127" s="370">
        <v>0</v>
      </c>
      <c r="P127" s="370">
        <v>0</v>
      </c>
      <c r="Q127" s="370">
        <v>0</v>
      </c>
      <c r="R127" s="370">
        <v>0</v>
      </c>
      <c r="S127" s="370">
        <v>0</v>
      </c>
      <c r="T127" s="379">
        <v>63626400</v>
      </c>
      <c r="U127" s="371">
        <v>0</v>
      </c>
      <c r="V127" s="371">
        <v>1051750</v>
      </c>
      <c r="W127" s="372">
        <v>3408418.1104969997</v>
      </c>
      <c r="X127" s="41"/>
      <c r="Y127" s="365">
        <v>0</v>
      </c>
      <c r="Z127" s="370">
        <v>0</v>
      </c>
      <c r="AA127" s="370">
        <v>0</v>
      </c>
      <c r="AB127" s="375">
        <v>3408418.1104969997</v>
      </c>
      <c r="AC127" s="41"/>
      <c r="AD127" s="449">
        <v>0</v>
      </c>
      <c r="AE127" s="365">
        <v>0</v>
      </c>
      <c r="AF127" s="375">
        <v>2356668.1104969997</v>
      </c>
      <c r="AH127" s="365">
        <v>0</v>
      </c>
      <c r="AI127" s="370">
        <v>0</v>
      </c>
      <c r="AJ127" s="370">
        <v>0</v>
      </c>
      <c r="AK127" s="375">
        <v>2356668.1104969997</v>
      </c>
      <c r="AM127" s="365">
        <v>0</v>
      </c>
      <c r="AN127" s="370">
        <v>0</v>
      </c>
      <c r="AO127" s="370">
        <v>0</v>
      </c>
      <c r="AP127" s="375">
        <v>2356668.1104969997</v>
      </c>
      <c r="AR127" s="365">
        <v>0</v>
      </c>
      <c r="AS127" s="375">
        <v>2356668.1104969997</v>
      </c>
      <c r="AU127" s="378">
        <v>1050000</v>
      </c>
      <c r="AV127" s="379">
        <v>-1750</v>
      </c>
      <c r="AW127" s="380">
        <v>1050000</v>
      </c>
      <c r="AX127" s="381">
        <v>2358418.1104969997</v>
      </c>
      <c r="AZ127" s="365">
        <v>0</v>
      </c>
      <c r="BA127" s="370">
        <v>0</v>
      </c>
      <c r="BB127" s="370">
        <v>0</v>
      </c>
      <c r="BC127" s="375">
        <v>2358418.1104969997</v>
      </c>
      <c r="BE127" s="365">
        <v>0</v>
      </c>
      <c r="BF127" s="370">
        <v>0</v>
      </c>
      <c r="BG127" s="370">
        <v>0</v>
      </c>
      <c r="BH127" s="375">
        <v>2358418.1104969997</v>
      </c>
      <c r="BJ127" s="365">
        <v>0</v>
      </c>
      <c r="BK127" s="370">
        <v>0</v>
      </c>
      <c r="BL127" s="370">
        <v>0</v>
      </c>
      <c r="BM127" s="375">
        <v>2358418.1104969997</v>
      </c>
      <c r="BO127" s="365">
        <v>0</v>
      </c>
      <c r="BP127" s="370">
        <v>0</v>
      </c>
      <c r="BQ127" s="370">
        <v>0</v>
      </c>
      <c r="BR127" s="375">
        <v>2358418.1104969997</v>
      </c>
      <c r="BT127" s="365">
        <v>0</v>
      </c>
      <c r="BU127" s="370">
        <v>0</v>
      </c>
      <c r="BV127" s="370">
        <v>0</v>
      </c>
      <c r="BW127" s="375">
        <v>2358418.1104969997</v>
      </c>
      <c r="BY127" s="365">
        <v>2004655.3939224498</v>
      </c>
      <c r="BZ127" s="373">
        <v>86837735.707624421</v>
      </c>
      <c r="CA127" s="375">
        <v>353762.71657454991</v>
      </c>
      <c r="CC127" s="365">
        <v>0</v>
      </c>
      <c r="CD127" s="375">
        <v>0</v>
      </c>
      <c r="CF127" s="365">
        <v>0</v>
      </c>
      <c r="CG127" s="375">
        <v>0</v>
      </c>
      <c r="CI127" s="365">
        <v>353762.71657454997</v>
      </c>
      <c r="CJ127" s="375">
        <v>2004655.3939224498</v>
      </c>
    </row>
    <row r="128" spans="5:88">
      <c r="G128" s="417">
        <v>124</v>
      </c>
      <c r="H128" s="251">
        <v>0</v>
      </c>
      <c r="I128" s="377">
        <v>1</v>
      </c>
      <c r="J128" s="368">
        <v>0</v>
      </c>
      <c r="K128" s="368">
        <v>4974414.2105925418</v>
      </c>
      <c r="L128" s="369">
        <v>2687397.4836210981</v>
      </c>
      <c r="N128" s="367">
        <v>2287016.7269714437</v>
      </c>
      <c r="O128" s="370">
        <v>0</v>
      </c>
      <c r="P128" s="370">
        <v>0</v>
      </c>
      <c r="Q128" s="370">
        <v>0</v>
      </c>
      <c r="R128" s="370">
        <v>0</v>
      </c>
      <c r="S128" s="370">
        <v>0</v>
      </c>
      <c r="T128" s="379">
        <v>63626400</v>
      </c>
      <c r="U128" s="371">
        <v>0</v>
      </c>
      <c r="V128" s="371">
        <v>1051750</v>
      </c>
      <c r="W128" s="372">
        <v>3338766.7269714437</v>
      </c>
      <c r="X128" s="41"/>
      <c r="Y128" s="365">
        <v>1050000</v>
      </c>
      <c r="Z128" s="370">
        <v>1050000</v>
      </c>
      <c r="AA128" s="370">
        <v>0</v>
      </c>
      <c r="AB128" s="375">
        <v>2288766.7269714437</v>
      </c>
      <c r="AC128" s="41"/>
      <c r="AD128" s="449">
        <v>1050000</v>
      </c>
      <c r="AE128" s="365">
        <v>0</v>
      </c>
      <c r="AF128" s="375">
        <v>1237016.7269714437</v>
      </c>
      <c r="AH128" s="365">
        <v>0</v>
      </c>
      <c r="AI128" s="370">
        <v>0</v>
      </c>
      <c r="AJ128" s="370">
        <v>0</v>
      </c>
      <c r="AK128" s="375">
        <v>1237016.7269714437</v>
      </c>
      <c r="AM128" s="365">
        <v>0</v>
      </c>
      <c r="AN128" s="370">
        <v>0</v>
      </c>
      <c r="AO128" s="370">
        <v>0</v>
      </c>
      <c r="AP128" s="375">
        <v>1237016.7269714437</v>
      </c>
      <c r="AR128" s="365">
        <v>0</v>
      </c>
      <c r="AS128" s="375">
        <v>1237016.7269714437</v>
      </c>
      <c r="AU128" s="378">
        <v>0</v>
      </c>
      <c r="AV128" s="379">
        <v>-1051750</v>
      </c>
      <c r="AW128" s="380">
        <v>0</v>
      </c>
      <c r="AX128" s="381">
        <v>2288766.7269714437</v>
      </c>
      <c r="AZ128" s="365">
        <v>0</v>
      </c>
      <c r="BA128" s="370">
        <v>0</v>
      </c>
      <c r="BB128" s="370">
        <v>0</v>
      </c>
      <c r="BC128" s="375">
        <v>2288766.7269714437</v>
      </c>
      <c r="BE128" s="365">
        <v>0</v>
      </c>
      <c r="BF128" s="370">
        <v>0</v>
      </c>
      <c r="BG128" s="370">
        <v>0</v>
      </c>
      <c r="BH128" s="375">
        <v>2288766.7269714437</v>
      </c>
      <c r="BJ128" s="365">
        <v>0</v>
      </c>
      <c r="BK128" s="370">
        <v>0</v>
      </c>
      <c r="BL128" s="370">
        <v>0</v>
      </c>
      <c r="BM128" s="375">
        <v>2288766.7269714437</v>
      </c>
      <c r="BO128" s="365">
        <v>0</v>
      </c>
      <c r="BP128" s="370">
        <v>0</v>
      </c>
      <c r="BQ128" s="370">
        <v>0</v>
      </c>
      <c r="BR128" s="375">
        <v>2288766.7269714437</v>
      </c>
      <c r="BT128" s="365">
        <v>0</v>
      </c>
      <c r="BU128" s="370">
        <v>0</v>
      </c>
      <c r="BV128" s="370">
        <v>0</v>
      </c>
      <c r="BW128" s="375">
        <v>2288766.7269714437</v>
      </c>
      <c r="BY128" s="365">
        <v>1945451.7179257271</v>
      </c>
      <c r="BZ128" s="373">
        <v>88783187.425550148</v>
      </c>
      <c r="CA128" s="375">
        <v>343315.00904571661</v>
      </c>
      <c r="CC128" s="365">
        <v>0</v>
      </c>
      <c r="CD128" s="375">
        <v>0</v>
      </c>
      <c r="CF128" s="365">
        <v>0</v>
      </c>
      <c r="CG128" s="375">
        <v>0</v>
      </c>
      <c r="CI128" s="365">
        <v>343315.00904571655</v>
      </c>
      <c r="CJ128" s="375">
        <v>1945451.7179257271</v>
      </c>
    </row>
    <row r="129" spans="7:88">
      <c r="G129" s="417">
        <v>125</v>
      </c>
      <c r="H129" s="251">
        <v>0</v>
      </c>
      <c r="I129" s="377">
        <v>0</v>
      </c>
      <c r="J129" s="368">
        <v>0</v>
      </c>
      <c r="K129" s="368">
        <v>5308520.9001056431</v>
      </c>
      <c r="L129" s="369">
        <v>2688895.2065244685</v>
      </c>
      <c r="N129" s="367">
        <v>2619625.6935811746</v>
      </c>
      <c r="O129" s="370">
        <v>0</v>
      </c>
      <c r="P129" s="370">
        <v>0</v>
      </c>
      <c r="Q129" s="370">
        <v>0</v>
      </c>
      <c r="R129" s="370">
        <v>0</v>
      </c>
      <c r="S129" s="370">
        <v>0</v>
      </c>
      <c r="T129" s="379">
        <v>63626400</v>
      </c>
      <c r="U129" s="371">
        <v>0</v>
      </c>
      <c r="V129" s="371">
        <v>0</v>
      </c>
      <c r="W129" s="372">
        <v>2619625.6935811746</v>
      </c>
      <c r="X129" s="41"/>
      <c r="Y129" s="365">
        <v>0</v>
      </c>
      <c r="Z129" s="370">
        <v>0</v>
      </c>
      <c r="AA129" s="370">
        <v>0</v>
      </c>
      <c r="AB129" s="375">
        <v>2619625.6935811746</v>
      </c>
      <c r="AC129" s="41"/>
      <c r="AD129" s="449">
        <v>0</v>
      </c>
      <c r="AE129" s="365">
        <v>0</v>
      </c>
      <c r="AF129" s="375">
        <v>2619625.6935811746</v>
      </c>
      <c r="AH129" s="365">
        <v>0</v>
      </c>
      <c r="AI129" s="370">
        <v>0</v>
      </c>
      <c r="AJ129" s="370">
        <v>0</v>
      </c>
      <c r="AK129" s="375">
        <v>2619625.6935811746</v>
      </c>
      <c r="AM129" s="365">
        <v>0</v>
      </c>
      <c r="AN129" s="370">
        <v>0</v>
      </c>
      <c r="AO129" s="370">
        <v>0</v>
      </c>
      <c r="AP129" s="375">
        <v>2619625.6935811746</v>
      </c>
      <c r="AR129" s="365">
        <v>0</v>
      </c>
      <c r="AS129" s="375">
        <v>2619625.6935811746</v>
      </c>
      <c r="AU129" s="378">
        <v>1050000</v>
      </c>
      <c r="AV129" s="379">
        <v>1050000</v>
      </c>
      <c r="AW129" s="380">
        <v>1050000</v>
      </c>
      <c r="AX129" s="381">
        <v>1569625.6935811746</v>
      </c>
      <c r="AZ129" s="365">
        <v>0</v>
      </c>
      <c r="BA129" s="370">
        <v>0</v>
      </c>
      <c r="BB129" s="370">
        <v>0</v>
      </c>
      <c r="BC129" s="375">
        <v>1569625.6935811746</v>
      </c>
      <c r="BE129" s="365">
        <v>0</v>
      </c>
      <c r="BF129" s="370">
        <v>0</v>
      </c>
      <c r="BG129" s="370">
        <v>0</v>
      </c>
      <c r="BH129" s="375">
        <v>1569625.6935811746</v>
      </c>
      <c r="BJ129" s="365">
        <v>0</v>
      </c>
      <c r="BK129" s="370">
        <v>0</v>
      </c>
      <c r="BL129" s="370">
        <v>0</v>
      </c>
      <c r="BM129" s="375">
        <v>1569625.6935811746</v>
      </c>
      <c r="BO129" s="365">
        <v>0</v>
      </c>
      <c r="BP129" s="370">
        <v>0</v>
      </c>
      <c r="BQ129" s="370">
        <v>0</v>
      </c>
      <c r="BR129" s="375">
        <v>1569625.6935811746</v>
      </c>
      <c r="BT129" s="365">
        <v>0</v>
      </c>
      <c r="BU129" s="370">
        <v>0</v>
      </c>
      <c r="BV129" s="370">
        <v>0</v>
      </c>
      <c r="BW129" s="375">
        <v>1569625.6935811746</v>
      </c>
      <c r="BY129" s="365">
        <v>1334181.8395439985</v>
      </c>
      <c r="BZ129" s="373">
        <v>90117369.265094146</v>
      </c>
      <c r="CA129" s="375">
        <v>235443.85403717612</v>
      </c>
      <c r="CC129" s="365">
        <v>0</v>
      </c>
      <c r="CD129" s="375">
        <v>0</v>
      </c>
      <c r="CF129" s="365">
        <v>0</v>
      </c>
      <c r="CG129" s="375">
        <v>0</v>
      </c>
      <c r="CI129" s="365">
        <v>235443.85403717618</v>
      </c>
      <c r="CJ129" s="375">
        <v>1334181.8395439985</v>
      </c>
    </row>
    <row r="130" spans="7:88">
      <c r="G130" s="417">
        <v>126</v>
      </c>
      <c r="H130" s="251">
        <v>0</v>
      </c>
      <c r="I130" s="377">
        <v>0</v>
      </c>
      <c r="J130" s="368">
        <v>0</v>
      </c>
      <c r="K130" s="368">
        <v>5308520.9001056431</v>
      </c>
      <c r="L130" s="369">
        <v>2690393.7641290356</v>
      </c>
      <c r="N130" s="367">
        <v>2618127.1359766074</v>
      </c>
      <c r="O130" s="370">
        <v>0</v>
      </c>
      <c r="P130" s="370">
        <v>0</v>
      </c>
      <c r="Q130" s="370">
        <v>0</v>
      </c>
      <c r="R130" s="370">
        <v>0</v>
      </c>
      <c r="S130" s="370">
        <v>0</v>
      </c>
      <c r="T130" s="379">
        <v>63626400</v>
      </c>
      <c r="U130" s="371">
        <v>0</v>
      </c>
      <c r="V130" s="371">
        <v>1051750</v>
      </c>
      <c r="W130" s="372">
        <v>3669877.1359766074</v>
      </c>
      <c r="X130" s="41"/>
      <c r="Y130" s="365">
        <v>0</v>
      </c>
      <c r="Z130" s="370">
        <v>0</v>
      </c>
      <c r="AA130" s="370">
        <v>0</v>
      </c>
      <c r="AB130" s="375">
        <v>3669877.1359766074</v>
      </c>
      <c r="AC130" s="41"/>
      <c r="AD130" s="449">
        <v>0</v>
      </c>
      <c r="AE130" s="365">
        <v>0</v>
      </c>
      <c r="AF130" s="375">
        <v>2618127.1359766074</v>
      </c>
      <c r="AH130" s="365">
        <v>0</v>
      </c>
      <c r="AI130" s="370">
        <v>0</v>
      </c>
      <c r="AJ130" s="370">
        <v>0</v>
      </c>
      <c r="AK130" s="375">
        <v>2618127.1359766074</v>
      </c>
      <c r="AM130" s="365">
        <v>0</v>
      </c>
      <c r="AN130" s="370">
        <v>0</v>
      </c>
      <c r="AO130" s="370">
        <v>0</v>
      </c>
      <c r="AP130" s="375">
        <v>2618127.1359766074</v>
      </c>
      <c r="AR130" s="365">
        <v>0</v>
      </c>
      <c r="AS130" s="375">
        <v>2618127.1359766074</v>
      </c>
      <c r="AU130" s="378">
        <v>1050000</v>
      </c>
      <c r="AV130" s="379">
        <v>-1750</v>
      </c>
      <c r="AW130" s="380">
        <v>1050000</v>
      </c>
      <c r="AX130" s="381">
        <v>2619877.1359766074</v>
      </c>
      <c r="AZ130" s="365">
        <v>0</v>
      </c>
      <c r="BA130" s="370">
        <v>0</v>
      </c>
      <c r="BB130" s="370">
        <v>0</v>
      </c>
      <c r="BC130" s="375">
        <v>2619877.1359766074</v>
      </c>
      <c r="BE130" s="365">
        <v>0</v>
      </c>
      <c r="BF130" s="370">
        <v>0</v>
      </c>
      <c r="BG130" s="370">
        <v>0</v>
      </c>
      <c r="BH130" s="375">
        <v>2619877.1359766074</v>
      </c>
      <c r="BJ130" s="365">
        <v>0</v>
      </c>
      <c r="BK130" s="370">
        <v>0</v>
      </c>
      <c r="BL130" s="370">
        <v>0</v>
      </c>
      <c r="BM130" s="375">
        <v>2619877.1359766074</v>
      </c>
      <c r="BO130" s="365">
        <v>0</v>
      </c>
      <c r="BP130" s="370">
        <v>0</v>
      </c>
      <c r="BQ130" s="370">
        <v>0</v>
      </c>
      <c r="BR130" s="375">
        <v>2619877.1359766074</v>
      </c>
      <c r="BT130" s="365">
        <v>0</v>
      </c>
      <c r="BU130" s="370">
        <v>0</v>
      </c>
      <c r="BV130" s="370">
        <v>0</v>
      </c>
      <c r="BW130" s="375">
        <v>2619877.1359766074</v>
      </c>
      <c r="BY130" s="365">
        <v>2226895.5655801161</v>
      </c>
      <c r="BZ130" s="373">
        <v>92344264.830674261</v>
      </c>
      <c r="CA130" s="375">
        <v>392981.57039649133</v>
      </c>
      <c r="CC130" s="365">
        <v>0</v>
      </c>
      <c r="CD130" s="375">
        <v>0</v>
      </c>
      <c r="CF130" s="365">
        <v>0</v>
      </c>
      <c r="CG130" s="375">
        <v>0</v>
      </c>
      <c r="CI130" s="365">
        <v>392981.57039649109</v>
      </c>
      <c r="CJ130" s="375">
        <v>2226895.5655801161</v>
      </c>
    </row>
    <row r="131" spans="7:88">
      <c r="G131" s="417">
        <v>127</v>
      </c>
      <c r="H131" s="251">
        <v>0</v>
      </c>
      <c r="I131" s="377">
        <v>0</v>
      </c>
      <c r="J131" s="368">
        <v>0</v>
      </c>
      <c r="K131" s="368">
        <v>5308520.9001056431</v>
      </c>
      <c r="L131" s="369">
        <v>2691893.1568999891</v>
      </c>
      <c r="N131" s="367">
        <v>2616627.743205654</v>
      </c>
      <c r="O131" s="370">
        <v>0</v>
      </c>
      <c r="P131" s="370">
        <v>0</v>
      </c>
      <c r="Q131" s="370">
        <v>0</v>
      </c>
      <c r="R131" s="370">
        <v>0</v>
      </c>
      <c r="S131" s="370">
        <v>0</v>
      </c>
      <c r="T131" s="379">
        <v>63626400</v>
      </c>
      <c r="U131" s="371">
        <v>0</v>
      </c>
      <c r="V131" s="371">
        <v>1051750</v>
      </c>
      <c r="W131" s="372">
        <v>3668377.743205654</v>
      </c>
      <c r="X131" s="41"/>
      <c r="Y131" s="365">
        <v>0</v>
      </c>
      <c r="Z131" s="370">
        <v>0</v>
      </c>
      <c r="AA131" s="370">
        <v>0</v>
      </c>
      <c r="AB131" s="375">
        <v>3668377.743205654</v>
      </c>
      <c r="AC131" s="41"/>
      <c r="AD131" s="449">
        <v>0</v>
      </c>
      <c r="AE131" s="365">
        <v>0</v>
      </c>
      <c r="AF131" s="375">
        <v>2616627.743205654</v>
      </c>
      <c r="AH131" s="365">
        <v>0</v>
      </c>
      <c r="AI131" s="370">
        <v>0</v>
      </c>
      <c r="AJ131" s="370">
        <v>0</v>
      </c>
      <c r="AK131" s="375">
        <v>2616627.743205654</v>
      </c>
      <c r="AM131" s="365">
        <v>0</v>
      </c>
      <c r="AN131" s="370">
        <v>0</v>
      </c>
      <c r="AO131" s="370">
        <v>0</v>
      </c>
      <c r="AP131" s="375">
        <v>2616627.743205654</v>
      </c>
      <c r="AR131" s="365">
        <v>0</v>
      </c>
      <c r="AS131" s="375">
        <v>2616627.743205654</v>
      </c>
      <c r="AU131" s="378">
        <v>1050000</v>
      </c>
      <c r="AV131" s="379">
        <v>-1750</v>
      </c>
      <c r="AW131" s="380">
        <v>1050000</v>
      </c>
      <c r="AX131" s="381">
        <v>2618377.743205654</v>
      </c>
      <c r="AZ131" s="365">
        <v>0</v>
      </c>
      <c r="BA131" s="370">
        <v>0</v>
      </c>
      <c r="BB131" s="370">
        <v>0</v>
      </c>
      <c r="BC131" s="375">
        <v>2618377.743205654</v>
      </c>
      <c r="BE131" s="365">
        <v>0</v>
      </c>
      <c r="BF131" s="370">
        <v>0</v>
      </c>
      <c r="BG131" s="370">
        <v>0</v>
      </c>
      <c r="BH131" s="375">
        <v>2618377.743205654</v>
      </c>
      <c r="BJ131" s="365">
        <v>0</v>
      </c>
      <c r="BK131" s="370">
        <v>0</v>
      </c>
      <c r="BL131" s="370">
        <v>0</v>
      </c>
      <c r="BM131" s="375">
        <v>2618377.743205654</v>
      </c>
      <c r="BO131" s="365">
        <v>0</v>
      </c>
      <c r="BP131" s="370">
        <v>0</v>
      </c>
      <c r="BQ131" s="370">
        <v>0</v>
      </c>
      <c r="BR131" s="375">
        <v>2618377.743205654</v>
      </c>
      <c r="BT131" s="365">
        <v>0</v>
      </c>
      <c r="BU131" s="370">
        <v>0</v>
      </c>
      <c r="BV131" s="370">
        <v>0</v>
      </c>
      <c r="BW131" s="375">
        <v>2618377.743205654</v>
      </c>
      <c r="BY131" s="365">
        <v>2225621.0817248058</v>
      </c>
      <c r="BZ131" s="373">
        <v>94569885.912399068</v>
      </c>
      <c r="CA131" s="375">
        <v>392756.66148084821</v>
      </c>
      <c r="CC131" s="365">
        <v>0</v>
      </c>
      <c r="CD131" s="375">
        <v>0</v>
      </c>
      <c r="CF131" s="365">
        <v>0</v>
      </c>
      <c r="CG131" s="375">
        <v>0</v>
      </c>
      <c r="CI131" s="365">
        <v>392756.6614808481</v>
      </c>
      <c r="CJ131" s="375">
        <v>2225621.0817248058</v>
      </c>
    </row>
    <row r="132" spans="7:88">
      <c r="G132" s="417">
        <v>128</v>
      </c>
      <c r="H132" s="251">
        <v>0</v>
      </c>
      <c r="I132" s="377">
        <v>0</v>
      </c>
      <c r="J132" s="368">
        <v>0</v>
      </c>
      <c r="K132" s="368">
        <v>5308520.9001056431</v>
      </c>
      <c r="L132" s="369">
        <v>2693393.3853027793</v>
      </c>
      <c r="N132" s="367">
        <v>2615127.5148028638</v>
      </c>
      <c r="O132" s="370">
        <v>0</v>
      </c>
      <c r="P132" s="370">
        <v>0</v>
      </c>
      <c r="Q132" s="370">
        <v>0</v>
      </c>
      <c r="R132" s="370">
        <v>0</v>
      </c>
      <c r="S132" s="370">
        <v>0</v>
      </c>
      <c r="T132" s="379">
        <v>63626400</v>
      </c>
      <c r="U132" s="371">
        <v>0</v>
      </c>
      <c r="V132" s="371">
        <v>1051750</v>
      </c>
      <c r="W132" s="372">
        <v>3666877.5148028638</v>
      </c>
      <c r="X132" s="41"/>
      <c r="Y132" s="365">
        <v>0</v>
      </c>
      <c r="Z132" s="370">
        <v>0</v>
      </c>
      <c r="AA132" s="370">
        <v>0</v>
      </c>
      <c r="AB132" s="375">
        <v>3666877.5148028638</v>
      </c>
      <c r="AC132" s="41"/>
      <c r="AD132" s="449">
        <v>0</v>
      </c>
      <c r="AE132" s="365">
        <v>0</v>
      </c>
      <c r="AF132" s="375">
        <v>2615127.5148028638</v>
      </c>
      <c r="AH132" s="365">
        <v>0</v>
      </c>
      <c r="AI132" s="370">
        <v>0</v>
      </c>
      <c r="AJ132" s="370">
        <v>0</v>
      </c>
      <c r="AK132" s="375">
        <v>2615127.5148028638</v>
      </c>
      <c r="AM132" s="365">
        <v>0</v>
      </c>
      <c r="AN132" s="370">
        <v>0</v>
      </c>
      <c r="AO132" s="370">
        <v>0</v>
      </c>
      <c r="AP132" s="375">
        <v>2615127.5148028638</v>
      </c>
      <c r="AR132" s="365">
        <v>0</v>
      </c>
      <c r="AS132" s="375">
        <v>2615127.5148028638</v>
      </c>
      <c r="AU132" s="378">
        <v>2100000</v>
      </c>
      <c r="AV132" s="379">
        <v>1048250</v>
      </c>
      <c r="AW132" s="380">
        <v>2100000</v>
      </c>
      <c r="AX132" s="381">
        <v>1566877.5148028638</v>
      </c>
      <c r="AZ132" s="365">
        <v>0</v>
      </c>
      <c r="BA132" s="370">
        <v>0</v>
      </c>
      <c r="BB132" s="370">
        <v>0</v>
      </c>
      <c r="BC132" s="375">
        <v>1566877.5148028638</v>
      </c>
      <c r="BE132" s="365">
        <v>0</v>
      </c>
      <c r="BF132" s="370">
        <v>0</v>
      </c>
      <c r="BG132" s="370">
        <v>0</v>
      </c>
      <c r="BH132" s="375">
        <v>1566877.5148028638</v>
      </c>
      <c r="BJ132" s="365">
        <v>0</v>
      </c>
      <c r="BK132" s="370">
        <v>0</v>
      </c>
      <c r="BL132" s="370">
        <v>0</v>
      </c>
      <c r="BM132" s="375">
        <v>1566877.5148028638</v>
      </c>
      <c r="BO132" s="365">
        <v>0</v>
      </c>
      <c r="BP132" s="370">
        <v>0</v>
      </c>
      <c r="BQ132" s="370">
        <v>0</v>
      </c>
      <c r="BR132" s="375">
        <v>1566877.5148028638</v>
      </c>
      <c r="BT132" s="365">
        <v>0</v>
      </c>
      <c r="BU132" s="370">
        <v>0</v>
      </c>
      <c r="BV132" s="370">
        <v>0</v>
      </c>
      <c r="BW132" s="375">
        <v>1566877.5148028638</v>
      </c>
      <c r="BY132" s="365">
        <v>1331845.8875824341</v>
      </c>
      <c r="BZ132" s="373">
        <v>95901731.799981505</v>
      </c>
      <c r="CA132" s="375">
        <v>235031.62722042971</v>
      </c>
      <c r="CC132" s="365">
        <v>0</v>
      </c>
      <c r="CD132" s="375">
        <v>0</v>
      </c>
      <c r="CF132" s="365">
        <v>0</v>
      </c>
      <c r="CG132" s="375">
        <v>0</v>
      </c>
      <c r="CI132" s="365">
        <v>235031.62722042957</v>
      </c>
      <c r="CJ132" s="375">
        <v>1331845.8875824341</v>
      </c>
    </row>
    <row r="133" spans="7:88">
      <c r="G133" s="417">
        <v>129</v>
      </c>
      <c r="H133" s="251">
        <v>0</v>
      </c>
      <c r="I133" s="377">
        <v>1</v>
      </c>
      <c r="J133" s="368">
        <v>0</v>
      </c>
      <c r="K133" s="368">
        <v>4963091.6858428447</v>
      </c>
      <c r="L133" s="369">
        <v>2694894.4498031139</v>
      </c>
      <c r="N133" s="367">
        <v>2268197.2360397307</v>
      </c>
      <c r="O133" s="370">
        <v>0</v>
      </c>
      <c r="P133" s="370">
        <v>0</v>
      </c>
      <c r="Q133" s="370">
        <v>0</v>
      </c>
      <c r="R133" s="370">
        <v>0</v>
      </c>
      <c r="S133" s="370">
        <v>0</v>
      </c>
      <c r="T133" s="379">
        <v>63626400</v>
      </c>
      <c r="U133" s="371">
        <v>0</v>
      </c>
      <c r="V133" s="371">
        <v>2103500</v>
      </c>
      <c r="W133" s="372">
        <v>4371697.2360397307</v>
      </c>
      <c r="X133" s="41"/>
      <c r="Y133" s="365">
        <v>1050000</v>
      </c>
      <c r="Z133" s="370">
        <v>1050000</v>
      </c>
      <c r="AA133" s="370">
        <v>0</v>
      </c>
      <c r="AB133" s="375">
        <v>3321697.2360397307</v>
      </c>
      <c r="AC133" s="41"/>
      <c r="AD133" s="449">
        <v>1050000</v>
      </c>
      <c r="AE133" s="365">
        <v>0</v>
      </c>
      <c r="AF133" s="375">
        <v>1218197.2360397307</v>
      </c>
      <c r="AH133" s="365">
        <v>0</v>
      </c>
      <c r="AI133" s="370">
        <v>0</v>
      </c>
      <c r="AJ133" s="370">
        <v>0</v>
      </c>
      <c r="AK133" s="375">
        <v>1218197.2360397307</v>
      </c>
      <c r="AM133" s="365">
        <v>0</v>
      </c>
      <c r="AN133" s="370">
        <v>0</v>
      </c>
      <c r="AO133" s="370">
        <v>0</v>
      </c>
      <c r="AP133" s="375">
        <v>1218197.2360397307</v>
      </c>
      <c r="AR133" s="365">
        <v>0</v>
      </c>
      <c r="AS133" s="375">
        <v>1218197.2360397307</v>
      </c>
      <c r="AU133" s="378">
        <v>1050000</v>
      </c>
      <c r="AV133" s="379">
        <v>-1053500</v>
      </c>
      <c r="AW133" s="380">
        <v>1050000</v>
      </c>
      <c r="AX133" s="381">
        <v>2271697.2360397307</v>
      </c>
      <c r="AZ133" s="365">
        <v>0</v>
      </c>
      <c r="BA133" s="370">
        <v>0</v>
      </c>
      <c r="BB133" s="370">
        <v>0</v>
      </c>
      <c r="BC133" s="375">
        <v>2271697.2360397307</v>
      </c>
      <c r="BE133" s="365">
        <v>0</v>
      </c>
      <c r="BF133" s="370">
        <v>0</v>
      </c>
      <c r="BG133" s="370">
        <v>0</v>
      </c>
      <c r="BH133" s="375">
        <v>2271697.2360397307</v>
      </c>
      <c r="BJ133" s="365">
        <v>0</v>
      </c>
      <c r="BK133" s="370">
        <v>0</v>
      </c>
      <c r="BL133" s="370">
        <v>0</v>
      </c>
      <c r="BM133" s="375">
        <v>2271697.2360397307</v>
      </c>
      <c r="BO133" s="365">
        <v>0</v>
      </c>
      <c r="BP133" s="370">
        <v>0</v>
      </c>
      <c r="BQ133" s="370">
        <v>0</v>
      </c>
      <c r="BR133" s="375">
        <v>2271697.2360397307</v>
      </c>
      <c r="BT133" s="365">
        <v>0</v>
      </c>
      <c r="BU133" s="370">
        <v>0</v>
      </c>
      <c r="BV133" s="370">
        <v>0</v>
      </c>
      <c r="BW133" s="375">
        <v>2271697.2360397307</v>
      </c>
      <c r="BY133" s="365">
        <v>1930942.650633771</v>
      </c>
      <c r="BZ133" s="373">
        <v>97832674.450615272</v>
      </c>
      <c r="CA133" s="375">
        <v>340754.58540595975</v>
      </c>
      <c r="CC133" s="365">
        <v>0</v>
      </c>
      <c r="CD133" s="375">
        <v>0</v>
      </c>
      <c r="CF133" s="365">
        <v>0</v>
      </c>
      <c r="CG133" s="375">
        <v>0</v>
      </c>
      <c r="CI133" s="365">
        <v>340754.58540595957</v>
      </c>
      <c r="CJ133" s="375">
        <v>1930942.650633771</v>
      </c>
    </row>
    <row r="134" spans="7:88">
      <c r="G134" s="417">
        <v>130</v>
      </c>
      <c r="H134" s="251">
        <v>0</v>
      </c>
      <c r="I134" s="377">
        <v>0</v>
      </c>
      <c r="J134" s="368">
        <v>0</v>
      </c>
      <c r="K134" s="368">
        <v>5313933.0168697042</v>
      </c>
      <c r="L134" s="369">
        <v>2696396.3508669627</v>
      </c>
      <c r="N134" s="367">
        <v>2617536.6660027415</v>
      </c>
      <c r="O134" s="370">
        <v>0</v>
      </c>
      <c r="P134" s="370">
        <v>0</v>
      </c>
      <c r="Q134" s="370">
        <v>0</v>
      </c>
      <c r="R134" s="370">
        <v>0</v>
      </c>
      <c r="S134" s="370">
        <v>0</v>
      </c>
      <c r="T134" s="379">
        <v>63626400</v>
      </c>
      <c r="U134" s="371">
        <v>0</v>
      </c>
      <c r="V134" s="371">
        <v>1051750</v>
      </c>
      <c r="W134" s="372">
        <v>3669286.6660027415</v>
      </c>
      <c r="X134" s="41"/>
      <c r="Y134" s="365">
        <v>0</v>
      </c>
      <c r="Z134" s="370">
        <v>0</v>
      </c>
      <c r="AA134" s="370">
        <v>0</v>
      </c>
      <c r="AB134" s="375">
        <v>3669286.6660027415</v>
      </c>
      <c r="AC134" s="41"/>
      <c r="AD134" s="449">
        <v>0</v>
      </c>
      <c r="AE134" s="365">
        <v>0</v>
      </c>
      <c r="AF134" s="375">
        <v>2617536.6660027415</v>
      </c>
      <c r="AH134" s="365">
        <v>0</v>
      </c>
      <c r="AI134" s="370">
        <v>0</v>
      </c>
      <c r="AJ134" s="370">
        <v>0</v>
      </c>
      <c r="AK134" s="375">
        <v>2617536.6660027415</v>
      </c>
      <c r="AM134" s="365">
        <v>0</v>
      </c>
      <c r="AN134" s="370">
        <v>0</v>
      </c>
      <c r="AO134" s="370">
        <v>0</v>
      </c>
      <c r="AP134" s="375">
        <v>2617536.6660027415</v>
      </c>
      <c r="AR134" s="365">
        <v>0</v>
      </c>
      <c r="AS134" s="375">
        <v>2617536.6660027415</v>
      </c>
      <c r="AU134" s="378">
        <v>1050000</v>
      </c>
      <c r="AV134" s="379">
        <v>-1750</v>
      </c>
      <c r="AW134" s="380">
        <v>1050000</v>
      </c>
      <c r="AX134" s="381">
        <v>2619286.6660027415</v>
      </c>
      <c r="AZ134" s="365">
        <v>0</v>
      </c>
      <c r="BA134" s="370">
        <v>0</v>
      </c>
      <c r="BB134" s="370">
        <v>0</v>
      </c>
      <c r="BC134" s="375">
        <v>2619286.6660027415</v>
      </c>
      <c r="BE134" s="365">
        <v>0</v>
      </c>
      <c r="BF134" s="370">
        <v>0</v>
      </c>
      <c r="BG134" s="370">
        <v>0</v>
      </c>
      <c r="BH134" s="375">
        <v>2619286.6660027415</v>
      </c>
      <c r="BJ134" s="365">
        <v>0</v>
      </c>
      <c r="BK134" s="370">
        <v>0</v>
      </c>
      <c r="BL134" s="370">
        <v>0</v>
      </c>
      <c r="BM134" s="375">
        <v>2619286.6660027415</v>
      </c>
      <c r="BO134" s="365">
        <v>0</v>
      </c>
      <c r="BP134" s="370">
        <v>0</v>
      </c>
      <c r="BQ134" s="370">
        <v>0</v>
      </c>
      <c r="BR134" s="375">
        <v>2619286.6660027415</v>
      </c>
      <c r="BT134" s="365">
        <v>0</v>
      </c>
      <c r="BU134" s="370">
        <v>0</v>
      </c>
      <c r="BV134" s="370">
        <v>0</v>
      </c>
      <c r="BW134" s="375">
        <v>2619286.6660027415</v>
      </c>
      <c r="BY134" s="365">
        <v>2226393.6661023302</v>
      </c>
      <c r="BZ134" s="373">
        <v>100059068.11671761</v>
      </c>
      <c r="CA134" s="375">
        <v>392892.99990041135</v>
      </c>
      <c r="CC134" s="365">
        <v>0</v>
      </c>
      <c r="CD134" s="375">
        <v>0</v>
      </c>
      <c r="CF134" s="365">
        <v>0</v>
      </c>
      <c r="CG134" s="375">
        <v>0</v>
      </c>
      <c r="CI134" s="365">
        <v>392892.99990041123</v>
      </c>
      <c r="CJ134" s="375">
        <v>2226393.6661023302</v>
      </c>
    </row>
    <row r="135" spans="7:88">
      <c r="G135" s="417">
        <v>131</v>
      </c>
      <c r="H135" s="251">
        <v>0</v>
      </c>
      <c r="I135" s="377">
        <v>0</v>
      </c>
      <c r="J135" s="368">
        <v>0</v>
      </c>
      <c r="K135" s="368">
        <v>5313933.0168697042</v>
      </c>
      <c r="L135" s="369">
        <v>2697899.088960554</v>
      </c>
      <c r="N135" s="367">
        <v>2616033.9279091503</v>
      </c>
      <c r="O135" s="370">
        <v>0</v>
      </c>
      <c r="P135" s="370">
        <v>0</v>
      </c>
      <c r="Q135" s="370">
        <v>0</v>
      </c>
      <c r="R135" s="370">
        <v>0</v>
      </c>
      <c r="S135" s="370">
        <v>0</v>
      </c>
      <c r="T135" s="379">
        <v>63626400</v>
      </c>
      <c r="U135" s="371">
        <v>0</v>
      </c>
      <c r="V135" s="371">
        <v>1051750</v>
      </c>
      <c r="W135" s="372">
        <v>3667783.9279091503</v>
      </c>
      <c r="X135" s="41"/>
      <c r="Y135" s="365">
        <v>0</v>
      </c>
      <c r="Z135" s="370">
        <v>0</v>
      </c>
      <c r="AA135" s="370">
        <v>0</v>
      </c>
      <c r="AB135" s="375">
        <v>3667783.9279091503</v>
      </c>
      <c r="AC135" s="41"/>
      <c r="AD135" s="449">
        <v>0</v>
      </c>
      <c r="AE135" s="365">
        <v>0</v>
      </c>
      <c r="AF135" s="375">
        <v>2616033.9279091503</v>
      </c>
      <c r="AH135" s="365">
        <v>0</v>
      </c>
      <c r="AI135" s="370">
        <v>0</v>
      </c>
      <c r="AJ135" s="370">
        <v>0</v>
      </c>
      <c r="AK135" s="375">
        <v>2616033.9279091503</v>
      </c>
      <c r="AM135" s="365">
        <v>0</v>
      </c>
      <c r="AN135" s="370">
        <v>0</v>
      </c>
      <c r="AO135" s="370">
        <v>0</v>
      </c>
      <c r="AP135" s="375">
        <v>2616033.9279091503</v>
      </c>
      <c r="AR135" s="365">
        <v>0</v>
      </c>
      <c r="AS135" s="375">
        <v>2616033.9279091503</v>
      </c>
      <c r="AU135" s="378">
        <v>2100000</v>
      </c>
      <c r="AV135" s="379">
        <v>1048250</v>
      </c>
      <c r="AW135" s="380">
        <v>2100000</v>
      </c>
      <c r="AX135" s="381">
        <v>1567783.9279091503</v>
      </c>
      <c r="AZ135" s="365">
        <v>0</v>
      </c>
      <c r="BA135" s="370">
        <v>0</v>
      </c>
      <c r="BB135" s="370">
        <v>0</v>
      </c>
      <c r="BC135" s="375">
        <v>1567783.9279091503</v>
      </c>
      <c r="BE135" s="365">
        <v>0</v>
      </c>
      <c r="BF135" s="370">
        <v>0</v>
      </c>
      <c r="BG135" s="370">
        <v>0</v>
      </c>
      <c r="BH135" s="375">
        <v>1567783.9279091503</v>
      </c>
      <c r="BJ135" s="365">
        <v>0</v>
      </c>
      <c r="BK135" s="370">
        <v>0</v>
      </c>
      <c r="BL135" s="370">
        <v>0</v>
      </c>
      <c r="BM135" s="375">
        <v>1567783.9279091503</v>
      </c>
      <c r="BO135" s="365">
        <v>0</v>
      </c>
      <c r="BP135" s="370">
        <v>0</v>
      </c>
      <c r="BQ135" s="370">
        <v>0</v>
      </c>
      <c r="BR135" s="375">
        <v>1567783.9279091503</v>
      </c>
      <c r="BT135" s="365">
        <v>0</v>
      </c>
      <c r="BU135" s="370">
        <v>0</v>
      </c>
      <c r="BV135" s="370">
        <v>0</v>
      </c>
      <c r="BW135" s="375">
        <v>1567783.9279091503</v>
      </c>
      <c r="BY135" s="365">
        <v>1332616.3387227778</v>
      </c>
      <c r="BZ135" s="373">
        <v>101391684.45544039</v>
      </c>
      <c r="CA135" s="375">
        <v>235167.58918637247</v>
      </c>
      <c r="CC135" s="365">
        <v>0</v>
      </c>
      <c r="CD135" s="375">
        <v>0</v>
      </c>
      <c r="CF135" s="365">
        <v>0</v>
      </c>
      <c r="CG135" s="375">
        <v>0</v>
      </c>
      <c r="CI135" s="365">
        <v>235167.58918637253</v>
      </c>
      <c r="CJ135" s="375">
        <v>1332616.3387227778</v>
      </c>
    </row>
    <row r="136" spans="7:88">
      <c r="G136" s="417">
        <v>132</v>
      </c>
      <c r="H136" s="251">
        <v>0</v>
      </c>
      <c r="I136" s="377">
        <v>2</v>
      </c>
      <c r="J136" s="368">
        <v>0</v>
      </c>
      <c r="K136" s="368">
        <v>4653543.0953755304</v>
      </c>
      <c r="L136" s="369">
        <v>2699402.6645503743</v>
      </c>
      <c r="N136" s="367">
        <v>1954140.4308251562</v>
      </c>
      <c r="O136" s="370">
        <v>0</v>
      </c>
      <c r="P136" s="370">
        <v>0</v>
      </c>
      <c r="Q136" s="370">
        <v>0</v>
      </c>
      <c r="R136" s="370">
        <v>0</v>
      </c>
      <c r="S136" s="370">
        <v>0</v>
      </c>
      <c r="T136" s="379">
        <v>63626400</v>
      </c>
      <c r="U136" s="371">
        <v>0</v>
      </c>
      <c r="V136" s="371">
        <v>2103500</v>
      </c>
      <c r="W136" s="372">
        <v>4057640.4308251562</v>
      </c>
      <c r="X136" s="41"/>
      <c r="Y136" s="365">
        <v>1050000</v>
      </c>
      <c r="Z136" s="370">
        <v>1050000</v>
      </c>
      <c r="AA136" s="370">
        <v>0</v>
      </c>
      <c r="AB136" s="375">
        <v>3007640.4308251562</v>
      </c>
      <c r="AC136" s="41"/>
      <c r="AD136" s="449">
        <v>1050000</v>
      </c>
      <c r="AE136" s="365">
        <v>0</v>
      </c>
      <c r="AF136" s="375">
        <v>904140.43082515616</v>
      </c>
      <c r="AH136" s="365">
        <v>0</v>
      </c>
      <c r="AI136" s="370">
        <v>0</v>
      </c>
      <c r="AJ136" s="370">
        <v>0</v>
      </c>
      <c r="AK136" s="375">
        <v>904140.43082515616</v>
      </c>
      <c r="AM136" s="365">
        <v>0</v>
      </c>
      <c r="AN136" s="370">
        <v>0</v>
      </c>
      <c r="AO136" s="370">
        <v>0</v>
      </c>
      <c r="AP136" s="375">
        <v>904140.43082515616</v>
      </c>
      <c r="AR136" s="365">
        <v>0</v>
      </c>
      <c r="AS136" s="375">
        <v>904140.43082515616</v>
      </c>
      <c r="AU136" s="378">
        <v>3150000</v>
      </c>
      <c r="AV136" s="379">
        <v>904140.43082515616</v>
      </c>
      <c r="AW136" s="380">
        <v>3007640.4308251562</v>
      </c>
      <c r="AX136" s="381">
        <v>0</v>
      </c>
      <c r="AZ136" s="365">
        <v>0</v>
      </c>
      <c r="BA136" s="370">
        <v>0</v>
      </c>
      <c r="BB136" s="370">
        <v>0</v>
      </c>
      <c r="BC136" s="375">
        <v>0</v>
      </c>
      <c r="BE136" s="365">
        <v>0</v>
      </c>
      <c r="BF136" s="370">
        <v>0</v>
      </c>
      <c r="BG136" s="370">
        <v>0</v>
      </c>
      <c r="BH136" s="375">
        <v>0</v>
      </c>
      <c r="BJ136" s="365">
        <v>0</v>
      </c>
      <c r="BK136" s="370">
        <v>0</v>
      </c>
      <c r="BL136" s="370">
        <v>0</v>
      </c>
      <c r="BM136" s="375">
        <v>0</v>
      </c>
      <c r="BO136" s="365">
        <v>0</v>
      </c>
      <c r="BP136" s="370">
        <v>0</v>
      </c>
      <c r="BQ136" s="370">
        <v>0</v>
      </c>
      <c r="BR136" s="375">
        <v>0</v>
      </c>
      <c r="BT136" s="365">
        <v>0</v>
      </c>
      <c r="BU136" s="370">
        <v>0</v>
      </c>
      <c r="BV136" s="370">
        <v>0</v>
      </c>
      <c r="BW136" s="375">
        <v>0</v>
      </c>
      <c r="BY136" s="365">
        <v>0</v>
      </c>
      <c r="BZ136" s="373">
        <v>101391684.45544039</v>
      </c>
      <c r="CA136" s="375">
        <v>0</v>
      </c>
      <c r="CC136" s="365">
        <v>0</v>
      </c>
      <c r="CD136" s="375">
        <v>0</v>
      </c>
      <c r="CF136" s="365">
        <v>0</v>
      </c>
      <c r="CG136" s="375">
        <v>0</v>
      </c>
      <c r="CI136" s="365">
        <v>0</v>
      </c>
      <c r="CJ136" s="375">
        <v>0</v>
      </c>
    </row>
    <row r="137" spans="7:88">
      <c r="G137" s="417">
        <v>133</v>
      </c>
      <c r="H137" s="251">
        <v>0</v>
      </c>
      <c r="I137" s="377">
        <v>1</v>
      </c>
      <c r="J137" s="368">
        <v>0</v>
      </c>
      <c r="K137" s="368">
        <v>4959041.1039625341</v>
      </c>
      <c r="L137" s="369">
        <v>2700907.0781031726</v>
      </c>
      <c r="N137" s="367">
        <v>2258134.0258593615</v>
      </c>
      <c r="O137" s="370">
        <v>0</v>
      </c>
      <c r="P137" s="370">
        <v>0</v>
      </c>
      <c r="Q137" s="370">
        <v>0</v>
      </c>
      <c r="R137" s="370">
        <v>0</v>
      </c>
      <c r="S137" s="370">
        <v>0</v>
      </c>
      <c r="T137" s="379">
        <v>63626400</v>
      </c>
      <c r="U137" s="371">
        <v>0</v>
      </c>
      <c r="V137" s="371">
        <v>3012653.1648765313</v>
      </c>
      <c r="W137" s="372">
        <v>5270787.1907358933</v>
      </c>
      <c r="X137" s="41"/>
      <c r="Y137" s="365">
        <v>0</v>
      </c>
      <c r="Z137" s="370">
        <v>0</v>
      </c>
      <c r="AA137" s="370">
        <v>0</v>
      </c>
      <c r="AB137" s="375">
        <v>5270787.1907358933</v>
      </c>
      <c r="AC137" s="41"/>
      <c r="AD137" s="449">
        <v>0</v>
      </c>
      <c r="AE137" s="365">
        <v>0</v>
      </c>
      <c r="AF137" s="375">
        <v>2258134.025859362</v>
      </c>
      <c r="AH137" s="365">
        <v>0</v>
      </c>
      <c r="AI137" s="370">
        <v>0</v>
      </c>
      <c r="AJ137" s="370">
        <v>0</v>
      </c>
      <c r="AK137" s="375">
        <v>2258134.025859362</v>
      </c>
      <c r="AM137" s="365">
        <v>0</v>
      </c>
      <c r="AN137" s="370">
        <v>0</v>
      </c>
      <c r="AO137" s="370">
        <v>0</v>
      </c>
      <c r="AP137" s="375">
        <v>2258134.025859362</v>
      </c>
      <c r="AR137" s="365">
        <v>0</v>
      </c>
      <c r="AS137" s="375">
        <v>2258134.025859362</v>
      </c>
      <c r="AU137" s="378">
        <v>3150000</v>
      </c>
      <c r="AV137" s="379">
        <v>137346.83512346866</v>
      </c>
      <c r="AW137" s="380">
        <v>3150000</v>
      </c>
      <c r="AX137" s="381">
        <v>2120787.1907358933</v>
      </c>
      <c r="AZ137" s="365">
        <v>0</v>
      </c>
      <c r="BA137" s="370">
        <v>0</v>
      </c>
      <c r="BB137" s="370">
        <v>0</v>
      </c>
      <c r="BC137" s="375">
        <v>2120787.1907358933</v>
      </c>
      <c r="BE137" s="365">
        <v>0</v>
      </c>
      <c r="BF137" s="370">
        <v>0</v>
      </c>
      <c r="BG137" s="370">
        <v>0</v>
      </c>
      <c r="BH137" s="375">
        <v>2120787.1907358933</v>
      </c>
      <c r="BJ137" s="365">
        <v>0</v>
      </c>
      <c r="BK137" s="370">
        <v>0</v>
      </c>
      <c r="BL137" s="370">
        <v>0</v>
      </c>
      <c r="BM137" s="375">
        <v>2120787.1907358933</v>
      </c>
      <c r="BO137" s="365">
        <v>0</v>
      </c>
      <c r="BP137" s="370">
        <v>0</v>
      </c>
      <c r="BQ137" s="370">
        <v>0</v>
      </c>
      <c r="BR137" s="375">
        <v>2120787.1907358933</v>
      </c>
      <c r="BT137" s="365">
        <v>0</v>
      </c>
      <c r="BU137" s="370">
        <v>0</v>
      </c>
      <c r="BV137" s="370">
        <v>0</v>
      </c>
      <c r="BW137" s="375">
        <v>2120787.1907358933</v>
      </c>
      <c r="BY137" s="365">
        <v>1802669.1121255092</v>
      </c>
      <c r="BZ137" s="373">
        <v>103194353.5675659</v>
      </c>
      <c r="CA137" s="375">
        <v>318118.07861038414</v>
      </c>
      <c r="CC137" s="365">
        <v>0</v>
      </c>
      <c r="CD137" s="375">
        <v>0</v>
      </c>
      <c r="CF137" s="365">
        <v>0</v>
      </c>
      <c r="CG137" s="375">
        <v>0</v>
      </c>
      <c r="CI137" s="365">
        <v>318118.07861038396</v>
      </c>
      <c r="CJ137" s="375">
        <v>1802669.1121255092</v>
      </c>
    </row>
    <row r="138" spans="7:88">
      <c r="G138" s="417">
        <v>134</v>
      </c>
      <c r="H138" s="251">
        <v>0</v>
      </c>
      <c r="I138" s="377">
        <v>3</v>
      </c>
      <c r="J138" s="368">
        <v>0</v>
      </c>
      <c r="K138" s="368">
        <v>4425487.9596929988</v>
      </c>
      <c r="L138" s="369">
        <v>2702412.3300859565</v>
      </c>
      <c r="N138" s="367">
        <v>1723075.6296070423</v>
      </c>
      <c r="O138" s="370">
        <v>0</v>
      </c>
      <c r="P138" s="370">
        <v>0</v>
      </c>
      <c r="Q138" s="370">
        <v>0</v>
      </c>
      <c r="R138" s="370">
        <v>0</v>
      </c>
      <c r="S138" s="370">
        <v>0</v>
      </c>
      <c r="T138" s="379">
        <v>63626400</v>
      </c>
      <c r="U138" s="371">
        <v>0</v>
      </c>
      <c r="V138" s="371">
        <v>3155250</v>
      </c>
      <c r="W138" s="372">
        <v>4878325.6296070423</v>
      </c>
      <c r="X138" s="41"/>
      <c r="Y138" s="365">
        <v>0</v>
      </c>
      <c r="Z138" s="370">
        <v>0</v>
      </c>
      <c r="AA138" s="370">
        <v>0</v>
      </c>
      <c r="AB138" s="375">
        <v>4878325.6296070423</v>
      </c>
      <c r="AC138" s="41"/>
      <c r="AD138" s="449">
        <v>0</v>
      </c>
      <c r="AE138" s="365">
        <v>0</v>
      </c>
      <c r="AF138" s="375">
        <v>1723075.6296070423</v>
      </c>
      <c r="AH138" s="365">
        <v>0</v>
      </c>
      <c r="AI138" s="370">
        <v>0</v>
      </c>
      <c r="AJ138" s="370">
        <v>0</v>
      </c>
      <c r="AK138" s="375">
        <v>1723075.6296070423</v>
      </c>
      <c r="AM138" s="365">
        <v>0</v>
      </c>
      <c r="AN138" s="370">
        <v>0</v>
      </c>
      <c r="AO138" s="370">
        <v>0</v>
      </c>
      <c r="AP138" s="375">
        <v>1723075.6296070423</v>
      </c>
      <c r="AR138" s="365">
        <v>0</v>
      </c>
      <c r="AS138" s="375">
        <v>1723075.6296070423</v>
      </c>
      <c r="AU138" s="378">
        <v>3150000</v>
      </c>
      <c r="AV138" s="379">
        <v>-5250</v>
      </c>
      <c r="AW138" s="380">
        <v>3150000</v>
      </c>
      <c r="AX138" s="381">
        <v>1728325.6296070423</v>
      </c>
      <c r="AZ138" s="365">
        <v>0</v>
      </c>
      <c r="BA138" s="370">
        <v>0</v>
      </c>
      <c r="BB138" s="370">
        <v>0</v>
      </c>
      <c r="BC138" s="375">
        <v>1728325.6296070423</v>
      </c>
      <c r="BE138" s="365">
        <v>0</v>
      </c>
      <c r="BF138" s="370">
        <v>0</v>
      </c>
      <c r="BG138" s="370">
        <v>0</v>
      </c>
      <c r="BH138" s="375">
        <v>1728325.6296070423</v>
      </c>
      <c r="BJ138" s="365">
        <v>0</v>
      </c>
      <c r="BK138" s="370">
        <v>0</v>
      </c>
      <c r="BL138" s="370">
        <v>0</v>
      </c>
      <c r="BM138" s="375">
        <v>1728325.6296070423</v>
      </c>
      <c r="BO138" s="365">
        <v>0</v>
      </c>
      <c r="BP138" s="370">
        <v>0</v>
      </c>
      <c r="BQ138" s="370">
        <v>0</v>
      </c>
      <c r="BR138" s="375">
        <v>1728325.6296070423</v>
      </c>
      <c r="BT138" s="365">
        <v>0</v>
      </c>
      <c r="BU138" s="370">
        <v>0</v>
      </c>
      <c r="BV138" s="370">
        <v>0</v>
      </c>
      <c r="BW138" s="375">
        <v>1728325.6296070423</v>
      </c>
      <c r="BY138" s="365">
        <v>1469076.7851659858</v>
      </c>
      <c r="BZ138" s="373">
        <v>104663430.35273188</v>
      </c>
      <c r="CA138" s="375">
        <v>259248.84444105648</v>
      </c>
      <c r="CC138" s="365">
        <v>0</v>
      </c>
      <c r="CD138" s="375">
        <v>0</v>
      </c>
      <c r="CF138" s="365">
        <v>0</v>
      </c>
      <c r="CG138" s="375">
        <v>0</v>
      </c>
      <c r="CI138" s="365">
        <v>259248.84444105634</v>
      </c>
      <c r="CJ138" s="375">
        <v>1469076.7851659858</v>
      </c>
    </row>
    <row r="139" spans="7:88">
      <c r="G139" s="417">
        <v>135</v>
      </c>
      <c r="H139" s="251">
        <v>0</v>
      </c>
      <c r="I139" s="377">
        <v>0</v>
      </c>
      <c r="J139" s="368">
        <v>0</v>
      </c>
      <c r="K139" s="368">
        <v>5335031.7067259019</v>
      </c>
      <c r="L139" s="369">
        <v>2703918.4209659947</v>
      </c>
      <c r="N139" s="367">
        <v>2631113.2857599072</v>
      </c>
      <c r="O139" s="370">
        <v>0</v>
      </c>
      <c r="P139" s="370">
        <v>0</v>
      </c>
      <c r="Q139" s="370">
        <v>0</v>
      </c>
      <c r="R139" s="370">
        <v>0</v>
      </c>
      <c r="S139" s="370">
        <v>0</v>
      </c>
      <c r="T139" s="379">
        <v>63626400</v>
      </c>
      <c r="U139" s="371">
        <v>0</v>
      </c>
      <c r="V139" s="371">
        <v>3155250</v>
      </c>
      <c r="W139" s="372">
        <v>5786363.2857599072</v>
      </c>
      <c r="X139" s="41"/>
      <c r="Y139" s="365">
        <v>1050000</v>
      </c>
      <c r="Z139" s="370">
        <v>1050000</v>
      </c>
      <c r="AA139" s="370">
        <v>0</v>
      </c>
      <c r="AB139" s="375">
        <v>4736363.2857599072</v>
      </c>
      <c r="AC139" s="41"/>
      <c r="AD139" s="449">
        <v>1050000</v>
      </c>
      <c r="AE139" s="365">
        <v>0</v>
      </c>
      <c r="AF139" s="375">
        <v>1581113.2857599072</v>
      </c>
      <c r="AH139" s="365">
        <v>0</v>
      </c>
      <c r="AI139" s="370">
        <v>0</v>
      </c>
      <c r="AJ139" s="370">
        <v>0</v>
      </c>
      <c r="AK139" s="375">
        <v>1581113.2857599072</v>
      </c>
      <c r="AM139" s="365">
        <v>0</v>
      </c>
      <c r="AN139" s="370">
        <v>0</v>
      </c>
      <c r="AO139" s="370">
        <v>0</v>
      </c>
      <c r="AP139" s="375">
        <v>1581113.2857599072</v>
      </c>
      <c r="AR139" s="365">
        <v>0</v>
      </c>
      <c r="AS139" s="375">
        <v>1581113.2857599072</v>
      </c>
      <c r="AU139" s="378">
        <v>2100000</v>
      </c>
      <c r="AV139" s="379">
        <v>-1055250</v>
      </c>
      <c r="AW139" s="380">
        <v>2100000</v>
      </c>
      <c r="AX139" s="381">
        <v>2636363.2857599072</v>
      </c>
      <c r="AZ139" s="365">
        <v>0</v>
      </c>
      <c r="BA139" s="370">
        <v>0</v>
      </c>
      <c r="BB139" s="370">
        <v>0</v>
      </c>
      <c r="BC139" s="375">
        <v>2636363.2857599072</v>
      </c>
      <c r="BE139" s="365">
        <v>0</v>
      </c>
      <c r="BF139" s="370">
        <v>0</v>
      </c>
      <c r="BG139" s="370">
        <v>0</v>
      </c>
      <c r="BH139" s="375">
        <v>2636363.2857599072</v>
      </c>
      <c r="BJ139" s="365">
        <v>0</v>
      </c>
      <c r="BK139" s="370">
        <v>0</v>
      </c>
      <c r="BL139" s="370">
        <v>0</v>
      </c>
      <c r="BM139" s="375">
        <v>2636363.2857599072</v>
      </c>
      <c r="BO139" s="365">
        <v>0</v>
      </c>
      <c r="BP139" s="370">
        <v>0</v>
      </c>
      <c r="BQ139" s="370">
        <v>0</v>
      </c>
      <c r="BR139" s="375">
        <v>2636363.2857599072</v>
      </c>
      <c r="BT139" s="365">
        <v>0</v>
      </c>
      <c r="BU139" s="370">
        <v>0</v>
      </c>
      <c r="BV139" s="370">
        <v>0</v>
      </c>
      <c r="BW139" s="375">
        <v>2636363.2857599072</v>
      </c>
      <c r="BY139" s="365">
        <v>2240908.792895921</v>
      </c>
      <c r="BZ139" s="373">
        <v>106904339.14562781</v>
      </c>
      <c r="CA139" s="375">
        <v>395454.49286398618</v>
      </c>
      <c r="CC139" s="365">
        <v>0</v>
      </c>
      <c r="CD139" s="375">
        <v>0</v>
      </c>
      <c r="CF139" s="365">
        <v>0</v>
      </c>
      <c r="CG139" s="375">
        <v>0</v>
      </c>
      <c r="CI139" s="365">
        <v>395454.49286398606</v>
      </c>
      <c r="CJ139" s="375">
        <v>2240908.792895921</v>
      </c>
    </row>
    <row r="140" spans="7:88">
      <c r="G140" s="417">
        <v>136</v>
      </c>
      <c r="H140" s="251">
        <v>0</v>
      </c>
      <c r="I140" s="377">
        <v>2</v>
      </c>
      <c r="J140" s="368">
        <v>0</v>
      </c>
      <c r="K140" s="368">
        <v>4665519.640945605</v>
      </c>
      <c r="L140" s="369">
        <v>2705425.3512108163</v>
      </c>
      <c r="N140" s="367">
        <v>1960094.2897347887</v>
      </c>
      <c r="O140" s="370">
        <v>0</v>
      </c>
      <c r="P140" s="370">
        <v>0</v>
      </c>
      <c r="Q140" s="370">
        <v>0</v>
      </c>
      <c r="R140" s="370">
        <v>0</v>
      </c>
      <c r="S140" s="370">
        <v>0</v>
      </c>
      <c r="T140" s="379">
        <v>63626400</v>
      </c>
      <c r="U140" s="371">
        <v>0</v>
      </c>
      <c r="V140" s="371">
        <v>2103500</v>
      </c>
      <c r="W140" s="372">
        <v>4063594.2897347887</v>
      </c>
      <c r="X140" s="41"/>
      <c r="Y140" s="365">
        <v>2100000</v>
      </c>
      <c r="Z140" s="370">
        <v>2100000</v>
      </c>
      <c r="AA140" s="370">
        <v>0</v>
      </c>
      <c r="AB140" s="375">
        <v>1963594.2897347887</v>
      </c>
      <c r="AC140" s="41"/>
      <c r="AD140" s="449">
        <v>2100000</v>
      </c>
      <c r="AE140" s="365">
        <v>0</v>
      </c>
      <c r="AF140" s="375">
        <v>0</v>
      </c>
      <c r="AH140" s="365">
        <v>0</v>
      </c>
      <c r="AI140" s="370">
        <v>0</v>
      </c>
      <c r="AJ140" s="370">
        <v>0</v>
      </c>
      <c r="AK140" s="375">
        <v>0</v>
      </c>
      <c r="AM140" s="365">
        <v>0</v>
      </c>
      <c r="AN140" s="370">
        <v>0</v>
      </c>
      <c r="AO140" s="370">
        <v>0</v>
      </c>
      <c r="AP140" s="375">
        <v>0</v>
      </c>
      <c r="AR140" s="365">
        <v>0</v>
      </c>
      <c r="AS140" s="375">
        <v>0</v>
      </c>
      <c r="AU140" s="378">
        <v>0</v>
      </c>
      <c r="AV140" s="379">
        <v>-1963594.2897347887</v>
      </c>
      <c r="AW140" s="380">
        <v>0</v>
      </c>
      <c r="AX140" s="381">
        <v>1963594.2897347887</v>
      </c>
      <c r="AZ140" s="365">
        <v>0</v>
      </c>
      <c r="BA140" s="370">
        <v>0</v>
      </c>
      <c r="BB140" s="370">
        <v>0</v>
      </c>
      <c r="BC140" s="375">
        <v>1963594.2897347887</v>
      </c>
      <c r="BE140" s="365">
        <v>0</v>
      </c>
      <c r="BF140" s="370">
        <v>0</v>
      </c>
      <c r="BG140" s="370">
        <v>0</v>
      </c>
      <c r="BH140" s="375">
        <v>1963594.2897347887</v>
      </c>
      <c r="BJ140" s="365">
        <v>0</v>
      </c>
      <c r="BK140" s="370">
        <v>0</v>
      </c>
      <c r="BL140" s="370">
        <v>0</v>
      </c>
      <c r="BM140" s="375">
        <v>1963594.2897347887</v>
      </c>
      <c r="BO140" s="365">
        <v>0</v>
      </c>
      <c r="BP140" s="370">
        <v>0</v>
      </c>
      <c r="BQ140" s="370">
        <v>0</v>
      </c>
      <c r="BR140" s="375">
        <v>1963594.2897347887</v>
      </c>
      <c r="BT140" s="365">
        <v>0</v>
      </c>
      <c r="BU140" s="370">
        <v>0</v>
      </c>
      <c r="BV140" s="370">
        <v>0</v>
      </c>
      <c r="BW140" s="375">
        <v>1963594.2897347887</v>
      </c>
      <c r="BY140" s="365">
        <v>1669055.1462745704</v>
      </c>
      <c r="BZ140" s="373">
        <v>108573394.29190238</v>
      </c>
      <c r="CA140" s="375">
        <v>294539.14346021833</v>
      </c>
      <c r="CC140" s="365">
        <v>0</v>
      </c>
      <c r="CD140" s="375">
        <v>0</v>
      </c>
      <c r="CF140" s="365">
        <v>0</v>
      </c>
      <c r="CG140" s="375">
        <v>0</v>
      </c>
      <c r="CI140" s="365">
        <v>294539.14346021827</v>
      </c>
      <c r="CJ140" s="375">
        <v>1669055.1462745704</v>
      </c>
    </row>
    <row r="141" spans="7:88">
      <c r="G141" s="417">
        <v>137</v>
      </c>
      <c r="H141" s="251">
        <v>0</v>
      </c>
      <c r="I141" s="377">
        <v>0</v>
      </c>
      <c r="J141" s="368">
        <v>0</v>
      </c>
      <c r="K141" s="368">
        <v>5345521.0425060876</v>
      </c>
      <c r="L141" s="369">
        <v>2706933.1212882102</v>
      </c>
      <c r="N141" s="367">
        <v>2638587.9212178774</v>
      </c>
      <c r="O141" s="370">
        <v>0</v>
      </c>
      <c r="P141" s="370">
        <v>0</v>
      </c>
      <c r="Q141" s="370">
        <v>0</v>
      </c>
      <c r="R141" s="370">
        <v>0</v>
      </c>
      <c r="S141" s="370">
        <v>0</v>
      </c>
      <c r="T141" s="379">
        <v>63626400</v>
      </c>
      <c r="U141" s="371">
        <v>0</v>
      </c>
      <c r="V141" s="371">
        <v>0</v>
      </c>
      <c r="W141" s="372">
        <v>2638587.9212178774</v>
      </c>
      <c r="X141" s="41"/>
      <c r="Y141" s="365">
        <v>0</v>
      </c>
      <c r="Z141" s="370">
        <v>0</v>
      </c>
      <c r="AA141" s="370">
        <v>0</v>
      </c>
      <c r="AB141" s="375">
        <v>2638587.9212178774</v>
      </c>
      <c r="AC141" s="41"/>
      <c r="AD141" s="449">
        <v>0</v>
      </c>
      <c r="AE141" s="365">
        <v>0</v>
      </c>
      <c r="AF141" s="375">
        <v>2638587.9212178774</v>
      </c>
      <c r="AH141" s="365">
        <v>0</v>
      </c>
      <c r="AI141" s="370">
        <v>0</v>
      </c>
      <c r="AJ141" s="370">
        <v>0</v>
      </c>
      <c r="AK141" s="375">
        <v>2638587.9212178774</v>
      </c>
      <c r="AM141" s="365">
        <v>0</v>
      </c>
      <c r="AN141" s="370">
        <v>0</v>
      </c>
      <c r="AO141" s="370">
        <v>0</v>
      </c>
      <c r="AP141" s="375">
        <v>2638587.9212178774</v>
      </c>
      <c r="AR141" s="365">
        <v>0</v>
      </c>
      <c r="AS141" s="375">
        <v>2638587.9212178774</v>
      </c>
      <c r="AU141" s="378">
        <v>1050000</v>
      </c>
      <c r="AV141" s="379">
        <v>1050000</v>
      </c>
      <c r="AW141" s="380">
        <v>1050000</v>
      </c>
      <c r="AX141" s="381">
        <v>1588587.9212178774</v>
      </c>
      <c r="AZ141" s="365">
        <v>0</v>
      </c>
      <c r="BA141" s="370">
        <v>0</v>
      </c>
      <c r="BB141" s="370">
        <v>0</v>
      </c>
      <c r="BC141" s="375">
        <v>1588587.9212178774</v>
      </c>
      <c r="BE141" s="365">
        <v>0</v>
      </c>
      <c r="BF141" s="370">
        <v>0</v>
      </c>
      <c r="BG141" s="370">
        <v>0</v>
      </c>
      <c r="BH141" s="375">
        <v>1588587.9212178774</v>
      </c>
      <c r="BJ141" s="365">
        <v>0</v>
      </c>
      <c r="BK141" s="370">
        <v>0</v>
      </c>
      <c r="BL141" s="370">
        <v>0</v>
      </c>
      <c r="BM141" s="375">
        <v>1588587.9212178774</v>
      </c>
      <c r="BO141" s="365">
        <v>0</v>
      </c>
      <c r="BP141" s="370">
        <v>0</v>
      </c>
      <c r="BQ141" s="370">
        <v>0</v>
      </c>
      <c r="BR141" s="375">
        <v>1588587.9212178774</v>
      </c>
      <c r="BT141" s="365">
        <v>0</v>
      </c>
      <c r="BU141" s="370">
        <v>0</v>
      </c>
      <c r="BV141" s="370">
        <v>0</v>
      </c>
      <c r="BW141" s="375">
        <v>1588587.9212178774</v>
      </c>
      <c r="BY141" s="365">
        <v>1350299.7330351959</v>
      </c>
      <c r="BZ141" s="373">
        <v>109923694.02493757</v>
      </c>
      <c r="CA141" s="375">
        <v>238288.18818268157</v>
      </c>
      <c r="CC141" s="365">
        <v>0</v>
      </c>
      <c r="CD141" s="375">
        <v>0</v>
      </c>
      <c r="CF141" s="365">
        <v>0</v>
      </c>
      <c r="CG141" s="375">
        <v>0</v>
      </c>
      <c r="CI141" s="365">
        <v>238288.1881826816</v>
      </c>
      <c r="CJ141" s="375">
        <v>1350299.7330351959</v>
      </c>
    </row>
    <row r="142" spans="7:88">
      <c r="G142" s="417">
        <v>138</v>
      </c>
      <c r="H142" s="251">
        <v>0</v>
      </c>
      <c r="I142" s="377">
        <v>0</v>
      </c>
      <c r="J142" s="368">
        <v>0</v>
      </c>
      <c r="K142" s="368">
        <v>5345521.0425060876</v>
      </c>
      <c r="L142" s="369">
        <v>2708441.7316662259</v>
      </c>
      <c r="N142" s="367">
        <v>2637079.3108398616</v>
      </c>
      <c r="O142" s="370">
        <v>0</v>
      </c>
      <c r="P142" s="370">
        <v>0</v>
      </c>
      <c r="Q142" s="370">
        <v>0</v>
      </c>
      <c r="R142" s="370">
        <v>0</v>
      </c>
      <c r="S142" s="370">
        <v>0</v>
      </c>
      <c r="T142" s="379">
        <v>63626400</v>
      </c>
      <c r="U142" s="371">
        <v>0</v>
      </c>
      <c r="V142" s="371">
        <v>1051750</v>
      </c>
      <c r="W142" s="372">
        <v>3688829.3108398616</v>
      </c>
      <c r="X142" s="41"/>
      <c r="Y142" s="365">
        <v>0</v>
      </c>
      <c r="Z142" s="370">
        <v>0</v>
      </c>
      <c r="AA142" s="370">
        <v>0</v>
      </c>
      <c r="AB142" s="375">
        <v>3688829.3108398616</v>
      </c>
      <c r="AC142" s="41"/>
      <c r="AD142" s="449">
        <v>0</v>
      </c>
      <c r="AE142" s="365">
        <v>0</v>
      </c>
      <c r="AF142" s="375">
        <v>2637079.3108398616</v>
      </c>
      <c r="AH142" s="365">
        <v>0</v>
      </c>
      <c r="AI142" s="370">
        <v>0</v>
      </c>
      <c r="AJ142" s="370">
        <v>0</v>
      </c>
      <c r="AK142" s="375">
        <v>2637079.3108398616</v>
      </c>
      <c r="AM142" s="365">
        <v>0</v>
      </c>
      <c r="AN142" s="370">
        <v>0</v>
      </c>
      <c r="AO142" s="370">
        <v>0</v>
      </c>
      <c r="AP142" s="375">
        <v>2637079.3108398616</v>
      </c>
      <c r="AR142" s="365">
        <v>0</v>
      </c>
      <c r="AS142" s="375">
        <v>2637079.3108398616</v>
      </c>
      <c r="AU142" s="378">
        <v>1050000</v>
      </c>
      <c r="AV142" s="379">
        <v>-1750</v>
      </c>
      <c r="AW142" s="380">
        <v>1050000</v>
      </c>
      <c r="AX142" s="381">
        <v>2638829.3108398616</v>
      </c>
      <c r="AZ142" s="365">
        <v>0</v>
      </c>
      <c r="BA142" s="370">
        <v>0</v>
      </c>
      <c r="BB142" s="370">
        <v>0</v>
      </c>
      <c r="BC142" s="375">
        <v>2638829.3108398616</v>
      </c>
      <c r="BE142" s="365">
        <v>0</v>
      </c>
      <c r="BF142" s="370">
        <v>0</v>
      </c>
      <c r="BG142" s="370">
        <v>0</v>
      </c>
      <c r="BH142" s="375">
        <v>2638829.3108398616</v>
      </c>
      <c r="BJ142" s="365">
        <v>0</v>
      </c>
      <c r="BK142" s="370">
        <v>0</v>
      </c>
      <c r="BL142" s="370">
        <v>0</v>
      </c>
      <c r="BM142" s="375">
        <v>2638829.3108398616</v>
      </c>
      <c r="BO142" s="365">
        <v>0</v>
      </c>
      <c r="BP142" s="370">
        <v>0</v>
      </c>
      <c r="BQ142" s="370">
        <v>0</v>
      </c>
      <c r="BR142" s="375">
        <v>2638829.3108398616</v>
      </c>
      <c r="BT142" s="365">
        <v>0</v>
      </c>
      <c r="BU142" s="370">
        <v>0</v>
      </c>
      <c r="BV142" s="370">
        <v>0</v>
      </c>
      <c r="BW142" s="375">
        <v>2638829.3108398616</v>
      </c>
      <c r="BY142" s="365">
        <v>2243004.9142138823</v>
      </c>
      <c r="BZ142" s="373">
        <v>112166698.93915145</v>
      </c>
      <c r="CA142" s="375">
        <v>395824.39662597934</v>
      </c>
      <c r="CC142" s="365">
        <v>0</v>
      </c>
      <c r="CD142" s="375">
        <v>0</v>
      </c>
      <c r="CF142" s="365">
        <v>0</v>
      </c>
      <c r="CG142" s="375">
        <v>0</v>
      </c>
      <c r="CI142" s="365">
        <v>395824.39662597922</v>
      </c>
      <c r="CJ142" s="375">
        <v>2243004.9142138823</v>
      </c>
    </row>
    <row r="143" spans="7:88">
      <c r="G143" s="417">
        <v>139</v>
      </c>
      <c r="H143" s="251">
        <v>0</v>
      </c>
      <c r="I143" s="377">
        <v>1</v>
      </c>
      <c r="J143" s="368">
        <v>0</v>
      </c>
      <c r="K143" s="368">
        <v>4974797.5746910796</v>
      </c>
      <c r="L143" s="369">
        <v>2709951.182813175</v>
      </c>
      <c r="N143" s="367">
        <v>2264846.3918779045</v>
      </c>
      <c r="O143" s="370">
        <v>0</v>
      </c>
      <c r="P143" s="370">
        <v>0</v>
      </c>
      <c r="Q143" s="370">
        <v>0</v>
      </c>
      <c r="R143" s="370">
        <v>0</v>
      </c>
      <c r="S143" s="370">
        <v>0</v>
      </c>
      <c r="T143" s="379">
        <v>63626400</v>
      </c>
      <c r="U143" s="371">
        <v>0</v>
      </c>
      <c r="V143" s="371">
        <v>1051750</v>
      </c>
      <c r="W143" s="372">
        <v>3316596.3918779045</v>
      </c>
      <c r="X143" s="41"/>
      <c r="Y143" s="365">
        <v>0</v>
      </c>
      <c r="Z143" s="370">
        <v>0</v>
      </c>
      <c r="AA143" s="370">
        <v>0</v>
      </c>
      <c r="AB143" s="375">
        <v>3316596.3918779045</v>
      </c>
      <c r="AC143" s="41"/>
      <c r="AD143" s="449">
        <v>0</v>
      </c>
      <c r="AE143" s="365">
        <v>0</v>
      </c>
      <c r="AF143" s="375">
        <v>2264846.3918779045</v>
      </c>
      <c r="AH143" s="365">
        <v>0</v>
      </c>
      <c r="AI143" s="370">
        <v>0</v>
      </c>
      <c r="AJ143" s="370">
        <v>0</v>
      </c>
      <c r="AK143" s="375">
        <v>2264846.3918779045</v>
      </c>
      <c r="AM143" s="365">
        <v>0</v>
      </c>
      <c r="AN143" s="370">
        <v>0</v>
      </c>
      <c r="AO143" s="370">
        <v>0</v>
      </c>
      <c r="AP143" s="375">
        <v>2264846.3918779045</v>
      </c>
      <c r="AR143" s="365">
        <v>0</v>
      </c>
      <c r="AS143" s="375">
        <v>2264846.3918779045</v>
      </c>
      <c r="AU143" s="378">
        <v>1050000</v>
      </c>
      <c r="AV143" s="379">
        <v>-1750</v>
      </c>
      <c r="AW143" s="380">
        <v>1050000</v>
      </c>
      <c r="AX143" s="381">
        <v>2266596.3918779045</v>
      </c>
      <c r="AZ143" s="365">
        <v>0</v>
      </c>
      <c r="BA143" s="370">
        <v>0</v>
      </c>
      <c r="BB143" s="370">
        <v>0</v>
      </c>
      <c r="BC143" s="375">
        <v>2266596.3918779045</v>
      </c>
      <c r="BE143" s="365">
        <v>0</v>
      </c>
      <c r="BF143" s="370">
        <v>0</v>
      </c>
      <c r="BG143" s="370">
        <v>0</v>
      </c>
      <c r="BH143" s="375">
        <v>2266596.3918779045</v>
      </c>
      <c r="BJ143" s="365">
        <v>0</v>
      </c>
      <c r="BK143" s="370">
        <v>0</v>
      </c>
      <c r="BL143" s="370">
        <v>0</v>
      </c>
      <c r="BM143" s="375">
        <v>2266596.3918779045</v>
      </c>
      <c r="BO143" s="365">
        <v>0</v>
      </c>
      <c r="BP143" s="370">
        <v>0</v>
      </c>
      <c r="BQ143" s="370">
        <v>0</v>
      </c>
      <c r="BR143" s="375">
        <v>2266596.3918779045</v>
      </c>
      <c r="BT143" s="365">
        <v>0</v>
      </c>
      <c r="BU143" s="370">
        <v>0</v>
      </c>
      <c r="BV143" s="370">
        <v>0</v>
      </c>
      <c r="BW143" s="375">
        <v>2266596.3918779045</v>
      </c>
      <c r="BY143" s="365">
        <v>1926606.9330962189</v>
      </c>
      <c r="BZ143" s="373">
        <v>114093305.87224767</v>
      </c>
      <c r="CA143" s="375">
        <v>339989.45878168568</v>
      </c>
      <c r="CC143" s="365">
        <v>0</v>
      </c>
      <c r="CD143" s="375">
        <v>0</v>
      </c>
      <c r="CF143" s="365">
        <v>0</v>
      </c>
      <c r="CG143" s="375">
        <v>0</v>
      </c>
      <c r="CI143" s="365">
        <v>339989.45878168568</v>
      </c>
      <c r="CJ143" s="375">
        <v>1926606.9330962189</v>
      </c>
    </row>
    <row r="144" spans="7:88">
      <c r="G144" s="417">
        <v>140</v>
      </c>
      <c r="H144" s="251">
        <v>0</v>
      </c>
      <c r="I144" s="377">
        <v>0</v>
      </c>
      <c r="J144" s="368">
        <v>0</v>
      </c>
      <c r="K144" s="368">
        <v>5351329.9676272226</v>
      </c>
      <c r="L144" s="369">
        <v>2711461.4751976295</v>
      </c>
      <c r="N144" s="367">
        <v>2639868.4924295931</v>
      </c>
      <c r="O144" s="370">
        <v>0</v>
      </c>
      <c r="P144" s="370">
        <v>0</v>
      </c>
      <c r="Q144" s="370">
        <v>0</v>
      </c>
      <c r="R144" s="370">
        <v>0</v>
      </c>
      <c r="S144" s="370">
        <v>0</v>
      </c>
      <c r="T144" s="379">
        <v>63626400</v>
      </c>
      <c r="U144" s="371">
        <v>0</v>
      </c>
      <c r="V144" s="371">
        <v>1051750</v>
      </c>
      <c r="W144" s="372">
        <v>3691618.4924295931</v>
      </c>
      <c r="X144" s="41"/>
      <c r="Y144" s="365">
        <v>0</v>
      </c>
      <c r="Z144" s="370">
        <v>0</v>
      </c>
      <c r="AA144" s="370">
        <v>0</v>
      </c>
      <c r="AB144" s="375">
        <v>3691618.4924295931</v>
      </c>
      <c r="AC144" s="41"/>
      <c r="AD144" s="449">
        <v>0</v>
      </c>
      <c r="AE144" s="365">
        <v>0</v>
      </c>
      <c r="AF144" s="375">
        <v>2639868.4924295931</v>
      </c>
      <c r="AH144" s="365">
        <v>0</v>
      </c>
      <c r="AI144" s="370">
        <v>0</v>
      </c>
      <c r="AJ144" s="370">
        <v>0</v>
      </c>
      <c r="AK144" s="375">
        <v>2639868.4924295931</v>
      </c>
      <c r="AM144" s="365">
        <v>0</v>
      </c>
      <c r="AN144" s="370">
        <v>0</v>
      </c>
      <c r="AO144" s="370">
        <v>0</v>
      </c>
      <c r="AP144" s="375">
        <v>2639868.4924295931</v>
      </c>
      <c r="AR144" s="365">
        <v>0</v>
      </c>
      <c r="AS144" s="375">
        <v>2639868.4924295931</v>
      </c>
      <c r="AU144" s="378">
        <v>1050000</v>
      </c>
      <c r="AV144" s="379">
        <v>-1750</v>
      </c>
      <c r="AW144" s="380">
        <v>1050000</v>
      </c>
      <c r="AX144" s="381">
        <v>2641618.4924295931</v>
      </c>
      <c r="AZ144" s="365">
        <v>0</v>
      </c>
      <c r="BA144" s="370">
        <v>0</v>
      </c>
      <c r="BB144" s="370">
        <v>0</v>
      </c>
      <c r="BC144" s="375">
        <v>2641618.4924295931</v>
      </c>
      <c r="BE144" s="365">
        <v>0</v>
      </c>
      <c r="BF144" s="370">
        <v>0</v>
      </c>
      <c r="BG144" s="370">
        <v>0</v>
      </c>
      <c r="BH144" s="375">
        <v>2641618.4924295931</v>
      </c>
      <c r="BJ144" s="365">
        <v>0</v>
      </c>
      <c r="BK144" s="370">
        <v>0</v>
      </c>
      <c r="BL144" s="370">
        <v>0</v>
      </c>
      <c r="BM144" s="375">
        <v>2641618.4924295931</v>
      </c>
      <c r="BO144" s="365">
        <v>0</v>
      </c>
      <c r="BP144" s="370">
        <v>0</v>
      </c>
      <c r="BQ144" s="370">
        <v>0</v>
      </c>
      <c r="BR144" s="375">
        <v>2641618.4924295931</v>
      </c>
      <c r="BT144" s="365">
        <v>0</v>
      </c>
      <c r="BU144" s="370">
        <v>0</v>
      </c>
      <c r="BV144" s="370">
        <v>0</v>
      </c>
      <c r="BW144" s="375">
        <v>2641618.4924295931</v>
      </c>
      <c r="BY144" s="365">
        <v>2245375.7185651539</v>
      </c>
      <c r="BZ144" s="373">
        <v>116338681.59081282</v>
      </c>
      <c r="CA144" s="375">
        <v>396242.77386443922</v>
      </c>
      <c r="CC144" s="365">
        <v>0</v>
      </c>
      <c r="CD144" s="375">
        <v>0</v>
      </c>
      <c r="CF144" s="365">
        <v>0</v>
      </c>
      <c r="CG144" s="375">
        <v>0</v>
      </c>
      <c r="CI144" s="365">
        <v>396242.77386443893</v>
      </c>
      <c r="CJ144" s="375">
        <v>2245375.7185651539</v>
      </c>
    </row>
    <row r="145" spans="7:88">
      <c r="G145" s="417">
        <v>141</v>
      </c>
      <c r="H145" s="251">
        <v>0</v>
      </c>
      <c r="I145" s="377">
        <v>0</v>
      </c>
      <c r="J145" s="368">
        <v>0</v>
      </c>
      <c r="K145" s="368">
        <v>5351329.9676272226</v>
      </c>
      <c r="L145" s="369">
        <v>2712972.6092884219</v>
      </c>
      <c r="N145" s="367">
        <v>2638357.3583388007</v>
      </c>
      <c r="O145" s="370">
        <v>0</v>
      </c>
      <c r="P145" s="370">
        <v>0</v>
      </c>
      <c r="Q145" s="370">
        <v>0</v>
      </c>
      <c r="R145" s="370">
        <v>0</v>
      </c>
      <c r="S145" s="370">
        <v>0</v>
      </c>
      <c r="T145" s="379">
        <v>63626400</v>
      </c>
      <c r="U145" s="371">
        <v>0</v>
      </c>
      <c r="V145" s="371">
        <v>1051750</v>
      </c>
      <c r="W145" s="372">
        <v>3690107.3583388007</v>
      </c>
      <c r="X145" s="41"/>
      <c r="Y145" s="365">
        <v>1050000</v>
      </c>
      <c r="Z145" s="370">
        <v>1050000</v>
      </c>
      <c r="AA145" s="370">
        <v>0</v>
      </c>
      <c r="AB145" s="375">
        <v>2640107.3583388007</v>
      </c>
      <c r="AC145" s="41"/>
      <c r="AD145" s="449">
        <v>1050000</v>
      </c>
      <c r="AE145" s="365">
        <v>0</v>
      </c>
      <c r="AF145" s="375">
        <v>1588357.3583388007</v>
      </c>
      <c r="AH145" s="365">
        <v>0</v>
      </c>
      <c r="AI145" s="370">
        <v>0</v>
      </c>
      <c r="AJ145" s="370">
        <v>0</v>
      </c>
      <c r="AK145" s="375">
        <v>1588357.3583388007</v>
      </c>
      <c r="AM145" s="365">
        <v>0</v>
      </c>
      <c r="AN145" s="370">
        <v>0</v>
      </c>
      <c r="AO145" s="370">
        <v>0</v>
      </c>
      <c r="AP145" s="375">
        <v>1588357.3583388007</v>
      </c>
      <c r="AR145" s="365">
        <v>0</v>
      </c>
      <c r="AS145" s="375">
        <v>1588357.3583388007</v>
      </c>
      <c r="AU145" s="378">
        <v>0</v>
      </c>
      <c r="AV145" s="379">
        <v>-1051750</v>
      </c>
      <c r="AW145" s="380">
        <v>0</v>
      </c>
      <c r="AX145" s="381">
        <v>2640107.3583388007</v>
      </c>
      <c r="AZ145" s="365">
        <v>0</v>
      </c>
      <c r="BA145" s="370">
        <v>0</v>
      </c>
      <c r="BB145" s="370">
        <v>0</v>
      </c>
      <c r="BC145" s="375">
        <v>2640107.3583388007</v>
      </c>
      <c r="BE145" s="365">
        <v>0</v>
      </c>
      <c r="BF145" s="370">
        <v>0</v>
      </c>
      <c r="BG145" s="370">
        <v>0</v>
      </c>
      <c r="BH145" s="375">
        <v>2640107.3583388007</v>
      </c>
      <c r="BJ145" s="365">
        <v>0</v>
      </c>
      <c r="BK145" s="370">
        <v>0</v>
      </c>
      <c r="BL145" s="370">
        <v>0</v>
      </c>
      <c r="BM145" s="375">
        <v>2640107.3583388007</v>
      </c>
      <c r="BO145" s="365">
        <v>0</v>
      </c>
      <c r="BP145" s="370">
        <v>0</v>
      </c>
      <c r="BQ145" s="370">
        <v>0</v>
      </c>
      <c r="BR145" s="375">
        <v>2640107.3583388007</v>
      </c>
      <c r="BT145" s="365">
        <v>0</v>
      </c>
      <c r="BU145" s="370">
        <v>0</v>
      </c>
      <c r="BV145" s="370">
        <v>0</v>
      </c>
      <c r="BW145" s="375">
        <v>2640107.3583388007</v>
      </c>
      <c r="BY145" s="365">
        <v>2244091.2545879805</v>
      </c>
      <c r="BZ145" s="373">
        <v>118582772.8454008</v>
      </c>
      <c r="CA145" s="375">
        <v>396016.10375082027</v>
      </c>
      <c r="CC145" s="365">
        <v>0</v>
      </c>
      <c r="CD145" s="375">
        <v>0</v>
      </c>
      <c r="CF145" s="365">
        <v>0</v>
      </c>
      <c r="CG145" s="375">
        <v>0</v>
      </c>
      <c r="CI145" s="365">
        <v>396016.1037508201</v>
      </c>
      <c r="CJ145" s="375">
        <v>2244091.2545879805</v>
      </c>
    </row>
    <row r="146" spans="7:88">
      <c r="G146" s="417">
        <v>142</v>
      </c>
      <c r="H146" s="251">
        <v>0</v>
      </c>
      <c r="I146" s="377">
        <v>0</v>
      </c>
      <c r="J146" s="368">
        <v>0</v>
      </c>
      <c r="K146" s="368">
        <v>5351329.9676272226</v>
      </c>
      <c r="L146" s="369">
        <v>2714484.5855546468</v>
      </c>
      <c r="N146" s="367">
        <v>2636845.3820725759</v>
      </c>
      <c r="O146" s="370">
        <v>0</v>
      </c>
      <c r="P146" s="370">
        <v>0</v>
      </c>
      <c r="Q146" s="370">
        <v>0</v>
      </c>
      <c r="R146" s="370">
        <v>0</v>
      </c>
      <c r="S146" s="370">
        <v>0</v>
      </c>
      <c r="T146" s="379">
        <v>63626400</v>
      </c>
      <c r="U146" s="371">
        <v>0</v>
      </c>
      <c r="V146" s="371">
        <v>0</v>
      </c>
      <c r="W146" s="372">
        <v>2636845.3820725759</v>
      </c>
      <c r="X146" s="41"/>
      <c r="Y146" s="365">
        <v>0</v>
      </c>
      <c r="Z146" s="370">
        <v>0</v>
      </c>
      <c r="AA146" s="370">
        <v>0</v>
      </c>
      <c r="AB146" s="375">
        <v>2636845.3820725759</v>
      </c>
      <c r="AC146" s="41"/>
      <c r="AD146" s="449">
        <v>0</v>
      </c>
      <c r="AE146" s="365">
        <v>0</v>
      </c>
      <c r="AF146" s="375">
        <v>2636845.3820725759</v>
      </c>
      <c r="AH146" s="365">
        <v>0</v>
      </c>
      <c r="AI146" s="370">
        <v>0</v>
      </c>
      <c r="AJ146" s="370">
        <v>0</v>
      </c>
      <c r="AK146" s="375">
        <v>2636845.3820725759</v>
      </c>
      <c r="AM146" s="365">
        <v>0</v>
      </c>
      <c r="AN146" s="370">
        <v>0</v>
      </c>
      <c r="AO146" s="370">
        <v>0</v>
      </c>
      <c r="AP146" s="375">
        <v>2636845.3820725759</v>
      </c>
      <c r="AR146" s="365">
        <v>0</v>
      </c>
      <c r="AS146" s="375">
        <v>2636845.3820725759</v>
      </c>
      <c r="AU146" s="378">
        <v>0</v>
      </c>
      <c r="AV146" s="379">
        <v>0</v>
      </c>
      <c r="AW146" s="380">
        <v>0</v>
      </c>
      <c r="AX146" s="381">
        <v>2636845.3820725759</v>
      </c>
      <c r="AZ146" s="365">
        <v>0</v>
      </c>
      <c r="BA146" s="370">
        <v>0</v>
      </c>
      <c r="BB146" s="370">
        <v>0</v>
      </c>
      <c r="BC146" s="375">
        <v>2636845.3820725759</v>
      </c>
      <c r="BE146" s="365">
        <v>0</v>
      </c>
      <c r="BF146" s="370">
        <v>0</v>
      </c>
      <c r="BG146" s="370">
        <v>0</v>
      </c>
      <c r="BH146" s="375">
        <v>2636845.3820725759</v>
      </c>
      <c r="BJ146" s="365">
        <v>0</v>
      </c>
      <c r="BK146" s="370">
        <v>0</v>
      </c>
      <c r="BL146" s="370">
        <v>0</v>
      </c>
      <c r="BM146" s="375">
        <v>2636845.3820725759</v>
      </c>
      <c r="BO146" s="365">
        <v>0</v>
      </c>
      <c r="BP146" s="370">
        <v>0</v>
      </c>
      <c r="BQ146" s="370">
        <v>0</v>
      </c>
      <c r="BR146" s="375">
        <v>2636845.3820725759</v>
      </c>
      <c r="BT146" s="365">
        <v>0</v>
      </c>
      <c r="BU146" s="370">
        <v>0</v>
      </c>
      <c r="BV146" s="370">
        <v>0</v>
      </c>
      <c r="BW146" s="375">
        <v>2636845.3820725759</v>
      </c>
      <c r="BY146" s="365">
        <v>2241318.5747616896</v>
      </c>
      <c r="BZ146" s="373">
        <v>120824091.42016248</v>
      </c>
      <c r="CA146" s="375">
        <v>395526.80731088622</v>
      </c>
      <c r="CC146" s="365">
        <v>0</v>
      </c>
      <c r="CD146" s="375">
        <v>0</v>
      </c>
      <c r="CF146" s="365">
        <v>0</v>
      </c>
      <c r="CG146" s="375">
        <v>0</v>
      </c>
      <c r="CI146" s="365">
        <v>395526.80731088639</v>
      </c>
      <c r="CJ146" s="375">
        <v>2241318.5747616896</v>
      </c>
    </row>
    <row r="147" spans="7:88">
      <c r="G147" s="417">
        <v>143</v>
      </c>
      <c r="H147" s="251">
        <v>0</v>
      </c>
      <c r="I147" s="377">
        <v>0</v>
      </c>
      <c r="J147" s="368">
        <v>0</v>
      </c>
      <c r="K147" s="368">
        <v>5351329.9676272226</v>
      </c>
      <c r="L147" s="369">
        <v>2715997.4044656595</v>
      </c>
      <c r="N147" s="367">
        <v>2635332.5631615631</v>
      </c>
      <c r="O147" s="370">
        <v>0</v>
      </c>
      <c r="P147" s="370">
        <v>0</v>
      </c>
      <c r="Q147" s="370">
        <v>0</v>
      </c>
      <c r="R147" s="370">
        <v>0</v>
      </c>
      <c r="S147" s="370">
        <v>0</v>
      </c>
      <c r="T147" s="379">
        <v>63626400</v>
      </c>
      <c r="U147" s="371">
        <v>0</v>
      </c>
      <c r="V147" s="371">
        <v>0</v>
      </c>
      <c r="W147" s="372">
        <v>2635332.5631615631</v>
      </c>
      <c r="X147" s="41"/>
      <c r="Y147" s="365">
        <v>0</v>
      </c>
      <c r="Z147" s="370">
        <v>0</v>
      </c>
      <c r="AA147" s="370">
        <v>0</v>
      </c>
      <c r="AB147" s="375">
        <v>2635332.5631615631</v>
      </c>
      <c r="AC147" s="41"/>
      <c r="AD147" s="449">
        <v>0</v>
      </c>
      <c r="AE147" s="365">
        <v>0</v>
      </c>
      <c r="AF147" s="375">
        <v>2635332.5631615631</v>
      </c>
      <c r="AH147" s="365">
        <v>0</v>
      </c>
      <c r="AI147" s="370">
        <v>0</v>
      </c>
      <c r="AJ147" s="370">
        <v>0</v>
      </c>
      <c r="AK147" s="375">
        <v>2635332.5631615631</v>
      </c>
      <c r="AM147" s="365">
        <v>0</v>
      </c>
      <c r="AN147" s="370">
        <v>0</v>
      </c>
      <c r="AO147" s="370">
        <v>0</v>
      </c>
      <c r="AP147" s="375">
        <v>2635332.5631615631</v>
      </c>
      <c r="AR147" s="365">
        <v>0</v>
      </c>
      <c r="AS147" s="375">
        <v>2635332.5631615631</v>
      </c>
      <c r="AU147" s="378">
        <v>0</v>
      </c>
      <c r="AV147" s="379">
        <v>0</v>
      </c>
      <c r="AW147" s="380">
        <v>0</v>
      </c>
      <c r="AX147" s="381">
        <v>2635332.5631615631</v>
      </c>
      <c r="AZ147" s="365">
        <v>0</v>
      </c>
      <c r="BA147" s="370">
        <v>0</v>
      </c>
      <c r="BB147" s="370">
        <v>0</v>
      </c>
      <c r="BC147" s="375">
        <v>2635332.5631615631</v>
      </c>
      <c r="BE147" s="365">
        <v>0</v>
      </c>
      <c r="BF147" s="370">
        <v>0</v>
      </c>
      <c r="BG147" s="370">
        <v>0</v>
      </c>
      <c r="BH147" s="375">
        <v>2635332.5631615631</v>
      </c>
      <c r="BJ147" s="365">
        <v>0</v>
      </c>
      <c r="BK147" s="370">
        <v>0</v>
      </c>
      <c r="BL147" s="370">
        <v>0</v>
      </c>
      <c r="BM147" s="375">
        <v>2635332.5631615631</v>
      </c>
      <c r="BO147" s="365">
        <v>0</v>
      </c>
      <c r="BP147" s="370">
        <v>0</v>
      </c>
      <c r="BQ147" s="370">
        <v>0</v>
      </c>
      <c r="BR147" s="375">
        <v>2635332.5631615631</v>
      </c>
      <c r="BT147" s="365">
        <v>0</v>
      </c>
      <c r="BU147" s="370">
        <v>0</v>
      </c>
      <c r="BV147" s="370">
        <v>0</v>
      </c>
      <c r="BW147" s="375">
        <v>2635332.5631615631</v>
      </c>
      <c r="BY147" s="365">
        <v>2240032.6786873285</v>
      </c>
      <c r="BZ147" s="373">
        <v>123064124.09884982</v>
      </c>
      <c r="CA147" s="375">
        <v>395299.88447423466</v>
      </c>
      <c r="CC147" s="365">
        <v>0</v>
      </c>
      <c r="CD147" s="375">
        <v>0</v>
      </c>
      <c r="CF147" s="365">
        <v>0</v>
      </c>
      <c r="CG147" s="375">
        <v>0</v>
      </c>
      <c r="CI147" s="365">
        <v>395299.88447423448</v>
      </c>
      <c r="CJ147" s="375">
        <v>2240032.6786873285</v>
      </c>
    </row>
    <row r="148" spans="7:88">
      <c r="G148" s="417">
        <v>144</v>
      </c>
      <c r="H148" s="251">
        <v>1</v>
      </c>
      <c r="I148" s="377">
        <v>0</v>
      </c>
      <c r="J148" s="368">
        <v>4284000</v>
      </c>
      <c r="K148" s="368">
        <v>5007653.5078520477</v>
      </c>
      <c r="L148" s="369">
        <v>2546853.972004497</v>
      </c>
      <c r="N148" s="367">
        <v>6744799.5358475503</v>
      </c>
      <c r="O148" s="370">
        <v>0</v>
      </c>
      <c r="P148" s="370">
        <v>0</v>
      </c>
      <c r="Q148" s="370">
        <v>0</v>
      </c>
      <c r="R148" s="370">
        <v>0</v>
      </c>
      <c r="S148" s="370">
        <v>0</v>
      </c>
      <c r="T148" s="379">
        <v>59342400</v>
      </c>
      <c r="U148" s="371">
        <v>0</v>
      </c>
      <c r="V148" s="371">
        <v>0</v>
      </c>
      <c r="W148" s="372">
        <v>6744799.5358475503</v>
      </c>
      <c r="X148" s="103"/>
      <c r="Y148" s="365">
        <v>0</v>
      </c>
      <c r="Z148" s="370">
        <v>0</v>
      </c>
      <c r="AA148" s="370">
        <v>0</v>
      </c>
      <c r="AB148" s="375">
        <v>6744799.5358475503</v>
      </c>
      <c r="AC148" s="41"/>
      <c r="AD148" s="449">
        <v>0</v>
      </c>
      <c r="AE148" s="365">
        <v>0</v>
      </c>
      <c r="AF148" s="375">
        <v>6744799.5358475503</v>
      </c>
      <c r="AH148" s="365">
        <v>0</v>
      </c>
      <c r="AI148" s="370">
        <v>0</v>
      </c>
      <c r="AJ148" s="370">
        <v>0</v>
      </c>
      <c r="AK148" s="375">
        <v>6744799.5358475503</v>
      </c>
      <c r="AM148" s="365">
        <v>0</v>
      </c>
      <c r="AN148" s="370">
        <v>0</v>
      </c>
      <c r="AO148" s="370">
        <v>0</v>
      </c>
      <c r="AP148" s="375">
        <v>6744799.5358475503</v>
      </c>
      <c r="AR148" s="365">
        <v>0</v>
      </c>
      <c r="AS148" s="375">
        <v>6744799.5358475503</v>
      </c>
      <c r="AU148" s="378">
        <v>0</v>
      </c>
      <c r="AV148" s="379">
        <v>0</v>
      </c>
      <c r="AW148" s="380">
        <v>0</v>
      </c>
      <c r="AX148" s="381">
        <v>6744799.5358475503</v>
      </c>
      <c r="AZ148" s="365">
        <v>0</v>
      </c>
      <c r="BA148" s="370">
        <v>0</v>
      </c>
      <c r="BB148" s="370">
        <v>0</v>
      </c>
      <c r="BC148" s="375">
        <v>6744799.5358475503</v>
      </c>
      <c r="BE148" s="365">
        <v>0</v>
      </c>
      <c r="BF148" s="370">
        <v>0</v>
      </c>
      <c r="BG148" s="370">
        <v>0</v>
      </c>
      <c r="BH148" s="375">
        <v>6744799.5358475503</v>
      </c>
      <c r="BJ148" s="365">
        <v>0</v>
      </c>
      <c r="BK148" s="370">
        <v>0</v>
      </c>
      <c r="BL148" s="370">
        <v>0</v>
      </c>
      <c r="BM148" s="375">
        <v>6744799.5358475503</v>
      </c>
      <c r="BO148" s="365">
        <v>0</v>
      </c>
      <c r="BP148" s="370">
        <v>0</v>
      </c>
      <c r="BQ148" s="370">
        <v>0</v>
      </c>
      <c r="BR148" s="375">
        <v>6744799.5358475503</v>
      </c>
      <c r="BT148" s="365">
        <v>0</v>
      </c>
      <c r="BU148" s="370">
        <v>0</v>
      </c>
      <c r="BV148" s="370">
        <v>0</v>
      </c>
      <c r="BW148" s="375">
        <v>6744799.5358475503</v>
      </c>
      <c r="BY148" s="365">
        <v>5733079.605470418</v>
      </c>
      <c r="BZ148" s="373">
        <v>128797203.70432024</v>
      </c>
      <c r="CA148" s="375">
        <v>1011719.9303771323</v>
      </c>
      <c r="CC148" s="365">
        <v>0</v>
      </c>
      <c r="CD148" s="375">
        <v>0</v>
      </c>
      <c r="CF148" s="365">
        <v>0</v>
      </c>
      <c r="CG148" s="375">
        <v>0</v>
      </c>
      <c r="CI148" s="365">
        <v>1011719.9303771325</v>
      </c>
      <c r="CJ148" s="375">
        <v>5733079.605470418</v>
      </c>
    </row>
    <row r="149" spans="7:88">
      <c r="G149" s="417">
        <v>145</v>
      </c>
      <c r="H149" s="251">
        <v>1</v>
      </c>
      <c r="I149" s="377">
        <v>1</v>
      </c>
      <c r="J149" s="368">
        <v>0</v>
      </c>
      <c r="K149" s="368">
        <v>4745500.3013258688</v>
      </c>
      <c r="L149" s="369">
        <v>2548273.3681111983</v>
      </c>
      <c r="N149" s="367">
        <v>2197226.9332146705</v>
      </c>
      <c r="O149" s="370">
        <v>0</v>
      </c>
      <c r="P149" s="370">
        <v>0</v>
      </c>
      <c r="Q149" s="370">
        <v>0</v>
      </c>
      <c r="R149" s="370">
        <v>0</v>
      </c>
      <c r="S149" s="370">
        <v>0</v>
      </c>
      <c r="T149" s="379">
        <v>59342400</v>
      </c>
      <c r="U149" s="371">
        <v>0</v>
      </c>
      <c r="V149" s="371">
        <v>0</v>
      </c>
      <c r="W149" s="372">
        <v>2197226.9332146705</v>
      </c>
      <c r="X149" s="41"/>
      <c r="Y149" s="365">
        <v>0</v>
      </c>
      <c r="Z149" s="370">
        <v>0</v>
      </c>
      <c r="AA149" s="370">
        <v>0</v>
      </c>
      <c r="AB149" s="375">
        <v>2197226.9332146705</v>
      </c>
      <c r="AC149" s="41"/>
      <c r="AD149" s="449">
        <v>0</v>
      </c>
      <c r="AE149" s="365">
        <v>0</v>
      </c>
      <c r="AF149" s="375">
        <v>2197226.9332146705</v>
      </c>
      <c r="AH149" s="365">
        <v>0</v>
      </c>
      <c r="AI149" s="370">
        <v>0</v>
      </c>
      <c r="AJ149" s="370">
        <v>0</v>
      </c>
      <c r="AK149" s="375">
        <v>2197226.9332146705</v>
      </c>
      <c r="AM149" s="365">
        <v>0</v>
      </c>
      <c r="AN149" s="370">
        <v>0</v>
      </c>
      <c r="AO149" s="370">
        <v>0</v>
      </c>
      <c r="AP149" s="375">
        <v>2197226.9332146705</v>
      </c>
      <c r="AR149" s="365">
        <v>0</v>
      </c>
      <c r="AS149" s="375">
        <v>2197226.9332146705</v>
      </c>
      <c r="AU149" s="378">
        <v>850000</v>
      </c>
      <c r="AV149" s="379">
        <v>850000</v>
      </c>
      <c r="AW149" s="380">
        <v>850000</v>
      </c>
      <c r="AX149" s="381">
        <v>1347226.9332146705</v>
      </c>
      <c r="AZ149" s="365">
        <v>0</v>
      </c>
      <c r="BA149" s="370">
        <v>0</v>
      </c>
      <c r="BB149" s="370">
        <v>0</v>
      </c>
      <c r="BC149" s="375">
        <v>1347226.9332146705</v>
      </c>
      <c r="BE149" s="365">
        <v>0</v>
      </c>
      <c r="BF149" s="370">
        <v>0</v>
      </c>
      <c r="BG149" s="370">
        <v>0</v>
      </c>
      <c r="BH149" s="375">
        <v>1347226.9332146705</v>
      </c>
      <c r="BJ149" s="365">
        <v>0</v>
      </c>
      <c r="BK149" s="370">
        <v>0</v>
      </c>
      <c r="BL149" s="370">
        <v>0</v>
      </c>
      <c r="BM149" s="375">
        <v>1347226.9332146705</v>
      </c>
      <c r="BO149" s="365">
        <v>0</v>
      </c>
      <c r="BP149" s="370">
        <v>0</v>
      </c>
      <c r="BQ149" s="370">
        <v>0</v>
      </c>
      <c r="BR149" s="375">
        <v>1347226.9332146705</v>
      </c>
      <c r="BT149" s="365">
        <v>0</v>
      </c>
      <c r="BU149" s="370">
        <v>0</v>
      </c>
      <c r="BV149" s="370">
        <v>0</v>
      </c>
      <c r="BW149" s="375">
        <v>1347226.9332146705</v>
      </c>
      <c r="BY149" s="365">
        <v>1145142.8932324699</v>
      </c>
      <c r="BZ149" s="373">
        <v>129942346.5975527</v>
      </c>
      <c r="CA149" s="375">
        <v>202084.0399822006</v>
      </c>
      <c r="CC149" s="365">
        <v>0</v>
      </c>
      <c r="CD149" s="375">
        <v>0</v>
      </c>
      <c r="CF149" s="365">
        <v>0</v>
      </c>
      <c r="CG149" s="375">
        <v>0</v>
      </c>
      <c r="CI149" s="365">
        <v>202084.03998220057</v>
      </c>
      <c r="CJ149" s="375">
        <v>1145142.8932324699</v>
      </c>
    </row>
    <row r="150" spans="7:88">
      <c r="G150" s="417">
        <v>146</v>
      </c>
      <c r="H150" s="251">
        <v>1</v>
      </c>
      <c r="I150" s="377">
        <v>1</v>
      </c>
      <c r="J150" s="368">
        <v>0</v>
      </c>
      <c r="K150" s="368">
        <v>4641534.7971106498</v>
      </c>
      <c r="L150" s="369">
        <v>2549693.5552665144</v>
      </c>
      <c r="N150" s="367">
        <v>2091841.2418441353</v>
      </c>
      <c r="O150" s="370">
        <v>0</v>
      </c>
      <c r="P150" s="370">
        <v>0</v>
      </c>
      <c r="Q150" s="370">
        <v>0</v>
      </c>
      <c r="R150" s="370">
        <v>0</v>
      </c>
      <c r="S150" s="370">
        <v>0</v>
      </c>
      <c r="T150" s="379">
        <v>59342400</v>
      </c>
      <c r="U150" s="371">
        <v>0</v>
      </c>
      <c r="V150" s="371">
        <v>851416.66666666674</v>
      </c>
      <c r="W150" s="372">
        <v>2943257.9085108023</v>
      </c>
      <c r="X150" s="41"/>
      <c r="Y150" s="365">
        <v>0</v>
      </c>
      <c r="Z150" s="370">
        <v>0</v>
      </c>
      <c r="AA150" s="370">
        <v>0</v>
      </c>
      <c r="AB150" s="375">
        <v>2943257.9085108023</v>
      </c>
      <c r="AC150" s="41"/>
      <c r="AD150" s="449">
        <v>0</v>
      </c>
      <c r="AE150" s="365">
        <v>0</v>
      </c>
      <c r="AF150" s="375">
        <v>2091841.2418441356</v>
      </c>
      <c r="AH150" s="365">
        <v>0</v>
      </c>
      <c r="AI150" s="370">
        <v>0</v>
      </c>
      <c r="AJ150" s="370">
        <v>0</v>
      </c>
      <c r="AK150" s="375">
        <v>2091841.2418441356</v>
      </c>
      <c r="AM150" s="365">
        <v>0</v>
      </c>
      <c r="AN150" s="370">
        <v>0</v>
      </c>
      <c r="AO150" s="370">
        <v>0</v>
      </c>
      <c r="AP150" s="375">
        <v>2091841.2418441356</v>
      </c>
      <c r="AR150" s="365">
        <v>0</v>
      </c>
      <c r="AS150" s="375">
        <v>2091841.2418441356</v>
      </c>
      <c r="AU150" s="378">
        <v>850000</v>
      </c>
      <c r="AV150" s="379">
        <v>-1416.6666666667443</v>
      </c>
      <c r="AW150" s="380">
        <v>850000</v>
      </c>
      <c r="AX150" s="381">
        <v>2093257.9085108023</v>
      </c>
      <c r="AZ150" s="365">
        <v>0</v>
      </c>
      <c r="BA150" s="370">
        <v>0</v>
      </c>
      <c r="BB150" s="370">
        <v>0</v>
      </c>
      <c r="BC150" s="375">
        <v>2093257.9085108023</v>
      </c>
      <c r="BE150" s="365">
        <v>0</v>
      </c>
      <c r="BF150" s="370">
        <v>0</v>
      </c>
      <c r="BG150" s="370">
        <v>0</v>
      </c>
      <c r="BH150" s="375">
        <v>2093257.9085108023</v>
      </c>
      <c r="BJ150" s="365">
        <v>0</v>
      </c>
      <c r="BK150" s="370">
        <v>0</v>
      </c>
      <c r="BL150" s="370">
        <v>0</v>
      </c>
      <c r="BM150" s="375">
        <v>2093257.9085108023</v>
      </c>
      <c r="BO150" s="365">
        <v>0</v>
      </c>
      <c r="BP150" s="370">
        <v>0</v>
      </c>
      <c r="BQ150" s="370">
        <v>0</v>
      </c>
      <c r="BR150" s="375">
        <v>2093257.9085108023</v>
      </c>
      <c r="BT150" s="365">
        <v>0</v>
      </c>
      <c r="BU150" s="370">
        <v>0</v>
      </c>
      <c r="BV150" s="370">
        <v>0</v>
      </c>
      <c r="BW150" s="375">
        <v>2093257.9085108023</v>
      </c>
      <c r="BY150" s="365">
        <v>1779269.2222341818</v>
      </c>
      <c r="BZ150" s="373">
        <v>131721615.81978688</v>
      </c>
      <c r="CA150" s="375">
        <v>313988.68627662049</v>
      </c>
      <c r="CC150" s="365">
        <v>0</v>
      </c>
      <c r="CD150" s="375">
        <v>0</v>
      </c>
      <c r="CF150" s="365">
        <v>0</v>
      </c>
      <c r="CG150" s="375">
        <v>0</v>
      </c>
      <c r="CI150" s="365">
        <v>313988.68627662031</v>
      </c>
      <c r="CJ150" s="375">
        <v>1779269.2222341818</v>
      </c>
    </row>
    <row r="151" spans="7:88">
      <c r="G151" s="417">
        <v>147</v>
      </c>
      <c r="H151" s="251">
        <v>1</v>
      </c>
      <c r="I151" s="377">
        <v>2</v>
      </c>
      <c r="J151" s="368">
        <v>0</v>
      </c>
      <c r="K151" s="368">
        <v>4375022.2699449304</v>
      </c>
      <c r="L151" s="369">
        <v>2551114.5339113083</v>
      </c>
      <c r="N151" s="367">
        <v>1823907.7360336222</v>
      </c>
      <c r="O151" s="370">
        <v>0</v>
      </c>
      <c r="P151" s="370">
        <v>0</v>
      </c>
      <c r="Q151" s="370">
        <v>0</v>
      </c>
      <c r="R151" s="370">
        <v>0</v>
      </c>
      <c r="S151" s="370">
        <v>0</v>
      </c>
      <c r="T151" s="379">
        <v>59342400</v>
      </c>
      <c r="U151" s="371">
        <v>0</v>
      </c>
      <c r="V151" s="371">
        <v>851416.66666666674</v>
      </c>
      <c r="W151" s="372">
        <v>2675324.4027002892</v>
      </c>
      <c r="X151" s="41"/>
      <c r="Y151" s="365">
        <v>0</v>
      </c>
      <c r="Z151" s="370">
        <v>0</v>
      </c>
      <c r="AA151" s="370">
        <v>0</v>
      </c>
      <c r="AB151" s="375">
        <v>2675324.4027002892</v>
      </c>
      <c r="AC151" s="41"/>
      <c r="AD151" s="449">
        <v>0</v>
      </c>
      <c r="AE151" s="365">
        <v>0</v>
      </c>
      <c r="AF151" s="375">
        <v>1823907.7360336224</v>
      </c>
      <c r="AH151" s="365">
        <v>0</v>
      </c>
      <c r="AI151" s="370">
        <v>0</v>
      </c>
      <c r="AJ151" s="370">
        <v>0</v>
      </c>
      <c r="AK151" s="375">
        <v>1823907.7360336224</v>
      </c>
      <c r="AM151" s="365">
        <v>0</v>
      </c>
      <c r="AN151" s="370">
        <v>0</v>
      </c>
      <c r="AO151" s="370">
        <v>0</v>
      </c>
      <c r="AP151" s="375">
        <v>1823907.7360336224</v>
      </c>
      <c r="AR151" s="365">
        <v>0</v>
      </c>
      <c r="AS151" s="375">
        <v>1823907.7360336224</v>
      </c>
      <c r="AU151" s="378">
        <v>850000</v>
      </c>
      <c r="AV151" s="379">
        <v>-1416.6666666667443</v>
      </c>
      <c r="AW151" s="380">
        <v>850000</v>
      </c>
      <c r="AX151" s="381">
        <v>1825324.4027002892</v>
      </c>
      <c r="AZ151" s="365">
        <v>0</v>
      </c>
      <c r="BA151" s="370">
        <v>0</v>
      </c>
      <c r="BB151" s="370">
        <v>0</v>
      </c>
      <c r="BC151" s="375">
        <v>1825324.4027002892</v>
      </c>
      <c r="BE151" s="365">
        <v>0</v>
      </c>
      <c r="BF151" s="370">
        <v>0</v>
      </c>
      <c r="BG151" s="370">
        <v>0</v>
      </c>
      <c r="BH151" s="375">
        <v>1825324.4027002892</v>
      </c>
      <c r="BJ151" s="365">
        <v>0</v>
      </c>
      <c r="BK151" s="370">
        <v>0</v>
      </c>
      <c r="BL151" s="370">
        <v>0</v>
      </c>
      <c r="BM151" s="375">
        <v>1825324.4027002892</v>
      </c>
      <c r="BO151" s="365">
        <v>0</v>
      </c>
      <c r="BP151" s="370">
        <v>0</v>
      </c>
      <c r="BQ151" s="370">
        <v>0</v>
      </c>
      <c r="BR151" s="375">
        <v>1825324.4027002892</v>
      </c>
      <c r="BT151" s="365">
        <v>0</v>
      </c>
      <c r="BU151" s="370">
        <v>0</v>
      </c>
      <c r="BV151" s="370">
        <v>0</v>
      </c>
      <c r="BW151" s="375">
        <v>1825324.4027002892</v>
      </c>
      <c r="BY151" s="365">
        <v>1551525.7422952456</v>
      </c>
      <c r="BZ151" s="373">
        <v>133273141.56208213</v>
      </c>
      <c r="CA151" s="375">
        <v>273798.66040504351</v>
      </c>
      <c r="CC151" s="365">
        <v>0</v>
      </c>
      <c r="CD151" s="375">
        <v>0</v>
      </c>
      <c r="CF151" s="365">
        <v>0</v>
      </c>
      <c r="CG151" s="375">
        <v>0</v>
      </c>
      <c r="CI151" s="365">
        <v>273798.66040504334</v>
      </c>
      <c r="CJ151" s="375">
        <v>1551525.7422952456</v>
      </c>
    </row>
    <row r="152" spans="7:88">
      <c r="G152" s="417">
        <v>148</v>
      </c>
      <c r="H152" s="251">
        <v>1</v>
      </c>
      <c r="I152" s="377">
        <v>0</v>
      </c>
      <c r="J152" s="368">
        <v>0</v>
      </c>
      <c r="K152" s="368">
        <v>5018348.3278842717</v>
      </c>
      <c r="L152" s="369">
        <v>2552536.3044866873</v>
      </c>
      <c r="N152" s="367">
        <v>2465812.0233975844</v>
      </c>
      <c r="O152" s="370">
        <v>0</v>
      </c>
      <c r="P152" s="370">
        <v>0</v>
      </c>
      <c r="Q152" s="370">
        <v>0</v>
      </c>
      <c r="R152" s="370">
        <v>0</v>
      </c>
      <c r="S152" s="370">
        <v>0</v>
      </c>
      <c r="T152" s="379">
        <v>59342400</v>
      </c>
      <c r="U152" s="371">
        <v>0</v>
      </c>
      <c r="V152" s="371">
        <v>851416.66666666674</v>
      </c>
      <c r="W152" s="372">
        <v>3317228.6900642514</v>
      </c>
      <c r="X152" s="41"/>
      <c r="Y152" s="365">
        <v>0</v>
      </c>
      <c r="Z152" s="370">
        <v>0</v>
      </c>
      <c r="AA152" s="370">
        <v>0</v>
      </c>
      <c r="AB152" s="375">
        <v>3317228.6900642514</v>
      </c>
      <c r="AC152" s="41"/>
      <c r="AD152" s="449">
        <v>0</v>
      </c>
      <c r="AE152" s="365">
        <v>0</v>
      </c>
      <c r="AF152" s="375">
        <v>2465812.0233975844</v>
      </c>
      <c r="AH152" s="365">
        <v>0</v>
      </c>
      <c r="AI152" s="370">
        <v>0</v>
      </c>
      <c r="AJ152" s="370">
        <v>0</v>
      </c>
      <c r="AK152" s="375">
        <v>2465812.0233975844</v>
      </c>
      <c r="AM152" s="365">
        <v>0</v>
      </c>
      <c r="AN152" s="370">
        <v>0</v>
      </c>
      <c r="AO152" s="370">
        <v>0</v>
      </c>
      <c r="AP152" s="375">
        <v>2465812.0233975844</v>
      </c>
      <c r="AR152" s="365">
        <v>0</v>
      </c>
      <c r="AS152" s="375">
        <v>2465812.0233975844</v>
      </c>
      <c r="AU152" s="378">
        <v>850000</v>
      </c>
      <c r="AV152" s="379">
        <v>-1416.6666666667443</v>
      </c>
      <c r="AW152" s="380">
        <v>850000</v>
      </c>
      <c r="AX152" s="381">
        <v>2467228.6900642514</v>
      </c>
      <c r="AZ152" s="365">
        <v>0</v>
      </c>
      <c r="BA152" s="370">
        <v>0</v>
      </c>
      <c r="BB152" s="370">
        <v>0</v>
      </c>
      <c r="BC152" s="375">
        <v>2467228.6900642514</v>
      </c>
      <c r="BE152" s="365">
        <v>0</v>
      </c>
      <c r="BF152" s="370">
        <v>0</v>
      </c>
      <c r="BG152" s="370">
        <v>0</v>
      </c>
      <c r="BH152" s="375">
        <v>2467228.6900642514</v>
      </c>
      <c r="BJ152" s="365">
        <v>0</v>
      </c>
      <c r="BK152" s="370">
        <v>0</v>
      </c>
      <c r="BL152" s="370">
        <v>0</v>
      </c>
      <c r="BM152" s="375">
        <v>2467228.6900642514</v>
      </c>
      <c r="BO152" s="365">
        <v>0</v>
      </c>
      <c r="BP152" s="370">
        <v>0</v>
      </c>
      <c r="BQ152" s="370">
        <v>0</v>
      </c>
      <c r="BR152" s="375">
        <v>2467228.6900642514</v>
      </c>
      <c r="BT152" s="365">
        <v>0</v>
      </c>
      <c r="BU152" s="370">
        <v>0</v>
      </c>
      <c r="BV152" s="370">
        <v>0</v>
      </c>
      <c r="BW152" s="375">
        <v>2467228.6900642514</v>
      </c>
      <c r="BY152" s="365">
        <v>2097144.3865546137</v>
      </c>
      <c r="BZ152" s="373">
        <v>135370285.94863674</v>
      </c>
      <c r="CA152" s="375">
        <v>370084.30350963771</v>
      </c>
      <c r="CC152" s="365">
        <v>0</v>
      </c>
      <c r="CD152" s="375">
        <v>0</v>
      </c>
      <c r="CF152" s="365">
        <v>0</v>
      </c>
      <c r="CG152" s="375">
        <v>0</v>
      </c>
      <c r="CI152" s="365">
        <v>370084.30350963771</v>
      </c>
      <c r="CJ152" s="375">
        <v>2097144.3865546137</v>
      </c>
    </row>
    <row r="153" spans="7:88">
      <c r="G153" s="417">
        <v>149</v>
      </c>
      <c r="H153" s="251">
        <v>1</v>
      </c>
      <c r="I153" s="377">
        <v>1</v>
      </c>
      <c r="J153" s="368">
        <v>0</v>
      </c>
      <c r="K153" s="368">
        <v>4685498.6688397396</v>
      </c>
      <c r="L153" s="369">
        <v>2553958.8674340048</v>
      </c>
      <c r="N153" s="367">
        <v>2131539.8014057348</v>
      </c>
      <c r="O153" s="370">
        <v>0</v>
      </c>
      <c r="P153" s="370">
        <v>0</v>
      </c>
      <c r="Q153" s="370">
        <v>0</v>
      </c>
      <c r="R153" s="370">
        <v>0</v>
      </c>
      <c r="S153" s="370">
        <v>0</v>
      </c>
      <c r="T153" s="379">
        <v>59342400</v>
      </c>
      <c r="U153" s="371">
        <v>0</v>
      </c>
      <c r="V153" s="371">
        <v>851416.66666666674</v>
      </c>
      <c r="W153" s="372">
        <v>2982956.4680724014</v>
      </c>
      <c r="X153" s="41"/>
      <c r="Y153" s="365">
        <v>850000</v>
      </c>
      <c r="Z153" s="370">
        <v>850000</v>
      </c>
      <c r="AA153" s="370">
        <v>0</v>
      </c>
      <c r="AB153" s="375">
        <v>2132956.4680724014</v>
      </c>
      <c r="AC153" s="41"/>
      <c r="AD153" s="449">
        <v>850000</v>
      </c>
      <c r="AE153" s="365">
        <v>0</v>
      </c>
      <c r="AF153" s="375">
        <v>1281539.8014057346</v>
      </c>
      <c r="AH153" s="365">
        <v>0</v>
      </c>
      <c r="AI153" s="370">
        <v>0</v>
      </c>
      <c r="AJ153" s="370">
        <v>0</v>
      </c>
      <c r="AK153" s="375">
        <v>1281539.8014057346</v>
      </c>
      <c r="AM153" s="365">
        <v>0</v>
      </c>
      <c r="AN153" s="370">
        <v>0</v>
      </c>
      <c r="AO153" s="370">
        <v>0</v>
      </c>
      <c r="AP153" s="375">
        <v>1281539.8014057346</v>
      </c>
      <c r="AR153" s="365">
        <v>0</v>
      </c>
      <c r="AS153" s="375">
        <v>1281539.8014057346</v>
      </c>
      <c r="AU153" s="378">
        <v>0</v>
      </c>
      <c r="AV153" s="379">
        <v>-851416.66666666674</v>
      </c>
      <c r="AW153" s="380">
        <v>0</v>
      </c>
      <c r="AX153" s="381">
        <v>2132956.4680724014</v>
      </c>
      <c r="AZ153" s="365">
        <v>0</v>
      </c>
      <c r="BA153" s="370">
        <v>0</v>
      </c>
      <c r="BB153" s="370">
        <v>0</v>
      </c>
      <c r="BC153" s="375">
        <v>2132956.4680724014</v>
      </c>
      <c r="BE153" s="365">
        <v>0</v>
      </c>
      <c r="BF153" s="370">
        <v>0</v>
      </c>
      <c r="BG153" s="370">
        <v>0</v>
      </c>
      <c r="BH153" s="375">
        <v>2132956.4680724014</v>
      </c>
      <c r="BJ153" s="365">
        <v>0</v>
      </c>
      <c r="BK153" s="370">
        <v>0</v>
      </c>
      <c r="BL153" s="370">
        <v>0</v>
      </c>
      <c r="BM153" s="375">
        <v>2132956.4680724014</v>
      </c>
      <c r="BO153" s="365">
        <v>0</v>
      </c>
      <c r="BP153" s="370">
        <v>0</v>
      </c>
      <c r="BQ153" s="370">
        <v>0</v>
      </c>
      <c r="BR153" s="375">
        <v>2132956.4680724014</v>
      </c>
      <c r="BT153" s="365">
        <v>0</v>
      </c>
      <c r="BU153" s="370">
        <v>0</v>
      </c>
      <c r="BV153" s="370">
        <v>0</v>
      </c>
      <c r="BW153" s="375">
        <v>2132956.4680724014</v>
      </c>
      <c r="BY153" s="365">
        <v>1813012.9978615411</v>
      </c>
      <c r="BZ153" s="373">
        <v>137183298.94649827</v>
      </c>
      <c r="CA153" s="375">
        <v>319943.47021086025</v>
      </c>
      <c r="CC153" s="365">
        <v>0</v>
      </c>
      <c r="CD153" s="375">
        <v>0</v>
      </c>
      <c r="CF153" s="365">
        <v>0</v>
      </c>
      <c r="CG153" s="375">
        <v>0</v>
      </c>
      <c r="CI153" s="365">
        <v>319943.47021086019</v>
      </c>
      <c r="CJ153" s="375">
        <v>1813012.9978615411</v>
      </c>
    </row>
    <row r="154" spans="7:88">
      <c r="G154" s="417">
        <v>150</v>
      </c>
      <c r="H154" s="251">
        <v>1</v>
      </c>
      <c r="I154" s="377">
        <v>1</v>
      </c>
      <c r="J154" s="368">
        <v>0</v>
      </c>
      <c r="K154" s="368">
        <v>4682628.4002612978</v>
      </c>
      <c r="L154" s="369">
        <v>2555382.2231948609</v>
      </c>
      <c r="N154" s="367">
        <v>2127246.177066437</v>
      </c>
      <c r="O154" s="370">
        <v>0</v>
      </c>
      <c r="P154" s="370">
        <v>0</v>
      </c>
      <c r="Q154" s="370">
        <v>0</v>
      </c>
      <c r="R154" s="370">
        <v>0</v>
      </c>
      <c r="S154" s="370">
        <v>0</v>
      </c>
      <c r="T154" s="379">
        <v>59342400</v>
      </c>
      <c r="U154" s="371">
        <v>0</v>
      </c>
      <c r="V154" s="371">
        <v>0</v>
      </c>
      <c r="W154" s="372">
        <v>2127246.177066437</v>
      </c>
      <c r="X154" s="41"/>
      <c r="Y154" s="365">
        <v>0</v>
      </c>
      <c r="Z154" s="370">
        <v>0</v>
      </c>
      <c r="AA154" s="370">
        <v>0</v>
      </c>
      <c r="AB154" s="375">
        <v>2127246.177066437</v>
      </c>
      <c r="AC154" s="41"/>
      <c r="AD154" s="449">
        <v>0</v>
      </c>
      <c r="AE154" s="365">
        <v>0</v>
      </c>
      <c r="AF154" s="375">
        <v>2127246.177066437</v>
      </c>
      <c r="AH154" s="365">
        <v>0</v>
      </c>
      <c r="AI154" s="370">
        <v>0</v>
      </c>
      <c r="AJ154" s="370">
        <v>0</v>
      </c>
      <c r="AK154" s="375">
        <v>2127246.177066437</v>
      </c>
      <c r="AM154" s="365">
        <v>0</v>
      </c>
      <c r="AN154" s="370">
        <v>0</v>
      </c>
      <c r="AO154" s="370">
        <v>0</v>
      </c>
      <c r="AP154" s="375">
        <v>2127246.177066437</v>
      </c>
      <c r="AR154" s="365">
        <v>0</v>
      </c>
      <c r="AS154" s="375">
        <v>2127246.177066437</v>
      </c>
      <c r="AU154" s="378">
        <v>1050000</v>
      </c>
      <c r="AV154" s="379">
        <v>1050000</v>
      </c>
      <c r="AW154" s="380">
        <v>1050000</v>
      </c>
      <c r="AX154" s="381">
        <v>1077246.177066437</v>
      </c>
      <c r="AZ154" s="365">
        <v>0</v>
      </c>
      <c r="BA154" s="370">
        <v>0</v>
      </c>
      <c r="BB154" s="370">
        <v>0</v>
      </c>
      <c r="BC154" s="375">
        <v>1077246.177066437</v>
      </c>
      <c r="BE154" s="365">
        <v>0</v>
      </c>
      <c r="BF154" s="370">
        <v>0</v>
      </c>
      <c r="BG154" s="370">
        <v>0</v>
      </c>
      <c r="BH154" s="375">
        <v>1077246.177066437</v>
      </c>
      <c r="BJ154" s="365">
        <v>0</v>
      </c>
      <c r="BK154" s="370">
        <v>0</v>
      </c>
      <c r="BL154" s="370">
        <v>0</v>
      </c>
      <c r="BM154" s="375">
        <v>1077246.177066437</v>
      </c>
      <c r="BO154" s="365">
        <v>0</v>
      </c>
      <c r="BP154" s="370">
        <v>0</v>
      </c>
      <c r="BQ154" s="370">
        <v>0</v>
      </c>
      <c r="BR154" s="375">
        <v>1077246.177066437</v>
      </c>
      <c r="BT154" s="365">
        <v>0</v>
      </c>
      <c r="BU154" s="370">
        <v>0</v>
      </c>
      <c r="BV154" s="370">
        <v>0</v>
      </c>
      <c r="BW154" s="375">
        <v>1077246.177066437</v>
      </c>
      <c r="BY154" s="365">
        <v>915659.25050647138</v>
      </c>
      <c r="BZ154" s="373">
        <v>138098958.19700474</v>
      </c>
      <c r="CA154" s="375">
        <v>161586.92655996559</v>
      </c>
      <c r="CC154" s="365">
        <v>0</v>
      </c>
      <c r="CD154" s="375">
        <v>0</v>
      </c>
      <c r="CF154" s="365">
        <v>0</v>
      </c>
      <c r="CG154" s="375">
        <v>0</v>
      </c>
      <c r="CI154" s="365">
        <v>161586.92655996553</v>
      </c>
      <c r="CJ154" s="375">
        <v>915659.25050647138</v>
      </c>
    </row>
    <row r="155" spans="7:88">
      <c r="G155" s="417">
        <v>151</v>
      </c>
      <c r="H155" s="251">
        <v>1</v>
      </c>
      <c r="I155" s="377">
        <v>1</v>
      </c>
      <c r="J155" s="368">
        <v>0</v>
      </c>
      <c r="K155" s="368">
        <v>4664012.6891364409</v>
      </c>
      <c r="L155" s="369">
        <v>2556806.3722111005</v>
      </c>
      <c r="N155" s="367">
        <v>2107206.3169253403</v>
      </c>
      <c r="O155" s="370">
        <v>0</v>
      </c>
      <c r="P155" s="370">
        <v>0</v>
      </c>
      <c r="Q155" s="370">
        <v>0</v>
      </c>
      <c r="R155" s="370">
        <v>0</v>
      </c>
      <c r="S155" s="370">
        <v>0</v>
      </c>
      <c r="T155" s="379">
        <v>59342400</v>
      </c>
      <c r="U155" s="371">
        <v>0</v>
      </c>
      <c r="V155" s="371">
        <v>1051750</v>
      </c>
      <c r="W155" s="372">
        <v>3158956.3169253403</v>
      </c>
      <c r="X155" s="41"/>
      <c r="Y155" s="365">
        <v>0</v>
      </c>
      <c r="Z155" s="370">
        <v>0</v>
      </c>
      <c r="AA155" s="370">
        <v>0</v>
      </c>
      <c r="AB155" s="375">
        <v>3158956.3169253403</v>
      </c>
      <c r="AC155" s="41"/>
      <c r="AD155" s="449">
        <v>0</v>
      </c>
      <c r="AE155" s="365">
        <v>0</v>
      </c>
      <c r="AF155" s="375">
        <v>2107206.3169253403</v>
      </c>
      <c r="AH155" s="365">
        <v>0</v>
      </c>
      <c r="AI155" s="370">
        <v>0</v>
      </c>
      <c r="AJ155" s="370">
        <v>0</v>
      </c>
      <c r="AK155" s="375">
        <v>2107206.3169253403</v>
      </c>
      <c r="AM155" s="365">
        <v>0</v>
      </c>
      <c r="AN155" s="370">
        <v>0</v>
      </c>
      <c r="AO155" s="370">
        <v>0</v>
      </c>
      <c r="AP155" s="375">
        <v>2107206.3169253403</v>
      </c>
      <c r="AR155" s="365">
        <v>0</v>
      </c>
      <c r="AS155" s="375">
        <v>2107206.3169253403</v>
      </c>
      <c r="AU155" s="378">
        <v>1050000</v>
      </c>
      <c r="AV155" s="379">
        <v>-1750</v>
      </c>
      <c r="AW155" s="380">
        <v>1050000</v>
      </c>
      <c r="AX155" s="381">
        <v>2108956.3169253403</v>
      </c>
      <c r="AZ155" s="365">
        <v>0</v>
      </c>
      <c r="BA155" s="370">
        <v>0</v>
      </c>
      <c r="BB155" s="370">
        <v>0</v>
      </c>
      <c r="BC155" s="375">
        <v>2108956.3169253403</v>
      </c>
      <c r="BE155" s="365">
        <v>0</v>
      </c>
      <c r="BF155" s="370">
        <v>0</v>
      </c>
      <c r="BG155" s="370">
        <v>0</v>
      </c>
      <c r="BH155" s="375">
        <v>2108956.3169253403</v>
      </c>
      <c r="BJ155" s="365">
        <v>0</v>
      </c>
      <c r="BK155" s="370">
        <v>0</v>
      </c>
      <c r="BL155" s="370">
        <v>0</v>
      </c>
      <c r="BM155" s="375">
        <v>2108956.3169253403</v>
      </c>
      <c r="BO155" s="365">
        <v>0</v>
      </c>
      <c r="BP155" s="370">
        <v>0</v>
      </c>
      <c r="BQ155" s="370">
        <v>0</v>
      </c>
      <c r="BR155" s="375">
        <v>2108956.3169253403</v>
      </c>
      <c r="BT155" s="365">
        <v>0</v>
      </c>
      <c r="BU155" s="370">
        <v>0</v>
      </c>
      <c r="BV155" s="370">
        <v>0</v>
      </c>
      <c r="BW155" s="375">
        <v>2108956.3169253403</v>
      </c>
      <c r="BY155" s="365">
        <v>1792612.8693865393</v>
      </c>
      <c r="BZ155" s="373">
        <v>139891571.06639129</v>
      </c>
      <c r="CA155" s="375">
        <v>316343.447538801</v>
      </c>
      <c r="CC155" s="365">
        <v>0</v>
      </c>
      <c r="CD155" s="375">
        <v>0</v>
      </c>
      <c r="CF155" s="365">
        <v>0</v>
      </c>
      <c r="CG155" s="375">
        <v>0</v>
      </c>
      <c r="CI155" s="365">
        <v>316343.44753880106</v>
      </c>
      <c r="CJ155" s="375">
        <v>1792612.8693865393</v>
      </c>
    </row>
    <row r="156" spans="7:88">
      <c r="G156" s="417">
        <v>152</v>
      </c>
      <c r="H156" s="251">
        <v>1</v>
      </c>
      <c r="I156" s="377">
        <v>0</v>
      </c>
      <c r="J156" s="368">
        <v>0</v>
      </c>
      <c r="K156" s="368">
        <v>5034622.8477594089</v>
      </c>
      <c r="L156" s="369">
        <v>2558231.3149248166</v>
      </c>
      <c r="N156" s="367">
        <v>2476391.5328345923</v>
      </c>
      <c r="O156" s="370">
        <v>0</v>
      </c>
      <c r="P156" s="370">
        <v>0</v>
      </c>
      <c r="Q156" s="370">
        <v>0</v>
      </c>
      <c r="R156" s="370">
        <v>0</v>
      </c>
      <c r="S156" s="370">
        <v>0</v>
      </c>
      <c r="T156" s="379">
        <v>59342400</v>
      </c>
      <c r="U156" s="371">
        <v>0</v>
      </c>
      <c r="V156" s="371">
        <v>1051750</v>
      </c>
      <c r="W156" s="372">
        <v>3528141.5328345923</v>
      </c>
      <c r="X156" s="41"/>
      <c r="Y156" s="365">
        <v>0</v>
      </c>
      <c r="Z156" s="370">
        <v>0</v>
      </c>
      <c r="AA156" s="370">
        <v>0</v>
      </c>
      <c r="AB156" s="375">
        <v>3528141.5328345923</v>
      </c>
      <c r="AC156" s="41"/>
      <c r="AD156" s="449">
        <v>0</v>
      </c>
      <c r="AE156" s="365">
        <v>0</v>
      </c>
      <c r="AF156" s="375">
        <v>2476391.5328345923</v>
      </c>
      <c r="AH156" s="365">
        <v>0</v>
      </c>
      <c r="AI156" s="370">
        <v>0</v>
      </c>
      <c r="AJ156" s="370">
        <v>0</v>
      </c>
      <c r="AK156" s="375">
        <v>2476391.5328345923</v>
      </c>
      <c r="AM156" s="365">
        <v>0</v>
      </c>
      <c r="AN156" s="370">
        <v>0</v>
      </c>
      <c r="AO156" s="370">
        <v>0</v>
      </c>
      <c r="AP156" s="375">
        <v>2476391.5328345923</v>
      </c>
      <c r="AR156" s="365">
        <v>0</v>
      </c>
      <c r="AS156" s="375">
        <v>2476391.5328345923</v>
      </c>
      <c r="AU156" s="378">
        <v>1050000</v>
      </c>
      <c r="AV156" s="379">
        <v>-1750</v>
      </c>
      <c r="AW156" s="380">
        <v>1050000</v>
      </c>
      <c r="AX156" s="381">
        <v>2478141.5328345923</v>
      </c>
      <c r="AZ156" s="365">
        <v>0</v>
      </c>
      <c r="BA156" s="370">
        <v>0</v>
      </c>
      <c r="BB156" s="370">
        <v>0</v>
      </c>
      <c r="BC156" s="375">
        <v>2478141.5328345923</v>
      </c>
      <c r="BE156" s="365">
        <v>0</v>
      </c>
      <c r="BF156" s="370">
        <v>0</v>
      </c>
      <c r="BG156" s="370">
        <v>0</v>
      </c>
      <c r="BH156" s="375">
        <v>2478141.5328345923</v>
      </c>
      <c r="BJ156" s="365">
        <v>0</v>
      </c>
      <c r="BK156" s="370">
        <v>0</v>
      </c>
      <c r="BL156" s="370">
        <v>0</v>
      </c>
      <c r="BM156" s="375">
        <v>2478141.5328345923</v>
      </c>
      <c r="BO156" s="365">
        <v>0</v>
      </c>
      <c r="BP156" s="370">
        <v>0</v>
      </c>
      <c r="BQ156" s="370">
        <v>0</v>
      </c>
      <c r="BR156" s="375">
        <v>2478141.5328345923</v>
      </c>
      <c r="BT156" s="365">
        <v>0</v>
      </c>
      <c r="BU156" s="370">
        <v>0</v>
      </c>
      <c r="BV156" s="370">
        <v>0</v>
      </c>
      <c r="BW156" s="375">
        <v>2478141.5328345923</v>
      </c>
      <c r="BY156" s="365">
        <v>2106420.3029094036</v>
      </c>
      <c r="BZ156" s="373">
        <v>141997991.36930069</v>
      </c>
      <c r="CA156" s="375">
        <v>371721.2299251887</v>
      </c>
      <c r="CC156" s="365">
        <v>0</v>
      </c>
      <c r="CD156" s="375">
        <v>0</v>
      </c>
      <c r="CF156" s="365">
        <v>0</v>
      </c>
      <c r="CG156" s="375">
        <v>0</v>
      </c>
      <c r="CI156" s="365">
        <v>371721.22992518882</v>
      </c>
      <c r="CJ156" s="375">
        <v>2106420.3029094036</v>
      </c>
    </row>
    <row r="157" spans="7:88">
      <c r="G157" s="417">
        <v>153</v>
      </c>
      <c r="H157" s="251">
        <v>1</v>
      </c>
      <c r="I157" s="377">
        <v>0</v>
      </c>
      <c r="J157" s="368">
        <v>0</v>
      </c>
      <c r="K157" s="368">
        <v>5034622.8477594089</v>
      </c>
      <c r="L157" s="369">
        <v>2559657.0517783463</v>
      </c>
      <c r="N157" s="367">
        <v>2474965.7959810626</v>
      </c>
      <c r="O157" s="370">
        <v>0</v>
      </c>
      <c r="P157" s="370">
        <v>0</v>
      </c>
      <c r="Q157" s="370">
        <v>0</v>
      </c>
      <c r="R157" s="370">
        <v>0</v>
      </c>
      <c r="S157" s="370">
        <v>0</v>
      </c>
      <c r="T157" s="379">
        <v>59342400</v>
      </c>
      <c r="U157" s="371">
        <v>0</v>
      </c>
      <c r="V157" s="371">
        <v>1051750</v>
      </c>
      <c r="W157" s="372">
        <v>3526715.7959810626</v>
      </c>
      <c r="X157" s="41"/>
      <c r="Y157" s="365">
        <v>0</v>
      </c>
      <c r="Z157" s="370">
        <v>0</v>
      </c>
      <c r="AA157" s="370">
        <v>0</v>
      </c>
      <c r="AB157" s="375">
        <v>3526715.7959810626</v>
      </c>
      <c r="AC157" s="41"/>
      <c r="AD157" s="449">
        <v>0</v>
      </c>
      <c r="AE157" s="365">
        <v>0</v>
      </c>
      <c r="AF157" s="375">
        <v>2474965.7959810626</v>
      </c>
      <c r="AH157" s="365">
        <v>0</v>
      </c>
      <c r="AI157" s="370">
        <v>0</v>
      </c>
      <c r="AJ157" s="370">
        <v>0</v>
      </c>
      <c r="AK157" s="375">
        <v>2474965.7959810626</v>
      </c>
      <c r="AM157" s="365">
        <v>0</v>
      </c>
      <c r="AN157" s="370">
        <v>0</v>
      </c>
      <c r="AO157" s="370">
        <v>0</v>
      </c>
      <c r="AP157" s="375">
        <v>2474965.7959810626</v>
      </c>
      <c r="AR157" s="365">
        <v>0</v>
      </c>
      <c r="AS157" s="375">
        <v>2474965.7959810626</v>
      </c>
      <c r="AU157" s="378">
        <v>1050000</v>
      </c>
      <c r="AV157" s="379">
        <v>-1750</v>
      </c>
      <c r="AW157" s="380">
        <v>1050000</v>
      </c>
      <c r="AX157" s="381">
        <v>2476715.7959810626</v>
      </c>
      <c r="AZ157" s="365">
        <v>0</v>
      </c>
      <c r="BA157" s="370">
        <v>0</v>
      </c>
      <c r="BB157" s="370">
        <v>0</v>
      </c>
      <c r="BC157" s="375">
        <v>2476715.7959810626</v>
      </c>
      <c r="BE157" s="365">
        <v>0</v>
      </c>
      <c r="BF157" s="370">
        <v>0</v>
      </c>
      <c r="BG157" s="370">
        <v>0</v>
      </c>
      <c r="BH157" s="375">
        <v>2476715.7959810626</v>
      </c>
      <c r="BJ157" s="365">
        <v>0</v>
      </c>
      <c r="BK157" s="370">
        <v>0</v>
      </c>
      <c r="BL157" s="370">
        <v>0</v>
      </c>
      <c r="BM157" s="375">
        <v>2476715.7959810626</v>
      </c>
      <c r="BO157" s="365">
        <v>0</v>
      </c>
      <c r="BP157" s="370">
        <v>0</v>
      </c>
      <c r="BQ157" s="370">
        <v>0</v>
      </c>
      <c r="BR157" s="375">
        <v>2476715.7959810626</v>
      </c>
      <c r="BT157" s="365">
        <v>0</v>
      </c>
      <c r="BU157" s="370">
        <v>0</v>
      </c>
      <c r="BV157" s="370">
        <v>0</v>
      </c>
      <c r="BW157" s="375">
        <v>2476715.7959810626</v>
      </c>
      <c r="BY157" s="365">
        <v>2105208.4265839029</v>
      </c>
      <c r="BZ157" s="373">
        <v>144103199.79588461</v>
      </c>
      <c r="CA157" s="375">
        <v>371507.36939715967</v>
      </c>
      <c r="CC157" s="365">
        <v>0</v>
      </c>
      <c r="CD157" s="375">
        <v>0</v>
      </c>
      <c r="CF157" s="365">
        <v>0</v>
      </c>
      <c r="CG157" s="375">
        <v>0</v>
      </c>
      <c r="CI157" s="365">
        <v>371507.36939715937</v>
      </c>
      <c r="CJ157" s="375">
        <v>2105208.4265839029</v>
      </c>
    </row>
    <row r="158" spans="7:88">
      <c r="G158" s="417">
        <v>154</v>
      </c>
      <c r="H158" s="251">
        <v>1</v>
      </c>
      <c r="I158" s="377">
        <v>0</v>
      </c>
      <c r="J158" s="368">
        <v>0</v>
      </c>
      <c r="K158" s="368">
        <v>5034622.8477594089</v>
      </c>
      <c r="L158" s="369">
        <v>2561083.5832142751</v>
      </c>
      <c r="N158" s="367">
        <v>2473539.2645451338</v>
      </c>
      <c r="O158" s="370">
        <v>0</v>
      </c>
      <c r="P158" s="370">
        <v>0</v>
      </c>
      <c r="Q158" s="370">
        <v>0</v>
      </c>
      <c r="R158" s="370">
        <v>0</v>
      </c>
      <c r="S158" s="370">
        <v>0</v>
      </c>
      <c r="T158" s="379">
        <v>59342400</v>
      </c>
      <c r="U158" s="371">
        <v>0</v>
      </c>
      <c r="V158" s="371">
        <v>1051750</v>
      </c>
      <c r="W158" s="372">
        <v>3525289.2645451338</v>
      </c>
      <c r="X158" s="41"/>
      <c r="Y158" s="365">
        <v>1050000</v>
      </c>
      <c r="Z158" s="370">
        <v>1050000</v>
      </c>
      <c r="AA158" s="370">
        <v>0</v>
      </c>
      <c r="AB158" s="375">
        <v>2475289.2645451338</v>
      </c>
      <c r="AC158" s="41"/>
      <c r="AD158" s="449">
        <v>1050000</v>
      </c>
      <c r="AE158" s="365">
        <v>0</v>
      </c>
      <c r="AF158" s="375">
        <v>1423539.2645451338</v>
      </c>
      <c r="AH158" s="365">
        <v>0</v>
      </c>
      <c r="AI158" s="370">
        <v>0</v>
      </c>
      <c r="AJ158" s="370">
        <v>0</v>
      </c>
      <c r="AK158" s="375">
        <v>1423539.2645451338</v>
      </c>
      <c r="AM158" s="365">
        <v>0</v>
      </c>
      <c r="AN158" s="370">
        <v>0</v>
      </c>
      <c r="AO158" s="370">
        <v>0</v>
      </c>
      <c r="AP158" s="375">
        <v>1423539.2645451338</v>
      </c>
      <c r="AR158" s="365">
        <v>0</v>
      </c>
      <c r="AS158" s="375">
        <v>1423539.2645451338</v>
      </c>
      <c r="AU158" s="378">
        <v>0</v>
      </c>
      <c r="AV158" s="379">
        <v>-1051750</v>
      </c>
      <c r="AW158" s="380">
        <v>0</v>
      </c>
      <c r="AX158" s="381">
        <v>2475289.2645451338</v>
      </c>
      <c r="AZ158" s="365">
        <v>0</v>
      </c>
      <c r="BA158" s="370">
        <v>0</v>
      </c>
      <c r="BB158" s="370">
        <v>0</v>
      </c>
      <c r="BC158" s="375">
        <v>2475289.2645451338</v>
      </c>
      <c r="BE158" s="365">
        <v>0</v>
      </c>
      <c r="BF158" s="370">
        <v>0</v>
      </c>
      <c r="BG158" s="370">
        <v>0</v>
      </c>
      <c r="BH158" s="375">
        <v>2475289.2645451338</v>
      </c>
      <c r="BJ158" s="365">
        <v>0</v>
      </c>
      <c r="BK158" s="370">
        <v>0</v>
      </c>
      <c r="BL158" s="370">
        <v>0</v>
      </c>
      <c r="BM158" s="375">
        <v>2475289.2645451338</v>
      </c>
      <c r="BO158" s="365">
        <v>0</v>
      </c>
      <c r="BP158" s="370">
        <v>0</v>
      </c>
      <c r="BQ158" s="370">
        <v>0</v>
      </c>
      <c r="BR158" s="375">
        <v>2475289.2645451338</v>
      </c>
      <c r="BT158" s="365">
        <v>0</v>
      </c>
      <c r="BU158" s="370">
        <v>0</v>
      </c>
      <c r="BV158" s="370">
        <v>0</v>
      </c>
      <c r="BW158" s="375">
        <v>2475289.2645451338</v>
      </c>
      <c r="BY158" s="365">
        <v>2103995.8748633638</v>
      </c>
      <c r="BZ158" s="373">
        <v>146207195.67074797</v>
      </c>
      <c r="CA158" s="375">
        <v>371293.38968177</v>
      </c>
      <c r="CC158" s="365">
        <v>0</v>
      </c>
      <c r="CD158" s="375">
        <v>0</v>
      </c>
      <c r="CF158" s="365">
        <v>0</v>
      </c>
      <c r="CG158" s="375">
        <v>0</v>
      </c>
      <c r="CI158" s="365">
        <v>371293.38968177006</v>
      </c>
      <c r="CJ158" s="375">
        <v>2103995.8748633638</v>
      </c>
    </row>
    <row r="159" spans="7:88">
      <c r="G159" s="417">
        <v>155</v>
      </c>
      <c r="H159" s="251">
        <v>1</v>
      </c>
      <c r="I159" s="377">
        <v>1</v>
      </c>
      <c r="J159" s="368">
        <v>0</v>
      </c>
      <c r="K159" s="368">
        <v>4743747.1657859981</v>
      </c>
      <c r="L159" s="369">
        <v>2562510.9096754342</v>
      </c>
      <c r="N159" s="367">
        <v>2181236.2561105639</v>
      </c>
      <c r="O159" s="370">
        <v>0</v>
      </c>
      <c r="P159" s="370">
        <v>0</v>
      </c>
      <c r="Q159" s="370">
        <v>0</v>
      </c>
      <c r="R159" s="370">
        <v>0</v>
      </c>
      <c r="S159" s="370">
        <v>0</v>
      </c>
      <c r="T159" s="379">
        <v>59342400</v>
      </c>
      <c r="U159" s="371">
        <v>0</v>
      </c>
      <c r="V159" s="371">
        <v>0</v>
      </c>
      <c r="W159" s="372">
        <v>2181236.2561105639</v>
      </c>
      <c r="X159" s="41"/>
      <c r="Y159" s="365">
        <v>0</v>
      </c>
      <c r="Z159" s="370">
        <v>0</v>
      </c>
      <c r="AA159" s="370">
        <v>0</v>
      </c>
      <c r="AB159" s="375">
        <v>2181236.2561105639</v>
      </c>
      <c r="AC159" s="41"/>
      <c r="AD159" s="449">
        <v>0</v>
      </c>
      <c r="AE159" s="365">
        <v>0</v>
      </c>
      <c r="AF159" s="375">
        <v>2181236.2561105639</v>
      </c>
      <c r="AH159" s="365">
        <v>0</v>
      </c>
      <c r="AI159" s="370">
        <v>0</v>
      </c>
      <c r="AJ159" s="370">
        <v>0</v>
      </c>
      <c r="AK159" s="375">
        <v>2181236.2561105639</v>
      </c>
      <c r="AM159" s="365">
        <v>0</v>
      </c>
      <c r="AN159" s="370">
        <v>0</v>
      </c>
      <c r="AO159" s="370">
        <v>0</v>
      </c>
      <c r="AP159" s="375">
        <v>2181236.2561105639</v>
      </c>
      <c r="AR159" s="365">
        <v>0</v>
      </c>
      <c r="AS159" s="375">
        <v>2181236.2561105639</v>
      </c>
      <c r="AU159" s="378">
        <v>0</v>
      </c>
      <c r="AV159" s="379">
        <v>0</v>
      </c>
      <c r="AW159" s="380">
        <v>0</v>
      </c>
      <c r="AX159" s="381">
        <v>2181236.2561105639</v>
      </c>
      <c r="AZ159" s="365">
        <v>0</v>
      </c>
      <c r="BA159" s="370">
        <v>0</v>
      </c>
      <c r="BB159" s="370">
        <v>0</v>
      </c>
      <c r="BC159" s="375">
        <v>2181236.2561105639</v>
      </c>
      <c r="BE159" s="365">
        <v>0</v>
      </c>
      <c r="BF159" s="370">
        <v>0</v>
      </c>
      <c r="BG159" s="370">
        <v>0</v>
      </c>
      <c r="BH159" s="375">
        <v>2181236.2561105639</v>
      </c>
      <c r="BJ159" s="365">
        <v>0</v>
      </c>
      <c r="BK159" s="370">
        <v>0</v>
      </c>
      <c r="BL159" s="370">
        <v>0</v>
      </c>
      <c r="BM159" s="375">
        <v>2181236.2561105639</v>
      </c>
      <c r="BO159" s="365">
        <v>0</v>
      </c>
      <c r="BP159" s="370">
        <v>0</v>
      </c>
      <c r="BQ159" s="370">
        <v>0</v>
      </c>
      <c r="BR159" s="375">
        <v>2181236.2561105639</v>
      </c>
      <c r="BT159" s="365">
        <v>0</v>
      </c>
      <c r="BU159" s="370">
        <v>0</v>
      </c>
      <c r="BV159" s="370">
        <v>0</v>
      </c>
      <c r="BW159" s="375">
        <v>2181236.2561105639</v>
      </c>
      <c r="BY159" s="365">
        <v>1854050.8176939792</v>
      </c>
      <c r="BZ159" s="373">
        <v>148061246.48844194</v>
      </c>
      <c r="CA159" s="375">
        <v>327185.43841658463</v>
      </c>
      <c r="CC159" s="365">
        <v>0</v>
      </c>
      <c r="CD159" s="375">
        <v>0</v>
      </c>
      <c r="CF159" s="365">
        <v>0</v>
      </c>
      <c r="CG159" s="375">
        <v>0</v>
      </c>
      <c r="CI159" s="365">
        <v>327185.43841658457</v>
      </c>
      <c r="CJ159" s="375">
        <v>1854050.8176939792</v>
      </c>
    </row>
    <row r="160" spans="7:88">
      <c r="G160" s="417">
        <v>156</v>
      </c>
      <c r="H160" s="251">
        <v>1</v>
      </c>
      <c r="I160" s="377">
        <v>1</v>
      </c>
      <c r="J160" s="368">
        <v>0</v>
      </c>
      <c r="K160" s="368">
        <v>4775664.1037029661</v>
      </c>
      <c r="L160" s="369">
        <v>2563939.0316049024</v>
      </c>
      <c r="N160" s="367">
        <v>2211725.0720980638</v>
      </c>
      <c r="O160" s="370">
        <v>0</v>
      </c>
      <c r="P160" s="370">
        <v>0</v>
      </c>
      <c r="Q160" s="370">
        <v>0</v>
      </c>
      <c r="R160" s="370">
        <v>0</v>
      </c>
      <c r="S160" s="370">
        <v>0</v>
      </c>
      <c r="T160" s="379">
        <v>59342400</v>
      </c>
      <c r="U160" s="371">
        <v>0</v>
      </c>
      <c r="V160" s="371">
        <v>0</v>
      </c>
      <c r="W160" s="372">
        <v>2211725.0720980638</v>
      </c>
      <c r="X160" s="41"/>
      <c r="Y160" s="365">
        <v>0</v>
      </c>
      <c r="Z160" s="370">
        <v>0</v>
      </c>
      <c r="AA160" s="370">
        <v>0</v>
      </c>
      <c r="AB160" s="375">
        <v>2211725.0720980638</v>
      </c>
      <c r="AC160" s="41"/>
      <c r="AD160" s="449">
        <v>0</v>
      </c>
      <c r="AE160" s="365">
        <v>0</v>
      </c>
      <c r="AF160" s="375">
        <v>2211725.0720980638</v>
      </c>
      <c r="AH160" s="365">
        <v>0</v>
      </c>
      <c r="AI160" s="370">
        <v>0</v>
      </c>
      <c r="AJ160" s="370">
        <v>0</v>
      </c>
      <c r="AK160" s="375">
        <v>2211725.0720980638</v>
      </c>
      <c r="AM160" s="365">
        <v>0</v>
      </c>
      <c r="AN160" s="370">
        <v>0</v>
      </c>
      <c r="AO160" s="370">
        <v>0</v>
      </c>
      <c r="AP160" s="375">
        <v>2211725.0720980638</v>
      </c>
      <c r="AR160" s="365">
        <v>0</v>
      </c>
      <c r="AS160" s="375">
        <v>2211725.0720980638</v>
      </c>
      <c r="AU160" s="378">
        <v>0</v>
      </c>
      <c r="AV160" s="379">
        <v>0</v>
      </c>
      <c r="AW160" s="380">
        <v>0</v>
      </c>
      <c r="AX160" s="381">
        <v>2211725.0720980638</v>
      </c>
      <c r="AZ160" s="365">
        <v>0</v>
      </c>
      <c r="BA160" s="370">
        <v>0</v>
      </c>
      <c r="BB160" s="370">
        <v>0</v>
      </c>
      <c r="BC160" s="375">
        <v>2211725.0720980638</v>
      </c>
      <c r="BE160" s="365">
        <v>0</v>
      </c>
      <c r="BF160" s="370">
        <v>0</v>
      </c>
      <c r="BG160" s="370">
        <v>0</v>
      </c>
      <c r="BH160" s="375">
        <v>2211725.0720980638</v>
      </c>
      <c r="BJ160" s="365">
        <v>0</v>
      </c>
      <c r="BK160" s="370">
        <v>0</v>
      </c>
      <c r="BL160" s="370">
        <v>0</v>
      </c>
      <c r="BM160" s="375">
        <v>2211725.0720980638</v>
      </c>
      <c r="BO160" s="365">
        <v>0</v>
      </c>
      <c r="BP160" s="370">
        <v>0</v>
      </c>
      <c r="BQ160" s="370">
        <v>0</v>
      </c>
      <c r="BR160" s="375">
        <v>2211725.0720980638</v>
      </c>
      <c r="BT160" s="365">
        <v>0</v>
      </c>
      <c r="BU160" s="370">
        <v>0</v>
      </c>
      <c r="BV160" s="370">
        <v>0</v>
      </c>
      <c r="BW160" s="375">
        <v>2211725.0720980638</v>
      </c>
      <c r="BY160" s="365">
        <v>1879966.3112833542</v>
      </c>
      <c r="BZ160" s="373">
        <v>149941212.79972529</v>
      </c>
      <c r="CA160" s="375">
        <v>331758.76081470959</v>
      </c>
      <c r="CC160" s="365">
        <v>0</v>
      </c>
      <c r="CD160" s="375">
        <v>0</v>
      </c>
      <c r="CF160" s="365">
        <v>0</v>
      </c>
      <c r="CG160" s="375">
        <v>0</v>
      </c>
      <c r="CI160" s="365">
        <v>331758.76081470953</v>
      </c>
      <c r="CJ160" s="375">
        <v>1879966.3112833542</v>
      </c>
    </row>
    <row r="161" spans="7:88">
      <c r="G161" s="417">
        <v>157</v>
      </c>
      <c r="H161" s="251">
        <v>1</v>
      </c>
      <c r="I161" s="377">
        <v>1</v>
      </c>
      <c r="J161" s="368">
        <v>0</v>
      </c>
      <c r="K161" s="368">
        <v>4706441.1168340258</v>
      </c>
      <c r="L161" s="369">
        <v>2565367.9494460043</v>
      </c>
      <c r="N161" s="367">
        <v>2141073.1673880215</v>
      </c>
      <c r="O161" s="370">
        <v>0</v>
      </c>
      <c r="P161" s="370">
        <v>0</v>
      </c>
      <c r="Q161" s="370">
        <v>0</v>
      </c>
      <c r="R161" s="370">
        <v>0</v>
      </c>
      <c r="S161" s="370">
        <v>0</v>
      </c>
      <c r="T161" s="379">
        <v>59342400</v>
      </c>
      <c r="U161" s="371">
        <v>0</v>
      </c>
      <c r="V161" s="371">
        <v>0</v>
      </c>
      <c r="W161" s="372">
        <v>2141073.1673880215</v>
      </c>
      <c r="X161" s="41"/>
      <c r="Y161" s="365">
        <v>0</v>
      </c>
      <c r="Z161" s="370">
        <v>0</v>
      </c>
      <c r="AA161" s="370">
        <v>0</v>
      </c>
      <c r="AB161" s="375">
        <v>2141073.1673880215</v>
      </c>
      <c r="AC161" s="41"/>
      <c r="AD161" s="449">
        <v>0</v>
      </c>
      <c r="AE161" s="365">
        <v>0</v>
      </c>
      <c r="AF161" s="375">
        <v>2141073.1673880215</v>
      </c>
      <c r="AH161" s="365">
        <v>0</v>
      </c>
      <c r="AI161" s="370">
        <v>0</v>
      </c>
      <c r="AJ161" s="370">
        <v>0</v>
      </c>
      <c r="AK161" s="375">
        <v>2141073.1673880215</v>
      </c>
      <c r="AM161" s="365">
        <v>0</v>
      </c>
      <c r="AN161" s="370">
        <v>0</v>
      </c>
      <c r="AO161" s="370">
        <v>0</v>
      </c>
      <c r="AP161" s="375">
        <v>2141073.1673880215</v>
      </c>
      <c r="AR161" s="365">
        <v>0</v>
      </c>
      <c r="AS161" s="375">
        <v>2141073.1673880215</v>
      </c>
      <c r="AU161" s="378">
        <v>850000</v>
      </c>
      <c r="AV161" s="379">
        <v>850000</v>
      </c>
      <c r="AW161" s="380">
        <v>850000</v>
      </c>
      <c r="AX161" s="381">
        <v>1291073.1673880215</v>
      </c>
      <c r="AZ161" s="365">
        <v>0</v>
      </c>
      <c r="BA161" s="370">
        <v>0</v>
      </c>
      <c r="BB161" s="370">
        <v>0</v>
      </c>
      <c r="BC161" s="375">
        <v>1291073.1673880215</v>
      </c>
      <c r="BE161" s="365">
        <v>0</v>
      </c>
      <c r="BF161" s="370">
        <v>0</v>
      </c>
      <c r="BG161" s="370">
        <v>0</v>
      </c>
      <c r="BH161" s="375">
        <v>1291073.1673880215</v>
      </c>
      <c r="BJ161" s="365">
        <v>0</v>
      </c>
      <c r="BK161" s="370">
        <v>0</v>
      </c>
      <c r="BL161" s="370">
        <v>0</v>
      </c>
      <c r="BM161" s="375">
        <v>1291073.1673880215</v>
      </c>
      <c r="BO161" s="365">
        <v>0</v>
      </c>
      <c r="BP161" s="370">
        <v>0</v>
      </c>
      <c r="BQ161" s="370">
        <v>0</v>
      </c>
      <c r="BR161" s="375">
        <v>1291073.1673880215</v>
      </c>
      <c r="BT161" s="365">
        <v>0</v>
      </c>
      <c r="BU161" s="370">
        <v>0</v>
      </c>
      <c r="BV161" s="370">
        <v>0</v>
      </c>
      <c r="BW161" s="375">
        <v>1291073.1673880215</v>
      </c>
      <c r="BY161" s="365">
        <v>1097412.1922798182</v>
      </c>
      <c r="BZ161" s="373">
        <v>151038624.99200511</v>
      </c>
      <c r="CA161" s="375">
        <v>193660.97510820325</v>
      </c>
      <c r="CC161" s="365">
        <v>0</v>
      </c>
      <c r="CD161" s="375">
        <v>0</v>
      </c>
      <c r="CF161" s="365">
        <v>0</v>
      </c>
      <c r="CG161" s="375">
        <v>0</v>
      </c>
      <c r="CI161" s="365">
        <v>193660.97510820322</v>
      </c>
      <c r="CJ161" s="375">
        <v>1097412.1922798182</v>
      </c>
    </row>
    <row r="162" spans="7:88">
      <c r="G162" s="417">
        <v>158</v>
      </c>
      <c r="H162" s="251">
        <v>1</v>
      </c>
      <c r="I162" s="377">
        <v>0</v>
      </c>
      <c r="J162" s="368">
        <v>0</v>
      </c>
      <c r="K162" s="368">
        <v>5045781.6225299081</v>
      </c>
      <c r="L162" s="369">
        <v>2566797.6636423133</v>
      </c>
      <c r="N162" s="367">
        <v>2478983.9588875948</v>
      </c>
      <c r="O162" s="370">
        <v>0</v>
      </c>
      <c r="P162" s="370">
        <v>0</v>
      </c>
      <c r="Q162" s="370">
        <v>0</v>
      </c>
      <c r="R162" s="370">
        <v>0</v>
      </c>
      <c r="S162" s="370">
        <v>0</v>
      </c>
      <c r="T162" s="379">
        <v>59342400</v>
      </c>
      <c r="U162" s="371">
        <v>0</v>
      </c>
      <c r="V162" s="371">
        <v>851416.66666666674</v>
      </c>
      <c r="W162" s="372">
        <v>3330400.6255542617</v>
      </c>
      <c r="X162" s="41"/>
      <c r="Y162" s="365">
        <v>0</v>
      </c>
      <c r="Z162" s="370">
        <v>0</v>
      </c>
      <c r="AA162" s="370">
        <v>0</v>
      </c>
      <c r="AB162" s="375">
        <v>3330400.6255542617</v>
      </c>
      <c r="AC162" s="41"/>
      <c r="AD162" s="449">
        <v>0</v>
      </c>
      <c r="AE162" s="365">
        <v>0</v>
      </c>
      <c r="AF162" s="375">
        <v>2478983.9588875948</v>
      </c>
      <c r="AH162" s="365">
        <v>0</v>
      </c>
      <c r="AI162" s="370">
        <v>0</v>
      </c>
      <c r="AJ162" s="370">
        <v>0</v>
      </c>
      <c r="AK162" s="375">
        <v>2478983.9588875948</v>
      </c>
      <c r="AM162" s="365">
        <v>0</v>
      </c>
      <c r="AN162" s="370">
        <v>0</v>
      </c>
      <c r="AO162" s="370">
        <v>0</v>
      </c>
      <c r="AP162" s="375">
        <v>2478983.9588875948</v>
      </c>
      <c r="AR162" s="365">
        <v>0</v>
      </c>
      <c r="AS162" s="375">
        <v>2478983.9588875948</v>
      </c>
      <c r="AU162" s="378">
        <v>850000</v>
      </c>
      <c r="AV162" s="379">
        <v>-1416.6666666667443</v>
      </c>
      <c r="AW162" s="380">
        <v>850000</v>
      </c>
      <c r="AX162" s="381">
        <v>2480400.6255542617</v>
      </c>
      <c r="AZ162" s="365">
        <v>0</v>
      </c>
      <c r="BA162" s="370">
        <v>0</v>
      </c>
      <c r="BB162" s="370">
        <v>0</v>
      </c>
      <c r="BC162" s="375">
        <v>2480400.6255542617</v>
      </c>
      <c r="BE162" s="365">
        <v>0</v>
      </c>
      <c r="BF162" s="370">
        <v>0</v>
      </c>
      <c r="BG162" s="370">
        <v>0</v>
      </c>
      <c r="BH162" s="375">
        <v>2480400.6255542617</v>
      </c>
      <c r="BJ162" s="365">
        <v>0</v>
      </c>
      <c r="BK162" s="370">
        <v>0</v>
      </c>
      <c r="BL162" s="370">
        <v>0</v>
      </c>
      <c r="BM162" s="375">
        <v>2480400.6255542617</v>
      </c>
      <c r="BO162" s="365">
        <v>0</v>
      </c>
      <c r="BP162" s="370">
        <v>0</v>
      </c>
      <c r="BQ162" s="370">
        <v>0</v>
      </c>
      <c r="BR162" s="375">
        <v>2480400.6255542617</v>
      </c>
      <c r="BT162" s="365">
        <v>0</v>
      </c>
      <c r="BU162" s="370">
        <v>0</v>
      </c>
      <c r="BV162" s="370">
        <v>0</v>
      </c>
      <c r="BW162" s="375">
        <v>2480400.6255542617</v>
      </c>
      <c r="BY162" s="365">
        <v>2108340.5317211226</v>
      </c>
      <c r="BZ162" s="373">
        <v>153146965.52372622</v>
      </c>
      <c r="CA162" s="375">
        <v>372060.09383313917</v>
      </c>
      <c r="CC162" s="365">
        <v>0</v>
      </c>
      <c r="CD162" s="375">
        <v>0</v>
      </c>
      <c r="CF162" s="365">
        <v>0</v>
      </c>
      <c r="CG162" s="375">
        <v>0</v>
      </c>
      <c r="CI162" s="365">
        <v>372060.09383313922</v>
      </c>
      <c r="CJ162" s="375">
        <v>2108340.5317211226</v>
      </c>
    </row>
    <row r="163" spans="7:88">
      <c r="G163" s="417">
        <v>159</v>
      </c>
      <c r="H163" s="251">
        <v>1</v>
      </c>
      <c r="I163" s="377">
        <v>1</v>
      </c>
      <c r="J163" s="368">
        <v>0</v>
      </c>
      <c r="K163" s="368">
        <v>4676043.5580417486</v>
      </c>
      <c r="L163" s="369">
        <v>2568228.1746376478</v>
      </c>
      <c r="N163" s="367">
        <v>2107815.3834041008</v>
      </c>
      <c r="O163" s="370">
        <v>0</v>
      </c>
      <c r="P163" s="370">
        <v>0</v>
      </c>
      <c r="Q163" s="370">
        <v>0</v>
      </c>
      <c r="R163" s="370">
        <v>0</v>
      </c>
      <c r="S163" s="370">
        <v>0</v>
      </c>
      <c r="T163" s="379">
        <v>59342400</v>
      </c>
      <c r="U163" s="371">
        <v>0</v>
      </c>
      <c r="V163" s="371">
        <v>851416.66666666674</v>
      </c>
      <c r="W163" s="372">
        <v>2959232.0500707673</v>
      </c>
      <c r="X163" s="41"/>
      <c r="Y163" s="365">
        <v>0</v>
      </c>
      <c r="Z163" s="370">
        <v>0</v>
      </c>
      <c r="AA163" s="370">
        <v>0</v>
      </c>
      <c r="AB163" s="375">
        <v>2959232.0500707673</v>
      </c>
      <c r="AC163" s="41"/>
      <c r="AD163" s="449">
        <v>0</v>
      </c>
      <c r="AE163" s="365">
        <v>0</v>
      </c>
      <c r="AF163" s="375">
        <v>2107815.3834041003</v>
      </c>
      <c r="AH163" s="365">
        <v>0</v>
      </c>
      <c r="AI163" s="370">
        <v>0</v>
      </c>
      <c r="AJ163" s="370">
        <v>0</v>
      </c>
      <c r="AK163" s="375">
        <v>2107815.3834041003</v>
      </c>
      <c r="AM163" s="365">
        <v>0</v>
      </c>
      <c r="AN163" s="370">
        <v>0</v>
      </c>
      <c r="AO163" s="370">
        <v>0</v>
      </c>
      <c r="AP163" s="375">
        <v>2107815.3834041003</v>
      </c>
      <c r="AR163" s="365">
        <v>0</v>
      </c>
      <c r="AS163" s="375">
        <v>2107815.3834041003</v>
      </c>
      <c r="AU163" s="378">
        <v>850000</v>
      </c>
      <c r="AV163" s="379">
        <v>-1416.6666666667443</v>
      </c>
      <c r="AW163" s="380">
        <v>850000</v>
      </c>
      <c r="AX163" s="381">
        <v>2109232.0500707673</v>
      </c>
      <c r="AZ163" s="365">
        <v>0</v>
      </c>
      <c r="BA163" s="370">
        <v>0</v>
      </c>
      <c r="BB163" s="370">
        <v>0</v>
      </c>
      <c r="BC163" s="375">
        <v>2109232.0500707673</v>
      </c>
      <c r="BE163" s="365">
        <v>0</v>
      </c>
      <c r="BF163" s="370">
        <v>0</v>
      </c>
      <c r="BG163" s="370">
        <v>0</v>
      </c>
      <c r="BH163" s="375">
        <v>2109232.0500707673</v>
      </c>
      <c r="BJ163" s="365">
        <v>0</v>
      </c>
      <c r="BK163" s="370">
        <v>0</v>
      </c>
      <c r="BL163" s="370">
        <v>0</v>
      </c>
      <c r="BM163" s="375">
        <v>2109232.0500707673</v>
      </c>
      <c r="BO163" s="365">
        <v>0</v>
      </c>
      <c r="BP163" s="370">
        <v>0</v>
      </c>
      <c r="BQ163" s="370">
        <v>0</v>
      </c>
      <c r="BR163" s="375">
        <v>2109232.0500707673</v>
      </c>
      <c r="BT163" s="365">
        <v>0</v>
      </c>
      <c r="BU163" s="370">
        <v>0</v>
      </c>
      <c r="BV163" s="370">
        <v>0</v>
      </c>
      <c r="BW163" s="375">
        <v>2109232.0500707673</v>
      </c>
      <c r="BY163" s="365">
        <v>1792847.2425601522</v>
      </c>
      <c r="BZ163" s="373">
        <v>154939812.76628637</v>
      </c>
      <c r="CA163" s="375">
        <v>316384.80751061509</v>
      </c>
      <c r="CC163" s="365">
        <v>0</v>
      </c>
      <c r="CD163" s="375">
        <v>0</v>
      </c>
      <c r="CF163" s="365">
        <v>0</v>
      </c>
      <c r="CG163" s="375">
        <v>0</v>
      </c>
      <c r="CI163" s="365">
        <v>316384.80751061509</v>
      </c>
      <c r="CJ163" s="375">
        <v>1792847.2425601522</v>
      </c>
    </row>
    <row r="164" spans="7:88">
      <c r="G164" s="417">
        <v>160</v>
      </c>
      <c r="H164" s="251">
        <v>1</v>
      </c>
      <c r="I164" s="377">
        <v>1</v>
      </c>
      <c r="J164" s="368">
        <v>0</v>
      </c>
      <c r="K164" s="368">
        <v>4742473.1447807271</v>
      </c>
      <c r="L164" s="369">
        <v>2569659.482876075</v>
      </c>
      <c r="N164" s="367">
        <v>2172813.6619046521</v>
      </c>
      <c r="O164" s="370">
        <v>0</v>
      </c>
      <c r="P164" s="370">
        <v>0</v>
      </c>
      <c r="Q164" s="370">
        <v>0</v>
      </c>
      <c r="R164" s="370">
        <v>0</v>
      </c>
      <c r="S164" s="370">
        <v>0</v>
      </c>
      <c r="T164" s="379">
        <v>59342400</v>
      </c>
      <c r="U164" s="371">
        <v>0</v>
      </c>
      <c r="V164" s="371">
        <v>851416.66666666674</v>
      </c>
      <c r="W164" s="372">
        <v>3024230.3285713186</v>
      </c>
      <c r="X164" s="41"/>
      <c r="Y164" s="365">
        <v>0</v>
      </c>
      <c r="Z164" s="370">
        <v>0</v>
      </c>
      <c r="AA164" s="370">
        <v>0</v>
      </c>
      <c r="AB164" s="375">
        <v>3024230.3285713186</v>
      </c>
      <c r="AC164" s="41"/>
      <c r="AD164" s="449">
        <v>0</v>
      </c>
      <c r="AE164" s="365">
        <v>0</v>
      </c>
      <c r="AF164" s="375">
        <v>2172813.6619046517</v>
      </c>
      <c r="AH164" s="365">
        <v>0</v>
      </c>
      <c r="AI164" s="370">
        <v>0</v>
      </c>
      <c r="AJ164" s="370">
        <v>0</v>
      </c>
      <c r="AK164" s="375">
        <v>2172813.6619046517</v>
      </c>
      <c r="AM164" s="365">
        <v>0</v>
      </c>
      <c r="AN164" s="370">
        <v>0</v>
      </c>
      <c r="AO164" s="370">
        <v>0</v>
      </c>
      <c r="AP164" s="375">
        <v>2172813.6619046517</v>
      </c>
      <c r="AR164" s="365">
        <v>0</v>
      </c>
      <c r="AS164" s="375">
        <v>2172813.6619046517</v>
      </c>
      <c r="AU164" s="378">
        <v>850000</v>
      </c>
      <c r="AV164" s="379">
        <v>-1416.6666666667443</v>
      </c>
      <c r="AW164" s="380">
        <v>850000</v>
      </c>
      <c r="AX164" s="381">
        <v>2174230.3285713186</v>
      </c>
      <c r="AZ164" s="365">
        <v>0</v>
      </c>
      <c r="BA164" s="370">
        <v>0</v>
      </c>
      <c r="BB164" s="370">
        <v>0</v>
      </c>
      <c r="BC164" s="375">
        <v>2174230.3285713186</v>
      </c>
      <c r="BE164" s="365">
        <v>0</v>
      </c>
      <c r="BF164" s="370">
        <v>0</v>
      </c>
      <c r="BG164" s="370">
        <v>0</v>
      </c>
      <c r="BH164" s="375">
        <v>2174230.3285713186</v>
      </c>
      <c r="BJ164" s="365">
        <v>0</v>
      </c>
      <c r="BK164" s="370">
        <v>0</v>
      </c>
      <c r="BL164" s="370">
        <v>0</v>
      </c>
      <c r="BM164" s="375">
        <v>2174230.3285713186</v>
      </c>
      <c r="BO164" s="365">
        <v>0</v>
      </c>
      <c r="BP164" s="370">
        <v>0</v>
      </c>
      <c r="BQ164" s="370">
        <v>0</v>
      </c>
      <c r="BR164" s="375">
        <v>2174230.3285713186</v>
      </c>
      <c r="BT164" s="365">
        <v>0</v>
      </c>
      <c r="BU164" s="370">
        <v>0</v>
      </c>
      <c r="BV164" s="370">
        <v>0</v>
      </c>
      <c r="BW164" s="375">
        <v>2174230.3285713186</v>
      </c>
      <c r="BY164" s="365">
        <v>1848095.7792856209</v>
      </c>
      <c r="BZ164" s="373">
        <v>156787908.54557198</v>
      </c>
      <c r="CA164" s="375">
        <v>326134.54928569775</v>
      </c>
      <c r="CC164" s="365">
        <v>0</v>
      </c>
      <c r="CD164" s="375">
        <v>0</v>
      </c>
      <c r="CF164" s="365">
        <v>0</v>
      </c>
      <c r="CG164" s="375">
        <v>0</v>
      </c>
      <c r="CI164" s="365">
        <v>326134.54928569781</v>
      </c>
      <c r="CJ164" s="375">
        <v>1848095.7792856209</v>
      </c>
    </row>
    <row r="165" spans="7:88">
      <c r="G165" s="417">
        <v>161</v>
      </c>
      <c r="H165" s="251">
        <v>1</v>
      </c>
      <c r="I165" s="377">
        <v>0</v>
      </c>
      <c r="J165" s="368">
        <v>0</v>
      </c>
      <c r="K165" s="368">
        <v>5049930.2128245337</v>
      </c>
      <c r="L165" s="369">
        <v>2571091.5888019092</v>
      </c>
      <c r="N165" s="367">
        <v>2478838.6240226245</v>
      </c>
      <c r="O165" s="370">
        <v>0</v>
      </c>
      <c r="P165" s="370">
        <v>0</v>
      </c>
      <c r="Q165" s="370">
        <v>0</v>
      </c>
      <c r="R165" s="370">
        <v>0</v>
      </c>
      <c r="S165" s="370">
        <v>0</v>
      </c>
      <c r="T165" s="379">
        <v>59342400</v>
      </c>
      <c r="U165" s="371">
        <v>0</v>
      </c>
      <c r="V165" s="371">
        <v>851416.66666666674</v>
      </c>
      <c r="W165" s="372">
        <v>3330255.2906892914</v>
      </c>
      <c r="X165" s="41"/>
      <c r="Y165" s="365">
        <v>850000</v>
      </c>
      <c r="Z165" s="370">
        <v>850000</v>
      </c>
      <c r="AA165" s="370">
        <v>0</v>
      </c>
      <c r="AB165" s="375">
        <v>2480255.2906892914</v>
      </c>
      <c r="AC165" s="41"/>
      <c r="AD165" s="449">
        <v>850000</v>
      </c>
      <c r="AE165" s="365">
        <v>0</v>
      </c>
      <c r="AF165" s="375">
        <v>1628838.6240226247</v>
      </c>
      <c r="AH165" s="365">
        <v>0</v>
      </c>
      <c r="AI165" s="370">
        <v>0</v>
      </c>
      <c r="AJ165" s="370">
        <v>0</v>
      </c>
      <c r="AK165" s="375">
        <v>1628838.6240226247</v>
      </c>
      <c r="AM165" s="365">
        <v>0</v>
      </c>
      <c r="AN165" s="370">
        <v>0</v>
      </c>
      <c r="AO165" s="370">
        <v>0</v>
      </c>
      <c r="AP165" s="375">
        <v>1628838.6240226247</v>
      </c>
      <c r="AR165" s="365">
        <v>0</v>
      </c>
      <c r="AS165" s="375">
        <v>1628838.6240226247</v>
      </c>
      <c r="AU165" s="378">
        <v>0</v>
      </c>
      <c r="AV165" s="379">
        <v>-851416.66666666674</v>
      </c>
      <c r="AW165" s="380">
        <v>0</v>
      </c>
      <c r="AX165" s="381">
        <v>2480255.2906892914</v>
      </c>
      <c r="AZ165" s="365">
        <v>0</v>
      </c>
      <c r="BA165" s="370">
        <v>0</v>
      </c>
      <c r="BB165" s="370">
        <v>0</v>
      </c>
      <c r="BC165" s="375">
        <v>2480255.2906892914</v>
      </c>
      <c r="BE165" s="365">
        <v>0</v>
      </c>
      <c r="BF165" s="370">
        <v>0</v>
      </c>
      <c r="BG165" s="370">
        <v>0</v>
      </c>
      <c r="BH165" s="375">
        <v>2480255.2906892914</v>
      </c>
      <c r="BJ165" s="365">
        <v>0</v>
      </c>
      <c r="BK165" s="370">
        <v>0</v>
      </c>
      <c r="BL165" s="370">
        <v>0</v>
      </c>
      <c r="BM165" s="375">
        <v>2480255.2906892914</v>
      </c>
      <c r="BO165" s="365">
        <v>0</v>
      </c>
      <c r="BP165" s="370">
        <v>0</v>
      </c>
      <c r="BQ165" s="370">
        <v>0</v>
      </c>
      <c r="BR165" s="375">
        <v>2480255.2906892914</v>
      </c>
      <c r="BT165" s="365">
        <v>0</v>
      </c>
      <c r="BU165" s="370">
        <v>0</v>
      </c>
      <c r="BV165" s="370">
        <v>0</v>
      </c>
      <c r="BW165" s="375">
        <v>2480255.2906892914</v>
      </c>
      <c r="BY165" s="365">
        <v>2108216.9970858977</v>
      </c>
      <c r="BZ165" s="373">
        <v>158896125.54265788</v>
      </c>
      <c r="CA165" s="375">
        <v>372038.29360339371</v>
      </c>
      <c r="CC165" s="365">
        <v>0</v>
      </c>
      <c r="CD165" s="375">
        <v>0</v>
      </c>
      <c r="CF165" s="365">
        <v>0</v>
      </c>
      <c r="CG165" s="375">
        <v>0</v>
      </c>
      <c r="CI165" s="365">
        <v>372038.29360339371</v>
      </c>
      <c r="CJ165" s="375">
        <v>2108216.9970858977</v>
      </c>
    </row>
    <row r="166" spans="7:88">
      <c r="G166" s="417">
        <v>162</v>
      </c>
      <c r="H166" s="251">
        <v>1</v>
      </c>
      <c r="I166" s="377">
        <v>1</v>
      </c>
      <c r="J166" s="368">
        <v>0</v>
      </c>
      <c r="K166" s="368">
        <v>4699088.8817976732</v>
      </c>
      <c r="L166" s="369">
        <v>2572524.4928597128</v>
      </c>
      <c r="N166" s="367">
        <v>2126564.3889379604</v>
      </c>
      <c r="O166" s="370">
        <v>0</v>
      </c>
      <c r="P166" s="370">
        <v>0</v>
      </c>
      <c r="Q166" s="370">
        <v>0</v>
      </c>
      <c r="R166" s="370">
        <v>0</v>
      </c>
      <c r="S166" s="370">
        <v>0</v>
      </c>
      <c r="T166" s="379">
        <v>59342400</v>
      </c>
      <c r="U166" s="371">
        <v>0</v>
      </c>
      <c r="V166" s="371">
        <v>0</v>
      </c>
      <c r="W166" s="372">
        <v>2126564.3889379604</v>
      </c>
      <c r="X166" s="41"/>
      <c r="Y166" s="365">
        <v>0</v>
      </c>
      <c r="Z166" s="370">
        <v>0</v>
      </c>
      <c r="AA166" s="370">
        <v>0</v>
      </c>
      <c r="AB166" s="375">
        <v>2126564.3889379604</v>
      </c>
      <c r="AC166" s="41"/>
      <c r="AD166" s="449">
        <v>0</v>
      </c>
      <c r="AE166" s="365">
        <v>0</v>
      </c>
      <c r="AF166" s="375">
        <v>2126564.3889379604</v>
      </c>
      <c r="AH166" s="365">
        <v>0</v>
      </c>
      <c r="AI166" s="370">
        <v>0</v>
      </c>
      <c r="AJ166" s="370">
        <v>0</v>
      </c>
      <c r="AK166" s="375">
        <v>2126564.3889379604</v>
      </c>
      <c r="AM166" s="365">
        <v>0</v>
      </c>
      <c r="AN166" s="370">
        <v>0</v>
      </c>
      <c r="AO166" s="370">
        <v>0</v>
      </c>
      <c r="AP166" s="375">
        <v>2126564.3889379604</v>
      </c>
      <c r="AR166" s="365">
        <v>0</v>
      </c>
      <c r="AS166" s="375">
        <v>2126564.3889379604</v>
      </c>
      <c r="AU166" s="378">
        <v>0</v>
      </c>
      <c r="AV166" s="379">
        <v>0</v>
      </c>
      <c r="AW166" s="380">
        <v>0</v>
      </c>
      <c r="AX166" s="381">
        <v>2126564.3889379604</v>
      </c>
      <c r="AZ166" s="365">
        <v>0</v>
      </c>
      <c r="BA166" s="370">
        <v>0</v>
      </c>
      <c r="BB166" s="370">
        <v>0</v>
      </c>
      <c r="BC166" s="375">
        <v>2126564.3889379604</v>
      </c>
      <c r="BE166" s="365">
        <v>0</v>
      </c>
      <c r="BF166" s="370">
        <v>0</v>
      </c>
      <c r="BG166" s="370">
        <v>0</v>
      </c>
      <c r="BH166" s="375">
        <v>2126564.3889379604</v>
      </c>
      <c r="BJ166" s="365">
        <v>0</v>
      </c>
      <c r="BK166" s="370">
        <v>0</v>
      </c>
      <c r="BL166" s="370">
        <v>0</v>
      </c>
      <c r="BM166" s="375">
        <v>2126564.3889379604</v>
      </c>
      <c r="BO166" s="365">
        <v>0</v>
      </c>
      <c r="BP166" s="370">
        <v>0</v>
      </c>
      <c r="BQ166" s="370">
        <v>0</v>
      </c>
      <c r="BR166" s="375">
        <v>2126564.3889379604</v>
      </c>
      <c r="BT166" s="365">
        <v>0</v>
      </c>
      <c r="BU166" s="370">
        <v>0</v>
      </c>
      <c r="BV166" s="370">
        <v>0</v>
      </c>
      <c r="BW166" s="375">
        <v>2126564.3889379604</v>
      </c>
      <c r="BY166" s="365">
        <v>1807579.7305972662</v>
      </c>
      <c r="BZ166" s="373">
        <v>160703705.27325514</v>
      </c>
      <c r="CA166" s="375">
        <v>318984.65834069415</v>
      </c>
      <c r="CC166" s="365">
        <v>0</v>
      </c>
      <c r="CD166" s="375">
        <v>0</v>
      </c>
      <c r="CF166" s="365">
        <v>0</v>
      </c>
      <c r="CG166" s="375">
        <v>0</v>
      </c>
      <c r="CI166" s="365">
        <v>318984.65834069403</v>
      </c>
      <c r="CJ166" s="375">
        <v>1807579.7305972662</v>
      </c>
    </row>
    <row r="167" spans="7:88">
      <c r="G167" s="417">
        <v>163</v>
      </c>
      <c r="H167" s="251">
        <v>1</v>
      </c>
      <c r="I167" s="377">
        <v>0</v>
      </c>
      <c r="J167" s="368">
        <v>0</v>
      </c>
      <c r="K167" s="368">
        <v>5055427.365021931</v>
      </c>
      <c r="L167" s="369">
        <v>2573958.1954942946</v>
      </c>
      <c r="N167" s="367">
        <v>2481469.1695276364</v>
      </c>
      <c r="O167" s="370">
        <v>0</v>
      </c>
      <c r="P167" s="370">
        <v>0</v>
      </c>
      <c r="Q167" s="370">
        <v>0</v>
      </c>
      <c r="R167" s="370">
        <v>0</v>
      </c>
      <c r="S167" s="370">
        <v>0</v>
      </c>
      <c r="T167" s="379">
        <v>59342400</v>
      </c>
      <c r="U167" s="371">
        <v>0</v>
      </c>
      <c r="V167" s="371">
        <v>0</v>
      </c>
      <c r="W167" s="372">
        <v>2481469.1695276364</v>
      </c>
      <c r="X167" s="41"/>
      <c r="Y167" s="365">
        <v>0</v>
      </c>
      <c r="Z167" s="370">
        <v>0</v>
      </c>
      <c r="AA167" s="370">
        <v>0</v>
      </c>
      <c r="AB167" s="375">
        <v>2481469.1695276364</v>
      </c>
      <c r="AC167" s="41"/>
      <c r="AD167" s="449">
        <v>0</v>
      </c>
      <c r="AE167" s="365">
        <v>0</v>
      </c>
      <c r="AF167" s="375">
        <v>2481469.1695276364</v>
      </c>
      <c r="AH167" s="365">
        <v>0</v>
      </c>
      <c r="AI167" s="370">
        <v>0</v>
      </c>
      <c r="AJ167" s="370">
        <v>0</v>
      </c>
      <c r="AK167" s="375">
        <v>2481469.1695276364</v>
      </c>
      <c r="AM167" s="365">
        <v>0</v>
      </c>
      <c r="AN167" s="370">
        <v>0</v>
      </c>
      <c r="AO167" s="370">
        <v>0</v>
      </c>
      <c r="AP167" s="375">
        <v>2481469.1695276364</v>
      </c>
      <c r="AR167" s="365">
        <v>0</v>
      </c>
      <c r="AS167" s="375">
        <v>2481469.1695276364</v>
      </c>
      <c r="AU167" s="378">
        <v>0</v>
      </c>
      <c r="AV167" s="379">
        <v>0</v>
      </c>
      <c r="AW167" s="380">
        <v>0</v>
      </c>
      <c r="AX167" s="381">
        <v>2481469.1695276364</v>
      </c>
      <c r="AZ167" s="365">
        <v>0</v>
      </c>
      <c r="BA167" s="370">
        <v>0</v>
      </c>
      <c r="BB167" s="370">
        <v>0</v>
      </c>
      <c r="BC167" s="375">
        <v>2481469.1695276364</v>
      </c>
      <c r="BE167" s="365">
        <v>0</v>
      </c>
      <c r="BF167" s="370">
        <v>0</v>
      </c>
      <c r="BG167" s="370">
        <v>0</v>
      </c>
      <c r="BH167" s="375">
        <v>2481469.1695276364</v>
      </c>
      <c r="BJ167" s="365">
        <v>0</v>
      </c>
      <c r="BK167" s="370">
        <v>0</v>
      </c>
      <c r="BL167" s="370">
        <v>0</v>
      </c>
      <c r="BM167" s="375">
        <v>2481469.1695276364</v>
      </c>
      <c r="BO167" s="365">
        <v>0</v>
      </c>
      <c r="BP167" s="370">
        <v>0</v>
      </c>
      <c r="BQ167" s="370">
        <v>0</v>
      </c>
      <c r="BR167" s="375">
        <v>2481469.1695276364</v>
      </c>
      <c r="BT167" s="365">
        <v>0</v>
      </c>
      <c r="BU167" s="370">
        <v>0</v>
      </c>
      <c r="BV167" s="370">
        <v>0</v>
      </c>
      <c r="BW167" s="375">
        <v>2481469.1695276364</v>
      </c>
      <c r="BY167" s="365">
        <v>2109248.7940984908</v>
      </c>
      <c r="BZ167" s="373">
        <v>162812954.06735364</v>
      </c>
      <c r="CA167" s="375">
        <v>372220.37542914553</v>
      </c>
      <c r="CC167" s="365">
        <v>0</v>
      </c>
      <c r="CD167" s="375">
        <v>0</v>
      </c>
      <c r="CF167" s="365">
        <v>0</v>
      </c>
      <c r="CG167" s="375">
        <v>0</v>
      </c>
      <c r="CI167" s="365">
        <v>372220.37542914547</v>
      </c>
      <c r="CJ167" s="375">
        <v>2109248.7940984908</v>
      </c>
    </row>
    <row r="168" spans="7:88">
      <c r="G168" s="417">
        <v>164</v>
      </c>
      <c r="H168" s="251">
        <v>1</v>
      </c>
      <c r="I168" s="377">
        <v>0</v>
      </c>
      <c r="J168" s="368">
        <v>0</v>
      </c>
      <c r="K168" s="368">
        <v>5055427.365021931</v>
      </c>
      <c r="L168" s="369">
        <v>2575392.6971507133</v>
      </c>
      <c r="N168" s="367">
        <v>2480034.6678712177</v>
      </c>
      <c r="O168" s="370">
        <v>0</v>
      </c>
      <c r="P168" s="370">
        <v>0</v>
      </c>
      <c r="Q168" s="370">
        <v>0</v>
      </c>
      <c r="R168" s="370">
        <v>0</v>
      </c>
      <c r="S168" s="370">
        <v>0</v>
      </c>
      <c r="T168" s="379">
        <v>59342400</v>
      </c>
      <c r="U168" s="371">
        <v>0</v>
      </c>
      <c r="V168" s="371">
        <v>0</v>
      </c>
      <c r="W168" s="372">
        <v>2480034.6678712177</v>
      </c>
      <c r="X168" s="41"/>
      <c r="Y168" s="365">
        <v>0</v>
      </c>
      <c r="Z168" s="370">
        <v>0</v>
      </c>
      <c r="AA168" s="370">
        <v>0</v>
      </c>
      <c r="AB168" s="375">
        <v>2480034.6678712177</v>
      </c>
      <c r="AC168" s="41"/>
      <c r="AD168" s="449">
        <v>0</v>
      </c>
      <c r="AE168" s="365">
        <v>0</v>
      </c>
      <c r="AF168" s="375">
        <v>2480034.6678712177</v>
      </c>
      <c r="AH168" s="365">
        <v>0</v>
      </c>
      <c r="AI168" s="370">
        <v>0</v>
      </c>
      <c r="AJ168" s="370">
        <v>0</v>
      </c>
      <c r="AK168" s="375">
        <v>2480034.6678712177</v>
      </c>
      <c r="AM168" s="365">
        <v>0</v>
      </c>
      <c r="AN168" s="370">
        <v>0</v>
      </c>
      <c r="AO168" s="370">
        <v>0</v>
      </c>
      <c r="AP168" s="375">
        <v>2480034.6678712177</v>
      </c>
      <c r="AR168" s="365">
        <v>0</v>
      </c>
      <c r="AS168" s="375">
        <v>2480034.6678712177</v>
      </c>
      <c r="AU168" s="378">
        <v>0</v>
      </c>
      <c r="AV168" s="379">
        <v>0</v>
      </c>
      <c r="AW168" s="380">
        <v>0</v>
      </c>
      <c r="AX168" s="381">
        <v>2480034.6678712177</v>
      </c>
      <c r="AZ168" s="365">
        <v>0</v>
      </c>
      <c r="BA168" s="370">
        <v>0</v>
      </c>
      <c r="BB168" s="370">
        <v>0</v>
      </c>
      <c r="BC168" s="375">
        <v>2480034.6678712177</v>
      </c>
      <c r="BE168" s="365">
        <v>0</v>
      </c>
      <c r="BF168" s="370">
        <v>0</v>
      </c>
      <c r="BG168" s="370">
        <v>0</v>
      </c>
      <c r="BH168" s="375">
        <v>2480034.6678712177</v>
      </c>
      <c r="BJ168" s="365">
        <v>0</v>
      </c>
      <c r="BK168" s="370">
        <v>0</v>
      </c>
      <c r="BL168" s="370">
        <v>0</v>
      </c>
      <c r="BM168" s="375">
        <v>2480034.6678712177</v>
      </c>
      <c r="BO168" s="365">
        <v>0</v>
      </c>
      <c r="BP168" s="370">
        <v>0</v>
      </c>
      <c r="BQ168" s="370">
        <v>0</v>
      </c>
      <c r="BR168" s="375">
        <v>2480034.6678712177</v>
      </c>
      <c r="BT168" s="365">
        <v>0</v>
      </c>
      <c r="BU168" s="370">
        <v>0</v>
      </c>
      <c r="BV168" s="370">
        <v>0</v>
      </c>
      <c r="BW168" s="375">
        <v>2480034.6678712177</v>
      </c>
      <c r="BY168" s="365">
        <v>2108029.4676905349</v>
      </c>
      <c r="BZ168" s="373">
        <v>164920983.53504416</v>
      </c>
      <c r="CA168" s="375">
        <v>372005.20018068282</v>
      </c>
      <c r="CC168" s="365">
        <v>0</v>
      </c>
      <c r="CD168" s="375">
        <v>0</v>
      </c>
      <c r="CF168" s="365">
        <v>0</v>
      </c>
      <c r="CG168" s="375">
        <v>0</v>
      </c>
      <c r="CI168" s="365">
        <v>372005.20018068264</v>
      </c>
      <c r="CJ168" s="375">
        <v>2108029.4676905349</v>
      </c>
    </row>
    <row r="169" spans="7:88">
      <c r="G169" s="417">
        <v>165</v>
      </c>
      <c r="H169" s="251">
        <v>1</v>
      </c>
      <c r="I169" s="377">
        <v>2</v>
      </c>
      <c r="J169" s="368">
        <v>0</v>
      </c>
      <c r="K169" s="368">
        <v>4384692.8142276676</v>
      </c>
      <c r="L169" s="369">
        <v>2576827.9982742737</v>
      </c>
      <c r="N169" s="367">
        <v>1807864.8159533939</v>
      </c>
      <c r="O169" s="370">
        <v>0</v>
      </c>
      <c r="P169" s="370">
        <v>0</v>
      </c>
      <c r="Q169" s="370">
        <v>0</v>
      </c>
      <c r="R169" s="370">
        <v>0</v>
      </c>
      <c r="S169" s="370">
        <v>0</v>
      </c>
      <c r="T169" s="379">
        <v>59342400</v>
      </c>
      <c r="U169" s="371">
        <v>0</v>
      </c>
      <c r="V169" s="371">
        <v>0</v>
      </c>
      <c r="W169" s="372">
        <v>1807864.8159533939</v>
      </c>
      <c r="X169" s="41"/>
      <c r="Y169" s="365">
        <v>0</v>
      </c>
      <c r="Z169" s="370">
        <v>0</v>
      </c>
      <c r="AA169" s="370">
        <v>0</v>
      </c>
      <c r="AB169" s="375">
        <v>1807864.8159533939</v>
      </c>
      <c r="AC169" s="41"/>
      <c r="AD169" s="449">
        <v>0</v>
      </c>
      <c r="AE169" s="365">
        <v>0</v>
      </c>
      <c r="AF169" s="375">
        <v>1807864.8159533939</v>
      </c>
      <c r="AH169" s="365">
        <v>0</v>
      </c>
      <c r="AI169" s="370">
        <v>0</v>
      </c>
      <c r="AJ169" s="370">
        <v>0</v>
      </c>
      <c r="AK169" s="375">
        <v>1807864.8159533939</v>
      </c>
      <c r="AM169" s="365">
        <v>0</v>
      </c>
      <c r="AN169" s="370">
        <v>0</v>
      </c>
      <c r="AO169" s="370">
        <v>0</v>
      </c>
      <c r="AP169" s="375">
        <v>1807864.8159533939</v>
      </c>
      <c r="AR169" s="365">
        <v>0</v>
      </c>
      <c r="AS169" s="375">
        <v>1807864.8159533939</v>
      </c>
      <c r="AU169" s="378">
        <v>0</v>
      </c>
      <c r="AV169" s="379">
        <v>0</v>
      </c>
      <c r="AW169" s="380">
        <v>0</v>
      </c>
      <c r="AX169" s="381">
        <v>1807864.8159533939</v>
      </c>
      <c r="AZ169" s="365">
        <v>0</v>
      </c>
      <c r="BA169" s="370">
        <v>0</v>
      </c>
      <c r="BB169" s="370">
        <v>0</v>
      </c>
      <c r="BC169" s="375">
        <v>1807864.8159533939</v>
      </c>
      <c r="BE169" s="365">
        <v>0</v>
      </c>
      <c r="BF169" s="370">
        <v>0</v>
      </c>
      <c r="BG169" s="370">
        <v>0</v>
      </c>
      <c r="BH169" s="375">
        <v>1807864.8159533939</v>
      </c>
      <c r="BJ169" s="365">
        <v>0</v>
      </c>
      <c r="BK169" s="370">
        <v>0</v>
      </c>
      <c r="BL169" s="370">
        <v>0</v>
      </c>
      <c r="BM169" s="375">
        <v>1807864.8159533939</v>
      </c>
      <c r="BO169" s="365">
        <v>0</v>
      </c>
      <c r="BP169" s="370">
        <v>0</v>
      </c>
      <c r="BQ169" s="370">
        <v>0</v>
      </c>
      <c r="BR169" s="375">
        <v>1807864.8159533939</v>
      </c>
      <c r="BT169" s="365">
        <v>0</v>
      </c>
      <c r="BU169" s="370">
        <v>0</v>
      </c>
      <c r="BV169" s="370">
        <v>0</v>
      </c>
      <c r="BW169" s="375">
        <v>1807864.8159533939</v>
      </c>
      <c r="BY169" s="365">
        <v>1536685.0935603848</v>
      </c>
      <c r="BZ169" s="373">
        <v>166457668.62860456</v>
      </c>
      <c r="CA169" s="375">
        <v>271179.72239300911</v>
      </c>
      <c r="CC169" s="365">
        <v>0</v>
      </c>
      <c r="CD169" s="375">
        <v>0</v>
      </c>
      <c r="CF169" s="365">
        <v>0</v>
      </c>
      <c r="CG169" s="375">
        <v>0</v>
      </c>
      <c r="CI169" s="365">
        <v>271179.72239300905</v>
      </c>
      <c r="CJ169" s="375">
        <v>1536685.0935603848</v>
      </c>
    </row>
    <row r="170" spans="7:88">
      <c r="G170" s="417">
        <v>166</v>
      </c>
      <c r="H170" s="251">
        <v>1</v>
      </c>
      <c r="I170" s="377">
        <v>0</v>
      </c>
      <c r="J170" s="368">
        <v>0</v>
      </c>
      <c r="K170" s="368">
        <v>5065936.3016048884</v>
      </c>
      <c r="L170" s="369">
        <v>2578264.0993105299</v>
      </c>
      <c r="N170" s="367">
        <v>2487672.2022943585</v>
      </c>
      <c r="O170" s="370">
        <v>0</v>
      </c>
      <c r="P170" s="370">
        <v>0</v>
      </c>
      <c r="Q170" s="370">
        <v>0</v>
      </c>
      <c r="R170" s="370">
        <v>0</v>
      </c>
      <c r="S170" s="370">
        <v>0</v>
      </c>
      <c r="T170" s="379">
        <v>59342400</v>
      </c>
      <c r="U170" s="371">
        <v>0</v>
      </c>
      <c r="V170" s="371">
        <v>0</v>
      </c>
      <c r="W170" s="372">
        <v>2487672.2022943585</v>
      </c>
      <c r="X170" s="41"/>
      <c r="Y170" s="365">
        <v>0</v>
      </c>
      <c r="Z170" s="370">
        <v>0</v>
      </c>
      <c r="AA170" s="370">
        <v>0</v>
      </c>
      <c r="AB170" s="375">
        <v>2487672.2022943585</v>
      </c>
      <c r="AC170" s="41"/>
      <c r="AD170" s="449">
        <v>0</v>
      </c>
      <c r="AE170" s="365">
        <v>0</v>
      </c>
      <c r="AF170" s="375">
        <v>2487672.2022943585</v>
      </c>
      <c r="AH170" s="365">
        <v>0</v>
      </c>
      <c r="AI170" s="370">
        <v>0</v>
      </c>
      <c r="AJ170" s="370">
        <v>0</v>
      </c>
      <c r="AK170" s="375">
        <v>2487672.2022943585</v>
      </c>
      <c r="AM170" s="365">
        <v>0</v>
      </c>
      <c r="AN170" s="370">
        <v>0</v>
      </c>
      <c r="AO170" s="370">
        <v>0</v>
      </c>
      <c r="AP170" s="375">
        <v>2487672.2022943585</v>
      </c>
      <c r="AR170" s="365">
        <v>0</v>
      </c>
      <c r="AS170" s="375">
        <v>2487672.2022943585</v>
      </c>
      <c r="AU170" s="378">
        <v>0</v>
      </c>
      <c r="AV170" s="379">
        <v>0</v>
      </c>
      <c r="AW170" s="380">
        <v>0</v>
      </c>
      <c r="AX170" s="381">
        <v>2487672.2022943585</v>
      </c>
      <c r="AZ170" s="365">
        <v>0</v>
      </c>
      <c r="BA170" s="370">
        <v>0</v>
      </c>
      <c r="BB170" s="370">
        <v>0</v>
      </c>
      <c r="BC170" s="375">
        <v>2487672.2022943585</v>
      </c>
      <c r="BE170" s="365">
        <v>0</v>
      </c>
      <c r="BF170" s="370">
        <v>0</v>
      </c>
      <c r="BG170" s="370">
        <v>0</v>
      </c>
      <c r="BH170" s="375">
        <v>2487672.2022943585</v>
      </c>
      <c r="BJ170" s="365">
        <v>0</v>
      </c>
      <c r="BK170" s="370">
        <v>0</v>
      </c>
      <c r="BL170" s="370">
        <v>0</v>
      </c>
      <c r="BM170" s="375">
        <v>2487672.2022943585</v>
      </c>
      <c r="BO170" s="365">
        <v>0</v>
      </c>
      <c r="BP170" s="370">
        <v>0</v>
      </c>
      <c r="BQ170" s="370">
        <v>0</v>
      </c>
      <c r="BR170" s="375">
        <v>2487672.2022943585</v>
      </c>
      <c r="BT170" s="365">
        <v>0</v>
      </c>
      <c r="BU170" s="370">
        <v>0</v>
      </c>
      <c r="BV170" s="370">
        <v>0</v>
      </c>
      <c r="BW170" s="375">
        <v>2487672.2022943585</v>
      </c>
      <c r="BY170" s="365">
        <v>2114521.3719502045</v>
      </c>
      <c r="BZ170" s="373">
        <v>168572190.00055477</v>
      </c>
      <c r="CA170" s="375">
        <v>373150.83034415403</v>
      </c>
      <c r="CC170" s="365">
        <v>0</v>
      </c>
      <c r="CD170" s="375">
        <v>0</v>
      </c>
      <c r="CF170" s="365">
        <v>0</v>
      </c>
      <c r="CG170" s="375">
        <v>0</v>
      </c>
      <c r="CI170" s="365">
        <v>373150.83034415374</v>
      </c>
      <c r="CJ170" s="375">
        <v>2114521.3719502045</v>
      </c>
    </row>
    <row r="171" spans="7:88">
      <c r="G171" s="417">
        <v>167</v>
      </c>
      <c r="H171" s="251">
        <v>1</v>
      </c>
      <c r="I171" s="377">
        <v>1</v>
      </c>
      <c r="J171" s="368">
        <v>0</v>
      </c>
      <c r="K171" s="368">
        <v>4801052.5989607284</v>
      </c>
      <c r="L171" s="369">
        <v>2579701.0007052845</v>
      </c>
      <c r="N171" s="367">
        <v>2221351.5982554439</v>
      </c>
      <c r="O171" s="370">
        <v>0</v>
      </c>
      <c r="P171" s="370">
        <v>0</v>
      </c>
      <c r="Q171" s="370">
        <v>0</v>
      </c>
      <c r="R171" s="370">
        <v>0</v>
      </c>
      <c r="S171" s="370">
        <v>0</v>
      </c>
      <c r="T171" s="379">
        <v>59342400</v>
      </c>
      <c r="U171" s="371">
        <v>0</v>
      </c>
      <c r="V171" s="371">
        <v>0</v>
      </c>
      <c r="W171" s="372">
        <v>2221351.5982554439</v>
      </c>
      <c r="X171" s="41"/>
      <c r="Y171" s="365">
        <v>0</v>
      </c>
      <c r="Z171" s="370">
        <v>0</v>
      </c>
      <c r="AA171" s="370">
        <v>0</v>
      </c>
      <c r="AB171" s="375">
        <v>2221351.5982554439</v>
      </c>
      <c r="AC171" s="41"/>
      <c r="AD171" s="449">
        <v>0</v>
      </c>
      <c r="AE171" s="365">
        <v>0</v>
      </c>
      <c r="AF171" s="375">
        <v>2221351.5982554439</v>
      </c>
      <c r="AH171" s="365">
        <v>0</v>
      </c>
      <c r="AI171" s="370">
        <v>0</v>
      </c>
      <c r="AJ171" s="370">
        <v>0</v>
      </c>
      <c r="AK171" s="375">
        <v>2221351.5982554439</v>
      </c>
      <c r="AM171" s="365">
        <v>0</v>
      </c>
      <c r="AN171" s="370">
        <v>0</v>
      </c>
      <c r="AO171" s="370">
        <v>0</v>
      </c>
      <c r="AP171" s="375">
        <v>2221351.5982554439</v>
      </c>
      <c r="AR171" s="365">
        <v>0</v>
      </c>
      <c r="AS171" s="375">
        <v>2221351.5982554439</v>
      </c>
      <c r="AU171" s="378">
        <v>0</v>
      </c>
      <c r="AV171" s="379">
        <v>0</v>
      </c>
      <c r="AW171" s="380">
        <v>0</v>
      </c>
      <c r="AX171" s="381">
        <v>2221351.5982554439</v>
      </c>
      <c r="AZ171" s="365">
        <v>0</v>
      </c>
      <c r="BA171" s="370">
        <v>0</v>
      </c>
      <c r="BB171" s="370">
        <v>0</v>
      </c>
      <c r="BC171" s="375">
        <v>2221351.5982554439</v>
      </c>
      <c r="BE171" s="365">
        <v>0</v>
      </c>
      <c r="BF171" s="370">
        <v>0</v>
      </c>
      <c r="BG171" s="370">
        <v>0</v>
      </c>
      <c r="BH171" s="375">
        <v>2221351.5982554439</v>
      </c>
      <c r="BJ171" s="365">
        <v>0</v>
      </c>
      <c r="BK171" s="370">
        <v>0</v>
      </c>
      <c r="BL171" s="370">
        <v>0</v>
      </c>
      <c r="BM171" s="375">
        <v>2221351.5982554439</v>
      </c>
      <c r="BO171" s="365">
        <v>0</v>
      </c>
      <c r="BP171" s="370">
        <v>0</v>
      </c>
      <c r="BQ171" s="370">
        <v>0</v>
      </c>
      <c r="BR171" s="375">
        <v>2221351.5982554439</v>
      </c>
      <c r="BT171" s="365">
        <v>0</v>
      </c>
      <c r="BU171" s="370">
        <v>0</v>
      </c>
      <c r="BV171" s="370">
        <v>0</v>
      </c>
      <c r="BW171" s="375">
        <v>2221351.5982554439</v>
      </c>
      <c r="BY171" s="365">
        <v>1888148.8585171271</v>
      </c>
      <c r="BZ171" s="373">
        <v>170460338.85907191</v>
      </c>
      <c r="CA171" s="375">
        <v>333202.73973831674</v>
      </c>
      <c r="CC171" s="365">
        <v>0</v>
      </c>
      <c r="CD171" s="375">
        <v>0</v>
      </c>
      <c r="CF171" s="365">
        <v>0</v>
      </c>
      <c r="CG171" s="375">
        <v>0</v>
      </c>
      <c r="CI171" s="365">
        <v>333202.73973831657</v>
      </c>
      <c r="CJ171" s="375">
        <v>1888148.8585171271</v>
      </c>
    </row>
    <row r="172" spans="7:88">
      <c r="G172" s="417">
        <v>168</v>
      </c>
      <c r="H172" s="251">
        <v>1</v>
      </c>
      <c r="I172" s="377">
        <v>0</v>
      </c>
      <c r="J172" s="368">
        <v>0</v>
      </c>
      <c r="K172" s="368">
        <v>5067312.1071637468</v>
      </c>
      <c r="L172" s="369">
        <v>2581138.7029045876</v>
      </c>
      <c r="N172" s="367">
        <v>2486173.4042591592</v>
      </c>
      <c r="O172" s="370">
        <v>0</v>
      </c>
      <c r="P172" s="370">
        <v>0</v>
      </c>
      <c r="Q172" s="370">
        <v>0</v>
      </c>
      <c r="R172" s="370">
        <v>0</v>
      </c>
      <c r="S172" s="370">
        <v>0</v>
      </c>
      <c r="T172" s="379">
        <v>59342400</v>
      </c>
      <c r="U172" s="371">
        <v>0</v>
      </c>
      <c r="V172" s="371">
        <v>0</v>
      </c>
      <c r="W172" s="372">
        <v>2486173.4042591592</v>
      </c>
      <c r="X172" s="41"/>
      <c r="Y172" s="365">
        <v>0</v>
      </c>
      <c r="Z172" s="370">
        <v>0</v>
      </c>
      <c r="AA172" s="370">
        <v>0</v>
      </c>
      <c r="AB172" s="375">
        <v>2486173.4042591592</v>
      </c>
      <c r="AC172" s="41"/>
      <c r="AD172" s="449">
        <v>0</v>
      </c>
      <c r="AE172" s="365">
        <v>0</v>
      </c>
      <c r="AF172" s="375">
        <v>2486173.4042591592</v>
      </c>
      <c r="AH172" s="365">
        <v>0</v>
      </c>
      <c r="AI172" s="370">
        <v>0</v>
      </c>
      <c r="AJ172" s="370">
        <v>0</v>
      </c>
      <c r="AK172" s="375">
        <v>2486173.4042591592</v>
      </c>
      <c r="AM172" s="365">
        <v>0</v>
      </c>
      <c r="AN172" s="370">
        <v>0</v>
      </c>
      <c r="AO172" s="370">
        <v>0</v>
      </c>
      <c r="AP172" s="375">
        <v>2486173.4042591592</v>
      </c>
      <c r="AR172" s="365">
        <v>0</v>
      </c>
      <c r="AS172" s="375">
        <v>2486173.4042591592</v>
      </c>
      <c r="AU172" s="378">
        <v>850000</v>
      </c>
      <c r="AV172" s="379">
        <v>850000</v>
      </c>
      <c r="AW172" s="380">
        <v>850000</v>
      </c>
      <c r="AX172" s="381">
        <v>1636173.4042591592</v>
      </c>
      <c r="AZ172" s="365">
        <v>0</v>
      </c>
      <c r="BA172" s="370">
        <v>0</v>
      </c>
      <c r="BB172" s="370">
        <v>0</v>
      </c>
      <c r="BC172" s="375">
        <v>1636173.4042591592</v>
      </c>
      <c r="BE172" s="365">
        <v>0</v>
      </c>
      <c r="BF172" s="370">
        <v>0</v>
      </c>
      <c r="BG172" s="370">
        <v>0</v>
      </c>
      <c r="BH172" s="375">
        <v>1636173.4042591592</v>
      </c>
      <c r="BJ172" s="365">
        <v>0</v>
      </c>
      <c r="BK172" s="370">
        <v>0</v>
      </c>
      <c r="BL172" s="370">
        <v>0</v>
      </c>
      <c r="BM172" s="375">
        <v>1636173.4042591592</v>
      </c>
      <c r="BO172" s="365">
        <v>0</v>
      </c>
      <c r="BP172" s="370">
        <v>0</v>
      </c>
      <c r="BQ172" s="370">
        <v>0</v>
      </c>
      <c r="BR172" s="375">
        <v>1636173.4042591592</v>
      </c>
      <c r="BT172" s="365">
        <v>0</v>
      </c>
      <c r="BU172" s="370">
        <v>0</v>
      </c>
      <c r="BV172" s="370">
        <v>0</v>
      </c>
      <c r="BW172" s="375">
        <v>1636173.4042591592</v>
      </c>
      <c r="BY172" s="365">
        <v>1390747.3936202852</v>
      </c>
      <c r="BZ172" s="373">
        <v>171851086.25269219</v>
      </c>
      <c r="CA172" s="375">
        <v>245426.01063887402</v>
      </c>
      <c r="CC172" s="365">
        <v>0</v>
      </c>
      <c r="CD172" s="375">
        <v>0</v>
      </c>
      <c r="CF172" s="365">
        <v>0</v>
      </c>
      <c r="CG172" s="375">
        <v>0</v>
      </c>
      <c r="CI172" s="365">
        <v>245426.01063887388</v>
      </c>
      <c r="CJ172" s="375">
        <v>1390747.3936202852</v>
      </c>
    </row>
    <row r="173" spans="7:88">
      <c r="G173" s="417">
        <v>169</v>
      </c>
      <c r="H173" s="251">
        <v>1</v>
      </c>
      <c r="I173" s="377">
        <v>2</v>
      </c>
      <c r="J173" s="368">
        <v>0</v>
      </c>
      <c r="K173" s="368">
        <v>4387310.7056032652</v>
      </c>
      <c r="L173" s="369">
        <v>2582577.2063547387</v>
      </c>
      <c r="N173" s="367">
        <v>1804733.4992485265</v>
      </c>
      <c r="O173" s="370">
        <v>0</v>
      </c>
      <c r="P173" s="370">
        <v>0</v>
      </c>
      <c r="Q173" s="370">
        <v>0</v>
      </c>
      <c r="R173" s="370">
        <v>0</v>
      </c>
      <c r="S173" s="370">
        <v>0</v>
      </c>
      <c r="T173" s="379">
        <v>59342400</v>
      </c>
      <c r="U173" s="371">
        <v>0</v>
      </c>
      <c r="V173" s="371">
        <v>851416.66666666674</v>
      </c>
      <c r="W173" s="372">
        <v>2656150.165915193</v>
      </c>
      <c r="X173" s="41"/>
      <c r="Y173" s="365">
        <v>0</v>
      </c>
      <c r="Z173" s="370">
        <v>0</v>
      </c>
      <c r="AA173" s="370">
        <v>0</v>
      </c>
      <c r="AB173" s="375">
        <v>2656150.165915193</v>
      </c>
      <c r="AC173" s="41"/>
      <c r="AD173" s="449">
        <v>0</v>
      </c>
      <c r="AE173" s="365">
        <v>0</v>
      </c>
      <c r="AF173" s="375">
        <v>1804733.4992485263</v>
      </c>
      <c r="AH173" s="365">
        <v>0</v>
      </c>
      <c r="AI173" s="370">
        <v>0</v>
      </c>
      <c r="AJ173" s="370">
        <v>0</v>
      </c>
      <c r="AK173" s="375">
        <v>1804733.4992485263</v>
      </c>
      <c r="AM173" s="365">
        <v>0</v>
      </c>
      <c r="AN173" s="370">
        <v>0</v>
      </c>
      <c r="AO173" s="370">
        <v>0</v>
      </c>
      <c r="AP173" s="375">
        <v>1804733.4992485263</v>
      </c>
      <c r="AR173" s="365">
        <v>0</v>
      </c>
      <c r="AS173" s="375">
        <v>1804733.4992485263</v>
      </c>
      <c r="AU173" s="378">
        <v>850000</v>
      </c>
      <c r="AV173" s="379">
        <v>-1416.6666666667443</v>
      </c>
      <c r="AW173" s="380">
        <v>850000</v>
      </c>
      <c r="AX173" s="381">
        <v>1806150.165915193</v>
      </c>
      <c r="AZ173" s="365">
        <v>0</v>
      </c>
      <c r="BA173" s="370">
        <v>0</v>
      </c>
      <c r="BB173" s="370">
        <v>0</v>
      </c>
      <c r="BC173" s="375">
        <v>1806150.165915193</v>
      </c>
      <c r="BE173" s="365">
        <v>0</v>
      </c>
      <c r="BF173" s="370">
        <v>0</v>
      </c>
      <c r="BG173" s="370">
        <v>0</v>
      </c>
      <c r="BH173" s="375">
        <v>1806150.165915193</v>
      </c>
      <c r="BJ173" s="365">
        <v>0</v>
      </c>
      <c r="BK173" s="370">
        <v>0</v>
      </c>
      <c r="BL173" s="370">
        <v>0</v>
      </c>
      <c r="BM173" s="375">
        <v>1806150.165915193</v>
      </c>
      <c r="BO173" s="365">
        <v>0</v>
      </c>
      <c r="BP173" s="370">
        <v>0</v>
      </c>
      <c r="BQ173" s="370">
        <v>0</v>
      </c>
      <c r="BR173" s="375">
        <v>1806150.165915193</v>
      </c>
      <c r="BT173" s="365">
        <v>0</v>
      </c>
      <c r="BU173" s="370">
        <v>0</v>
      </c>
      <c r="BV173" s="370">
        <v>0</v>
      </c>
      <c r="BW173" s="375">
        <v>1806150.165915193</v>
      </c>
      <c r="BY173" s="365">
        <v>1535227.6410279141</v>
      </c>
      <c r="BZ173" s="373">
        <v>173386313.89372012</v>
      </c>
      <c r="CA173" s="375">
        <v>270922.52488727891</v>
      </c>
      <c r="CC173" s="365">
        <v>0</v>
      </c>
      <c r="CD173" s="375">
        <v>0</v>
      </c>
      <c r="CF173" s="365">
        <v>0</v>
      </c>
      <c r="CG173" s="375">
        <v>0</v>
      </c>
      <c r="CI173" s="365">
        <v>270922.52488727897</v>
      </c>
      <c r="CJ173" s="375">
        <v>1535227.6410279141</v>
      </c>
    </row>
    <row r="174" spans="7:88">
      <c r="G174" s="417">
        <v>170</v>
      </c>
      <c r="H174" s="251">
        <v>1</v>
      </c>
      <c r="I174" s="377">
        <v>0</v>
      </c>
      <c r="J174" s="368">
        <v>0</v>
      </c>
      <c r="K174" s="368">
        <v>5077964.4001333592</v>
      </c>
      <c r="L174" s="369">
        <v>2584016.5115022855</v>
      </c>
      <c r="N174" s="367">
        <v>2493947.8886310738</v>
      </c>
      <c r="O174" s="370">
        <v>0</v>
      </c>
      <c r="P174" s="370">
        <v>0</v>
      </c>
      <c r="Q174" s="370">
        <v>0</v>
      </c>
      <c r="R174" s="370">
        <v>0</v>
      </c>
      <c r="S174" s="370">
        <v>0</v>
      </c>
      <c r="T174" s="379">
        <v>59342400</v>
      </c>
      <c r="U174" s="371">
        <v>0</v>
      </c>
      <c r="V174" s="371">
        <v>851416.66666666674</v>
      </c>
      <c r="W174" s="372">
        <v>3345364.5552977407</v>
      </c>
      <c r="X174" s="41"/>
      <c r="Y174" s="365">
        <v>0</v>
      </c>
      <c r="Z174" s="370">
        <v>0</v>
      </c>
      <c r="AA174" s="370">
        <v>0</v>
      </c>
      <c r="AB174" s="375">
        <v>3345364.5552977407</v>
      </c>
      <c r="AC174" s="41"/>
      <c r="AD174" s="449">
        <v>0</v>
      </c>
      <c r="AE174" s="365">
        <v>0</v>
      </c>
      <c r="AF174" s="375">
        <v>2493947.8886310738</v>
      </c>
      <c r="AH174" s="365">
        <v>0</v>
      </c>
      <c r="AI174" s="370">
        <v>0</v>
      </c>
      <c r="AJ174" s="370">
        <v>0</v>
      </c>
      <c r="AK174" s="375">
        <v>2493947.8886310738</v>
      </c>
      <c r="AM174" s="365">
        <v>0</v>
      </c>
      <c r="AN174" s="370">
        <v>0</v>
      </c>
      <c r="AO174" s="370">
        <v>0</v>
      </c>
      <c r="AP174" s="375">
        <v>2493947.8886310738</v>
      </c>
      <c r="AR174" s="365">
        <v>0</v>
      </c>
      <c r="AS174" s="375">
        <v>2493947.8886310738</v>
      </c>
      <c r="AU174" s="378">
        <v>850000</v>
      </c>
      <c r="AV174" s="379">
        <v>-1416.6666666667443</v>
      </c>
      <c r="AW174" s="380">
        <v>850000</v>
      </c>
      <c r="AX174" s="381">
        <v>2495364.5552977407</v>
      </c>
      <c r="AZ174" s="365">
        <v>0</v>
      </c>
      <c r="BA174" s="370">
        <v>0</v>
      </c>
      <c r="BB174" s="370">
        <v>0</v>
      </c>
      <c r="BC174" s="375">
        <v>2495364.5552977407</v>
      </c>
      <c r="BE174" s="365">
        <v>0</v>
      </c>
      <c r="BF174" s="370">
        <v>0</v>
      </c>
      <c r="BG174" s="370">
        <v>0</v>
      </c>
      <c r="BH174" s="375">
        <v>2495364.5552977407</v>
      </c>
      <c r="BJ174" s="365">
        <v>0</v>
      </c>
      <c r="BK174" s="370">
        <v>0</v>
      </c>
      <c r="BL174" s="370">
        <v>0</v>
      </c>
      <c r="BM174" s="375">
        <v>2495364.5552977407</v>
      </c>
      <c r="BO174" s="365">
        <v>0</v>
      </c>
      <c r="BP174" s="370">
        <v>0</v>
      </c>
      <c r="BQ174" s="370">
        <v>0</v>
      </c>
      <c r="BR174" s="375">
        <v>2495364.5552977407</v>
      </c>
      <c r="BT174" s="365">
        <v>0</v>
      </c>
      <c r="BU174" s="370">
        <v>0</v>
      </c>
      <c r="BV174" s="370">
        <v>0</v>
      </c>
      <c r="BW174" s="375">
        <v>2495364.5552977407</v>
      </c>
      <c r="BY174" s="365">
        <v>2121059.8720030794</v>
      </c>
      <c r="BZ174" s="373">
        <v>175507373.7657232</v>
      </c>
      <c r="CA174" s="375">
        <v>374304.68329466134</v>
      </c>
      <c r="CC174" s="365">
        <v>0</v>
      </c>
      <c r="CD174" s="375">
        <v>0</v>
      </c>
      <c r="CF174" s="365">
        <v>0</v>
      </c>
      <c r="CG174" s="375">
        <v>0</v>
      </c>
      <c r="CI174" s="365">
        <v>374304.68329466111</v>
      </c>
      <c r="CJ174" s="375">
        <v>2121059.8720030794</v>
      </c>
    </row>
    <row r="175" spans="7:88">
      <c r="G175" s="417">
        <v>171</v>
      </c>
      <c r="H175" s="251">
        <v>1</v>
      </c>
      <c r="I175" s="377">
        <v>0</v>
      </c>
      <c r="J175" s="368">
        <v>0</v>
      </c>
      <c r="K175" s="368">
        <v>5077964.4001333592</v>
      </c>
      <c r="L175" s="369">
        <v>2585456.6187940245</v>
      </c>
      <c r="N175" s="367">
        <v>2492507.7813393348</v>
      </c>
      <c r="O175" s="370">
        <v>0</v>
      </c>
      <c r="P175" s="370">
        <v>0</v>
      </c>
      <c r="Q175" s="370">
        <v>0</v>
      </c>
      <c r="R175" s="370">
        <v>0</v>
      </c>
      <c r="S175" s="370">
        <v>0</v>
      </c>
      <c r="T175" s="379">
        <v>59342400</v>
      </c>
      <c r="U175" s="371">
        <v>0</v>
      </c>
      <c r="V175" s="371">
        <v>851416.66666666674</v>
      </c>
      <c r="W175" s="372">
        <v>3343924.4480060013</v>
      </c>
      <c r="X175" s="41"/>
      <c r="Y175" s="365">
        <v>0</v>
      </c>
      <c r="Z175" s="370">
        <v>0</v>
      </c>
      <c r="AA175" s="370">
        <v>0</v>
      </c>
      <c r="AB175" s="375">
        <v>3343924.4480060013</v>
      </c>
      <c r="AC175" s="41"/>
      <c r="AD175" s="449">
        <v>0</v>
      </c>
      <c r="AE175" s="365">
        <v>0</v>
      </c>
      <c r="AF175" s="375">
        <v>2492507.7813393343</v>
      </c>
      <c r="AH175" s="365">
        <v>0</v>
      </c>
      <c r="AI175" s="370">
        <v>0</v>
      </c>
      <c r="AJ175" s="370">
        <v>0</v>
      </c>
      <c r="AK175" s="375">
        <v>2492507.7813393343</v>
      </c>
      <c r="AM175" s="365">
        <v>0</v>
      </c>
      <c r="AN175" s="370">
        <v>0</v>
      </c>
      <c r="AO175" s="370">
        <v>0</v>
      </c>
      <c r="AP175" s="375">
        <v>2492507.7813393343</v>
      </c>
      <c r="AR175" s="365">
        <v>0</v>
      </c>
      <c r="AS175" s="375">
        <v>2492507.7813393343</v>
      </c>
      <c r="AU175" s="378">
        <v>850000</v>
      </c>
      <c r="AV175" s="379">
        <v>-1416.6666666667443</v>
      </c>
      <c r="AW175" s="380">
        <v>850000</v>
      </c>
      <c r="AX175" s="381">
        <v>2493924.4480060013</v>
      </c>
      <c r="AZ175" s="365">
        <v>0</v>
      </c>
      <c r="BA175" s="370">
        <v>0</v>
      </c>
      <c r="BB175" s="370">
        <v>0</v>
      </c>
      <c r="BC175" s="375">
        <v>2493924.4480060013</v>
      </c>
      <c r="BE175" s="365">
        <v>0</v>
      </c>
      <c r="BF175" s="370">
        <v>0</v>
      </c>
      <c r="BG175" s="370">
        <v>0</v>
      </c>
      <c r="BH175" s="375">
        <v>2493924.4480060013</v>
      </c>
      <c r="BJ175" s="365">
        <v>0</v>
      </c>
      <c r="BK175" s="370">
        <v>0</v>
      </c>
      <c r="BL175" s="370">
        <v>0</v>
      </c>
      <c r="BM175" s="375">
        <v>2493924.4480060013</v>
      </c>
      <c r="BO175" s="365">
        <v>0</v>
      </c>
      <c r="BP175" s="370">
        <v>0</v>
      </c>
      <c r="BQ175" s="370">
        <v>0</v>
      </c>
      <c r="BR175" s="375">
        <v>2493924.4480060013</v>
      </c>
      <c r="BT175" s="365">
        <v>0</v>
      </c>
      <c r="BU175" s="370">
        <v>0</v>
      </c>
      <c r="BV175" s="370">
        <v>0</v>
      </c>
      <c r="BW175" s="375">
        <v>2493924.4480060013</v>
      </c>
      <c r="BY175" s="365">
        <v>2119835.7808051012</v>
      </c>
      <c r="BZ175" s="373">
        <v>177627209.54652831</v>
      </c>
      <c r="CA175" s="375">
        <v>374088.66720090015</v>
      </c>
      <c r="CC175" s="365">
        <v>0</v>
      </c>
      <c r="CD175" s="375">
        <v>0</v>
      </c>
      <c r="CF175" s="365">
        <v>0</v>
      </c>
      <c r="CG175" s="375">
        <v>0</v>
      </c>
      <c r="CI175" s="365">
        <v>374088.66720090021</v>
      </c>
      <c r="CJ175" s="375">
        <v>2119835.7808051012</v>
      </c>
    </row>
    <row r="176" spans="7:88">
      <c r="G176" s="417">
        <v>172</v>
      </c>
      <c r="H176" s="251">
        <v>1</v>
      </c>
      <c r="I176" s="377">
        <v>2</v>
      </c>
      <c r="J176" s="368">
        <v>0</v>
      </c>
      <c r="K176" s="368">
        <v>4329422.5429370515</v>
      </c>
      <c r="L176" s="369">
        <v>2586897.5286770021</v>
      </c>
      <c r="N176" s="367">
        <v>1742525.0142600494</v>
      </c>
      <c r="O176" s="370">
        <v>0</v>
      </c>
      <c r="P176" s="370">
        <v>0</v>
      </c>
      <c r="Q176" s="370">
        <v>0</v>
      </c>
      <c r="R176" s="370">
        <v>0</v>
      </c>
      <c r="S176" s="370">
        <v>0</v>
      </c>
      <c r="T176" s="379">
        <v>59342400</v>
      </c>
      <c r="U176" s="371">
        <v>0</v>
      </c>
      <c r="V176" s="371">
        <v>851416.66666666674</v>
      </c>
      <c r="W176" s="372">
        <v>2593941.680926716</v>
      </c>
      <c r="X176" s="41"/>
      <c r="Y176" s="365">
        <v>850000</v>
      </c>
      <c r="Z176" s="370">
        <v>850000</v>
      </c>
      <c r="AA176" s="370">
        <v>0</v>
      </c>
      <c r="AB176" s="375">
        <v>1743941.680926716</v>
      </c>
      <c r="AC176" s="41"/>
      <c r="AD176" s="449">
        <v>850000</v>
      </c>
      <c r="AE176" s="365">
        <v>0</v>
      </c>
      <c r="AF176" s="375">
        <v>892525.01426004921</v>
      </c>
      <c r="AH176" s="365">
        <v>0</v>
      </c>
      <c r="AI176" s="370">
        <v>0</v>
      </c>
      <c r="AJ176" s="370">
        <v>0</v>
      </c>
      <c r="AK176" s="375">
        <v>892525.01426004921</v>
      </c>
      <c r="AM176" s="365">
        <v>0</v>
      </c>
      <c r="AN176" s="370">
        <v>0</v>
      </c>
      <c r="AO176" s="370">
        <v>0</v>
      </c>
      <c r="AP176" s="375">
        <v>892525.01426004921</v>
      </c>
      <c r="AR176" s="365">
        <v>0</v>
      </c>
      <c r="AS176" s="375">
        <v>892525.01426004921</v>
      </c>
      <c r="AU176" s="378">
        <v>0</v>
      </c>
      <c r="AV176" s="379">
        <v>-851416.66666666674</v>
      </c>
      <c r="AW176" s="380">
        <v>0</v>
      </c>
      <c r="AX176" s="381">
        <v>1743941.680926716</v>
      </c>
      <c r="AZ176" s="365">
        <v>0</v>
      </c>
      <c r="BA176" s="370">
        <v>0</v>
      </c>
      <c r="BB176" s="370">
        <v>0</v>
      </c>
      <c r="BC176" s="375">
        <v>1743941.680926716</v>
      </c>
      <c r="BE176" s="365">
        <v>0</v>
      </c>
      <c r="BF176" s="370">
        <v>0</v>
      </c>
      <c r="BG176" s="370">
        <v>0</v>
      </c>
      <c r="BH176" s="375">
        <v>1743941.680926716</v>
      </c>
      <c r="BJ176" s="365">
        <v>0</v>
      </c>
      <c r="BK176" s="370">
        <v>0</v>
      </c>
      <c r="BL176" s="370">
        <v>0</v>
      </c>
      <c r="BM176" s="375">
        <v>1743941.680926716</v>
      </c>
      <c r="BO176" s="365">
        <v>0</v>
      </c>
      <c r="BP176" s="370">
        <v>0</v>
      </c>
      <c r="BQ176" s="370">
        <v>0</v>
      </c>
      <c r="BR176" s="375">
        <v>1743941.680926716</v>
      </c>
      <c r="BT176" s="365">
        <v>0</v>
      </c>
      <c r="BU176" s="370">
        <v>0</v>
      </c>
      <c r="BV176" s="370">
        <v>0</v>
      </c>
      <c r="BW176" s="375">
        <v>1743941.680926716</v>
      </c>
      <c r="BY176" s="365">
        <v>1482350.4287877085</v>
      </c>
      <c r="BZ176" s="373">
        <v>179109559.97531602</v>
      </c>
      <c r="CA176" s="375">
        <v>261591.25213900744</v>
      </c>
      <c r="CC176" s="365">
        <v>0</v>
      </c>
      <c r="CD176" s="375">
        <v>0</v>
      </c>
      <c r="CF176" s="365">
        <v>0</v>
      </c>
      <c r="CG176" s="375">
        <v>0</v>
      </c>
      <c r="CI176" s="365">
        <v>261591.25213900738</v>
      </c>
      <c r="CJ176" s="375">
        <v>1482350.4287877085</v>
      </c>
    </row>
    <row r="177" spans="5:88">
      <c r="G177" s="417">
        <v>173</v>
      </c>
      <c r="H177" s="251">
        <v>1</v>
      </c>
      <c r="I177" s="377">
        <v>1</v>
      </c>
      <c r="J177" s="368">
        <v>0</v>
      </c>
      <c r="K177" s="368">
        <v>4778691.7862164872</v>
      </c>
      <c r="L177" s="369">
        <v>2588339.241598512</v>
      </c>
      <c r="N177" s="367">
        <v>2190352.5446179751</v>
      </c>
      <c r="O177" s="370">
        <v>0</v>
      </c>
      <c r="P177" s="370">
        <v>0</v>
      </c>
      <c r="Q177" s="370">
        <v>0</v>
      </c>
      <c r="R177" s="370">
        <v>0</v>
      </c>
      <c r="S177" s="370">
        <v>0</v>
      </c>
      <c r="T177" s="379">
        <v>59342400</v>
      </c>
      <c r="U177" s="371">
        <v>0</v>
      </c>
      <c r="V177" s="371">
        <v>0</v>
      </c>
      <c r="W177" s="372">
        <v>2190352.5446179751</v>
      </c>
      <c r="X177" s="41"/>
      <c r="Y177" s="365">
        <v>0</v>
      </c>
      <c r="Z177" s="370">
        <v>0</v>
      </c>
      <c r="AA177" s="370">
        <v>0</v>
      </c>
      <c r="AB177" s="375">
        <v>2190352.5446179751</v>
      </c>
      <c r="AC177" s="41"/>
      <c r="AD177" s="449">
        <v>0</v>
      </c>
      <c r="AE177" s="365">
        <v>0</v>
      </c>
      <c r="AF177" s="375">
        <v>2190352.5446179751</v>
      </c>
      <c r="AH177" s="365">
        <v>0</v>
      </c>
      <c r="AI177" s="370">
        <v>0</v>
      </c>
      <c r="AJ177" s="370">
        <v>0</v>
      </c>
      <c r="AK177" s="375">
        <v>2190352.5446179751</v>
      </c>
      <c r="AM177" s="365">
        <v>0</v>
      </c>
      <c r="AN177" s="370">
        <v>0</v>
      </c>
      <c r="AO177" s="370">
        <v>0</v>
      </c>
      <c r="AP177" s="375">
        <v>2190352.5446179751</v>
      </c>
      <c r="AR177" s="365">
        <v>0</v>
      </c>
      <c r="AS177" s="375">
        <v>2190352.5446179751</v>
      </c>
      <c r="AU177" s="378">
        <v>0</v>
      </c>
      <c r="AV177" s="379">
        <v>0</v>
      </c>
      <c r="AW177" s="380">
        <v>0</v>
      </c>
      <c r="AX177" s="381">
        <v>2190352.5446179751</v>
      </c>
      <c r="AZ177" s="365">
        <v>0</v>
      </c>
      <c r="BA177" s="370">
        <v>0</v>
      </c>
      <c r="BB177" s="370">
        <v>0</v>
      </c>
      <c r="BC177" s="375">
        <v>2190352.5446179751</v>
      </c>
      <c r="BE177" s="365">
        <v>0</v>
      </c>
      <c r="BF177" s="370">
        <v>0</v>
      </c>
      <c r="BG177" s="370">
        <v>0</v>
      </c>
      <c r="BH177" s="375">
        <v>2190352.5446179751</v>
      </c>
      <c r="BJ177" s="365">
        <v>0</v>
      </c>
      <c r="BK177" s="370">
        <v>0</v>
      </c>
      <c r="BL177" s="370">
        <v>0</v>
      </c>
      <c r="BM177" s="375">
        <v>2190352.5446179751</v>
      </c>
      <c r="BO177" s="365">
        <v>0</v>
      </c>
      <c r="BP177" s="370">
        <v>0</v>
      </c>
      <c r="BQ177" s="370">
        <v>0</v>
      </c>
      <c r="BR177" s="375">
        <v>2190352.5446179751</v>
      </c>
      <c r="BT177" s="365">
        <v>0</v>
      </c>
      <c r="BU177" s="370">
        <v>0</v>
      </c>
      <c r="BV177" s="370">
        <v>0</v>
      </c>
      <c r="BW177" s="375">
        <v>2190352.5446179751</v>
      </c>
      <c r="BY177" s="365">
        <v>1861799.6629252788</v>
      </c>
      <c r="BZ177" s="373">
        <v>180971359.63824129</v>
      </c>
      <c r="CA177" s="375">
        <v>328552.88169269636</v>
      </c>
      <c r="CC177" s="365">
        <v>0</v>
      </c>
      <c r="CD177" s="375">
        <v>0</v>
      </c>
      <c r="CF177" s="365">
        <v>0</v>
      </c>
      <c r="CG177" s="375">
        <v>0</v>
      </c>
      <c r="CI177" s="365">
        <v>328552.88169269625</v>
      </c>
      <c r="CJ177" s="375">
        <v>1861799.6629252788</v>
      </c>
    </row>
    <row r="178" spans="5:88">
      <c r="G178" s="417">
        <v>174</v>
      </c>
      <c r="H178" s="251">
        <v>1</v>
      </c>
      <c r="I178" s="377">
        <v>0</v>
      </c>
      <c r="J178" s="368">
        <v>0</v>
      </c>
      <c r="K178" s="368">
        <v>5088037.5077356501</v>
      </c>
      <c r="L178" s="369">
        <v>2589781.7580061005</v>
      </c>
      <c r="N178" s="367">
        <v>2498255.7497295495</v>
      </c>
      <c r="O178" s="370">
        <v>0</v>
      </c>
      <c r="P178" s="370">
        <v>0</v>
      </c>
      <c r="Q178" s="370">
        <v>0</v>
      </c>
      <c r="R178" s="370">
        <v>0</v>
      </c>
      <c r="S178" s="370">
        <v>0</v>
      </c>
      <c r="T178" s="379">
        <v>59342400</v>
      </c>
      <c r="U178" s="371">
        <v>0</v>
      </c>
      <c r="V178" s="371">
        <v>0</v>
      </c>
      <c r="W178" s="372">
        <v>2498255.7497295495</v>
      </c>
      <c r="X178" s="41"/>
      <c r="Y178" s="365">
        <v>0</v>
      </c>
      <c r="Z178" s="370">
        <v>0</v>
      </c>
      <c r="AA178" s="370">
        <v>0</v>
      </c>
      <c r="AB178" s="375">
        <v>2498255.7497295495</v>
      </c>
      <c r="AC178" s="41"/>
      <c r="AD178" s="449">
        <v>0</v>
      </c>
      <c r="AE178" s="365">
        <v>0</v>
      </c>
      <c r="AF178" s="375">
        <v>2498255.7497295495</v>
      </c>
      <c r="AH178" s="365">
        <v>0</v>
      </c>
      <c r="AI178" s="370">
        <v>0</v>
      </c>
      <c r="AJ178" s="370">
        <v>0</v>
      </c>
      <c r="AK178" s="375">
        <v>2498255.7497295495</v>
      </c>
      <c r="AM178" s="365">
        <v>0</v>
      </c>
      <c r="AN178" s="370">
        <v>0</v>
      </c>
      <c r="AO178" s="370">
        <v>0</v>
      </c>
      <c r="AP178" s="375">
        <v>2498255.7497295495</v>
      </c>
      <c r="AR178" s="365">
        <v>0</v>
      </c>
      <c r="AS178" s="375">
        <v>2498255.7497295495</v>
      </c>
      <c r="AU178" s="378">
        <v>0</v>
      </c>
      <c r="AV178" s="379">
        <v>0</v>
      </c>
      <c r="AW178" s="380">
        <v>0</v>
      </c>
      <c r="AX178" s="381">
        <v>2498255.7497295495</v>
      </c>
      <c r="AZ178" s="365">
        <v>0</v>
      </c>
      <c r="BA178" s="370">
        <v>0</v>
      </c>
      <c r="BB178" s="370">
        <v>0</v>
      </c>
      <c r="BC178" s="375">
        <v>2498255.7497295495</v>
      </c>
      <c r="BE178" s="365">
        <v>0</v>
      </c>
      <c r="BF178" s="370">
        <v>0</v>
      </c>
      <c r="BG178" s="370">
        <v>0</v>
      </c>
      <c r="BH178" s="375">
        <v>2498255.7497295495</v>
      </c>
      <c r="BJ178" s="365">
        <v>0</v>
      </c>
      <c r="BK178" s="370">
        <v>0</v>
      </c>
      <c r="BL178" s="370">
        <v>0</v>
      </c>
      <c r="BM178" s="375">
        <v>2498255.7497295495</v>
      </c>
      <c r="BO178" s="365">
        <v>0</v>
      </c>
      <c r="BP178" s="370">
        <v>0</v>
      </c>
      <c r="BQ178" s="370">
        <v>0</v>
      </c>
      <c r="BR178" s="375">
        <v>2498255.7497295495</v>
      </c>
      <c r="BT178" s="365">
        <v>0</v>
      </c>
      <c r="BU178" s="370">
        <v>0</v>
      </c>
      <c r="BV178" s="370">
        <v>0</v>
      </c>
      <c r="BW178" s="375">
        <v>2498255.7497295495</v>
      </c>
      <c r="BY178" s="365">
        <v>2123517.3872701172</v>
      </c>
      <c r="BZ178" s="373">
        <v>183094877.02551141</v>
      </c>
      <c r="CA178" s="375">
        <v>374738.36245943233</v>
      </c>
      <c r="CC178" s="365">
        <v>0</v>
      </c>
      <c r="CD178" s="375">
        <v>0</v>
      </c>
      <c r="CF178" s="365">
        <v>0</v>
      </c>
      <c r="CG178" s="375">
        <v>0</v>
      </c>
      <c r="CI178" s="365">
        <v>374738.36245943239</v>
      </c>
      <c r="CJ178" s="375">
        <v>2123517.3872701172</v>
      </c>
    </row>
    <row r="179" spans="5:88">
      <c r="G179" s="417">
        <v>175</v>
      </c>
      <c r="H179" s="251">
        <v>1</v>
      </c>
      <c r="I179" s="377">
        <v>0</v>
      </c>
      <c r="J179" s="368">
        <v>0</v>
      </c>
      <c r="K179" s="368">
        <v>5088037.5077356501</v>
      </c>
      <c r="L179" s="369">
        <v>2591225.0783475591</v>
      </c>
      <c r="N179" s="367">
        <v>2496812.429388091</v>
      </c>
      <c r="O179" s="370">
        <v>0</v>
      </c>
      <c r="P179" s="370">
        <v>0</v>
      </c>
      <c r="Q179" s="370">
        <v>0</v>
      </c>
      <c r="R179" s="370">
        <v>0</v>
      </c>
      <c r="S179" s="370">
        <v>0</v>
      </c>
      <c r="T179" s="379">
        <v>59342400</v>
      </c>
      <c r="U179" s="371">
        <v>0</v>
      </c>
      <c r="V179" s="371">
        <v>0</v>
      </c>
      <c r="W179" s="372">
        <v>2496812.429388091</v>
      </c>
      <c r="X179" s="41"/>
      <c r="Y179" s="365">
        <v>0</v>
      </c>
      <c r="Z179" s="370">
        <v>0</v>
      </c>
      <c r="AA179" s="370">
        <v>0</v>
      </c>
      <c r="AB179" s="375">
        <v>2496812.429388091</v>
      </c>
      <c r="AC179" s="41"/>
      <c r="AD179" s="449">
        <v>0</v>
      </c>
      <c r="AE179" s="365">
        <v>0</v>
      </c>
      <c r="AF179" s="375">
        <v>2496812.429388091</v>
      </c>
      <c r="AH179" s="365">
        <v>0</v>
      </c>
      <c r="AI179" s="370">
        <v>0</v>
      </c>
      <c r="AJ179" s="370">
        <v>0</v>
      </c>
      <c r="AK179" s="375">
        <v>2496812.429388091</v>
      </c>
      <c r="AM179" s="365">
        <v>0</v>
      </c>
      <c r="AN179" s="370">
        <v>0</v>
      </c>
      <c r="AO179" s="370">
        <v>0</v>
      </c>
      <c r="AP179" s="375">
        <v>2496812.429388091</v>
      </c>
      <c r="AR179" s="365">
        <v>0</v>
      </c>
      <c r="AS179" s="375">
        <v>2496812.429388091</v>
      </c>
      <c r="AU179" s="378">
        <v>0</v>
      </c>
      <c r="AV179" s="379">
        <v>0</v>
      </c>
      <c r="AW179" s="380">
        <v>0</v>
      </c>
      <c r="AX179" s="381">
        <v>2496812.429388091</v>
      </c>
      <c r="AZ179" s="365">
        <v>0</v>
      </c>
      <c r="BA179" s="370">
        <v>0</v>
      </c>
      <c r="BB179" s="370">
        <v>0</v>
      </c>
      <c r="BC179" s="375">
        <v>2496812.429388091</v>
      </c>
      <c r="BE179" s="365">
        <v>0</v>
      </c>
      <c r="BF179" s="370">
        <v>0</v>
      </c>
      <c r="BG179" s="370">
        <v>0</v>
      </c>
      <c r="BH179" s="375">
        <v>2496812.429388091</v>
      </c>
      <c r="BJ179" s="365">
        <v>0</v>
      </c>
      <c r="BK179" s="370">
        <v>0</v>
      </c>
      <c r="BL179" s="370">
        <v>0</v>
      </c>
      <c r="BM179" s="375">
        <v>2496812.429388091</v>
      </c>
      <c r="BO179" s="365">
        <v>0</v>
      </c>
      <c r="BP179" s="370">
        <v>0</v>
      </c>
      <c r="BQ179" s="370">
        <v>0</v>
      </c>
      <c r="BR179" s="375">
        <v>2496812.429388091</v>
      </c>
      <c r="BT179" s="365">
        <v>0</v>
      </c>
      <c r="BU179" s="370">
        <v>0</v>
      </c>
      <c r="BV179" s="370">
        <v>0</v>
      </c>
      <c r="BW179" s="375">
        <v>2496812.429388091</v>
      </c>
      <c r="BY179" s="365">
        <v>2122290.5649798773</v>
      </c>
      <c r="BZ179" s="373">
        <v>185217167.59049129</v>
      </c>
      <c r="CA179" s="375">
        <v>374521.86440821365</v>
      </c>
      <c r="CC179" s="365">
        <v>0</v>
      </c>
      <c r="CD179" s="375">
        <v>0</v>
      </c>
      <c r="CF179" s="365">
        <v>0</v>
      </c>
      <c r="CG179" s="375">
        <v>0</v>
      </c>
      <c r="CI179" s="365">
        <v>374521.86440821365</v>
      </c>
      <c r="CJ179" s="375">
        <v>2122290.5649798773</v>
      </c>
    </row>
    <row r="180" spans="5:88">
      <c r="G180" s="417">
        <v>176</v>
      </c>
      <c r="H180" s="251">
        <v>1</v>
      </c>
      <c r="I180" s="377">
        <v>0</v>
      </c>
      <c r="J180" s="368">
        <v>0</v>
      </c>
      <c r="K180" s="368">
        <v>5088037.5077356501</v>
      </c>
      <c r="L180" s="369">
        <v>2592669.2030709325</v>
      </c>
      <c r="N180" s="367">
        <v>2495368.3046647175</v>
      </c>
      <c r="O180" s="370">
        <v>0</v>
      </c>
      <c r="P180" s="370">
        <v>0</v>
      </c>
      <c r="Q180" s="370">
        <v>0</v>
      </c>
      <c r="R180" s="370">
        <v>0</v>
      </c>
      <c r="S180" s="370">
        <v>0</v>
      </c>
      <c r="T180" s="379">
        <v>59342400</v>
      </c>
      <c r="U180" s="371">
        <v>0</v>
      </c>
      <c r="V180" s="371">
        <v>0</v>
      </c>
      <c r="W180" s="372">
        <v>2495368.3046647175</v>
      </c>
      <c r="X180" s="41"/>
      <c r="Y180" s="365">
        <v>0</v>
      </c>
      <c r="Z180" s="370">
        <v>0</v>
      </c>
      <c r="AA180" s="370">
        <v>0</v>
      </c>
      <c r="AB180" s="375">
        <v>2495368.3046647175</v>
      </c>
      <c r="AC180" s="41"/>
      <c r="AD180" s="449">
        <v>0</v>
      </c>
      <c r="AE180" s="365">
        <v>0</v>
      </c>
      <c r="AF180" s="375">
        <v>2495368.3046647175</v>
      </c>
      <c r="AH180" s="365">
        <v>0</v>
      </c>
      <c r="AI180" s="370">
        <v>0</v>
      </c>
      <c r="AJ180" s="370">
        <v>0</v>
      </c>
      <c r="AK180" s="375">
        <v>2495368.3046647175</v>
      </c>
      <c r="AM180" s="365">
        <v>0</v>
      </c>
      <c r="AN180" s="370">
        <v>0</v>
      </c>
      <c r="AO180" s="370">
        <v>0</v>
      </c>
      <c r="AP180" s="375">
        <v>2495368.3046647175</v>
      </c>
      <c r="AR180" s="365">
        <v>0</v>
      </c>
      <c r="AS180" s="375">
        <v>2495368.3046647175</v>
      </c>
      <c r="AU180" s="378">
        <v>0</v>
      </c>
      <c r="AV180" s="379">
        <v>0</v>
      </c>
      <c r="AW180" s="380">
        <v>0</v>
      </c>
      <c r="AX180" s="381">
        <v>2495368.3046647175</v>
      </c>
      <c r="AZ180" s="365">
        <v>0</v>
      </c>
      <c r="BA180" s="370">
        <v>0</v>
      </c>
      <c r="BB180" s="370">
        <v>0</v>
      </c>
      <c r="BC180" s="375">
        <v>2495368.3046647175</v>
      </c>
      <c r="BE180" s="365">
        <v>0</v>
      </c>
      <c r="BF180" s="370">
        <v>0</v>
      </c>
      <c r="BG180" s="370">
        <v>0</v>
      </c>
      <c r="BH180" s="375">
        <v>2495368.3046647175</v>
      </c>
      <c r="BJ180" s="365">
        <v>0</v>
      </c>
      <c r="BK180" s="370">
        <v>0</v>
      </c>
      <c r="BL180" s="370">
        <v>0</v>
      </c>
      <c r="BM180" s="375">
        <v>2495368.3046647175</v>
      </c>
      <c r="BO180" s="365">
        <v>0</v>
      </c>
      <c r="BP180" s="370">
        <v>0</v>
      </c>
      <c r="BQ180" s="370">
        <v>0</v>
      </c>
      <c r="BR180" s="375">
        <v>2495368.3046647175</v>
      </c>
      <c r="BT180" s="365">
        <v>0</v>
      </c>
      <c r="BU180" s="370">
        <v>0</v>
      </c>
      <c r="BV180" s="370">
        <v>0</v>
      </c>
      <c r="BW180" s="375">
        <v>2495368.3046647175</v>
      </c>
      <c r="BY180" s="365">
        <v>2121063.0589650096</v>
      </c>
      <c r="BZ180" s="373">
        <v>187338230.64945629</v>
      </c>
      <c r="CA180" s="375">
        <v>374305.24569970788</v>
      </c>
      <c r="CC180" s="365">
        <v>0</v>
      </c>
      <c r="CD180" s="375">
        <v>0</v>
      </c>
      <c r="CF180" s="365">
        <v>0</v>
      </c>
      <c r="CG180" s="375">
        <v>0</v>
      </c>
      <c r="CI180" s="365">
        <v>374305.24569970759</v>
      </c>
      <c r="CJ180" s="375">
        <v>2121063.0589650096</v>
      </c>
    </row>
    <row r="181" spans="5:88">
      <c r="G181" s="417">
        <v>177</v>
      </c>
      <c r="H181" s="251">
        <v>1</v>
      </c>
      <c r="I181" s="377">
        <v>0</v>
      </c>
      <c r="J181" s="368">
        <v>0</v>
      </c>
      <c r="K181" s="368">
        <v>5088037.5077356501</v>
      </c>
      <c r="L181" s="369">
        <v>2594114.132624513</v>
      </c>
      <c r="N181" s="367">
        <v>2493923.3751111371</v>
      </c>
      <c r="O181" s="370">
        <v>0</v>
      </c>
      <c r="P181" s="370">
        <v>0</v>
      </c>
      <c r="Q181" s="370">
        <v>0</v>
      </c>
      <c r="R181" s="370">
        <v>0</v>
      </c>
      <c r="S181" s="370">
        <v>0</v>
      </c>
      <c r="T181" s="379">
        <v>59342400</v>
      </c>
      <c r="U181" s="371">
        <v>0</v>
      </c>
      <c r="V181" s="371">
        <v>0</v>
      </c>
      <c r="W181" s="372">
        <v>2493923.3751111371</v>
      </c>
      <c r="X181" s="41"/>
      <c r="Y181" s="365">
        <v>0</v>
      </c>
      <c r="Z181" s="370">
        <v>0</v>
      </c>
      <c r="AA181" s="370">
        <v>0</v>
      </c>
      <c r="AB181" s="375">
        <v>2493923.3751111371</v>
      </c>
      <c r="AC181" s="41"/>
      <c r="AD181" s="449">
        <v>0</v>
      </c>
      <c r="AE181" s="365">
        <v>0</v>
      </c>
      <c r="AF181" s="375">
        <v>2493923.3751111371</v>
      </c>
      <c r="AH181" s="365">
        <v>0</v>
      </c>
      <c r="AI181" s="370">
        <v>0</v>
      </c>
      <c r="AJ181" s="370">
        <v>0</v>
      </c>
      <c r="AK181" s="375">
        <v>2493923.3751111371</v>
      </c>
      <c r="AM181" s="365">
        <v>0</v>
      </c>
      <c r="AN181" s="370">
        <v>0</v>
      </c>
      <c r="AO181" s="370">
        <v>0</v>
      </c>
      <c r="AP181" s="375">
        <v>2493923.3751111371</v>
      </c>
      <c r="AR181" s="365">
        <v>0</v>
      </c>
      <c r="AS181" s="375">
        <v>2493923.3751111371</v>
      </c>
      <c r="AU181" s="378">
        <v>0</v>
      </c>
      <c r="AV181" s="379">
        <v>0</v>
      </c>
      <c r="AW181" s="380">
        <v>0</v>
      </c>
      <c r="AX181" s="381">
        <v>2493923.3751111371</v>
      </c>
      <c r="AZ181" s="365">
        <v>0</v>
      </c>
      <c r="BA181" s="370">
        <v>0</v>
      </c>
      <c r="BB181" s="370">
        <v>0</v>
      </c>
      <c r="BC181" s="375">
        <v>2493923.3751111371</v>
      </c>
      <c r="BE181" s="365">
        <v>0</v>
      </c>
      <c r="BF181" s="370">
        <v>0</v>
      </c>
      <c r="BG181" s="370">
        <v>0</v>
      </c>
      <c r="BH181" s="375">
        <v>2493923.3751111371</v>
      </c>
      <c r="BJ181" s="365">
        <v>0</v>
      </c>
      <c r="BK181" s="370">
        <v>0</v>
      </c>
      <c r="BL181" s="370">
        <v>0</v>
      </c>
      <c r="BM181" s="375">
        <v>2493923.3751111371</v>
      </c>
      <c r="BO181" s="365">
        <v>0</v>
      </c>
      <c r="BP181" s="370">
        <v>0</v>
      </c>
      <c r="BQ181" s="370">
        <v>0</v>
      </c>
      <c r="BR181" s="375">
        <v>2493923.3751111371</v>
      </c>
      <c r="BT181" s="365">
        <v>0</v>
      </c>
      <c r="BU181" s="370">
        <v>0</v>
      </c>
      <c r="BV181" s="370">
        <v>0</v>
      </c>
      <c r="BW181" s="375">
        <v>2493923.3751111371</v>
      </c>
      <c r="BY181" s="365">
        <v>2119834.8688444663</v>
      </c>
      <c r="BZ181" s="373">
        <v>189458065.51830077</v>
      </c>
      <c r="CA181" s="375">
        <v>374088.50626667077</v>
      </c>
      <c r="CC181" s="365">
        <v>0</v>
      </c>
      <c r="CD181" s="375">
        <v>0</v>
      </c>
      <c r="CF181" s="365">
        <v>0</v>
      </c>
      <c r="CG181" s="375">
        <v>0</v>
      </c>
      <c r="CI181" s="365">
        <v>374088.50626667053</v>
      </c>
      <c r="CJ181" s="375">
        <v>2119834.8688444663</v>
      </c>
    </row>
    <row r="182" spans="5:88">
      <c r="G182" s="417">
        <v>178</v>
      </c>
      <c r="H182" s="251">
        <v>1</v>
      </c>
      <c r="I182" s="377">
        <v>1</v>
      </c>
      <c r="J182" s="368">
        <v>0</v>
      </c>
      <c r="K182" s="368">
        <v>4821777.9995326307</v>
      </c>
      <c r="L182" s="369">
        <v>2595559.8674568431</v>
      </c>
      <c r="N182" s="367">
        <v>2226218.1320757875</v>
      </c>
      <c r="O182" s="370">
        <v>0</v>
      </c>
      <c r="P182" s="370">
        <v>0</v>
      </c>
      <c r="Q182" s="370">
        <v>0</v>
      </c>
      <c r="R182" s="370">
        <v>0</v>
      </c>
      <c r="S182" s="370">
        <v>0</v>
      </c>
      <c r="T182" s="379">
        <v>59342400</v>
      </c>
      <c r="U182" s="371">
        <v>0</v>
      </c>
      <c r="V182" s="371">
        <v>0</v>
      </c>
      <c r="W182" s="372">
        <v>2226218.1320757875</v>
      </c>
      <c r="X182" s="41"/>
      <c r="Y182" s="365">
        <v>0</v>
      </c>
      <c r="Z182" s="370">
        <v>0</v>
      </c>
      <c r="AA182" s="370">
        <v>0</v>
      </c>
      <c r="AB182" s="375">
        <v>2226218.1320757875</v>
      </c>
      <c r="AC182" s="41"/>
      <c r="AD182" s="449">
        <v>0</v>
      </c>
      <c r="AE182" s="365">
        <v>0</v>
      </c>
      <c r="AF182" s="375">
        <v>2226218.1320757875</v>
      </c>
      <c r="AH182" s="365">
        <v>0</v>
      </c>
      <c r="AI182" s="370">
        <v>0</v>
      </c>
      <c r="AJ182" s="370">
        <v>0</v>
      </c>
      <c r="AK182" s="375">
        <v>2226218.1320757875</v>
      </c>
      <c r="AM182" s="365">
        <v>0</v>
      </c>
      <c r="AN182" s="370">
        <v>0</v>
      </c>
      <c r="AO182" s="370">
        <v>0</v>
      </c>
      <c r="AP182" s="375">
        <v>2226218.1320757875</v>
      </c>
      <c r="AR182" s="365">
        <v>0</v>
      </c>
      <c r="AS182" s="375">
        <v>2226218.1320757875</v>
      </c>
      <c r="AU182" s="378">
        <v>0</v>
      </c>
      <c r="AV182" s="379">
        <v>0</v>
      </c>
      <c r="AW182" s="380">
        <v>0</v>
      </c>
      <c r="AX182" s="381">
        <v>2226218.1320757875</v>
      </c>
      <c r="AZ182" s="365">
        <v>0</v>
      </c>
      <c r="BA182" s="370">
        <v>0</v>
      </c>
      <c r="BB182" s="370">
        <v>0</v>
      </c>
      <c r="BC182" s="375">
        <v>2226218.1320757875</v>
      </c>
      <c r="BE182" s="365">
        <v>0</v>
      </c>
      <c r="BF182" s="370">
        <v>0</v>
      </c>
      <c r="BG182" s="370">
        <v>0</v>
      </c>
      <c r="BH182" s="375">
        <v>2226218.1320757875</v>
      </c>
      <c r="BJ182" s="365">
        <v>0</v>
      </c>
      <c r="BK182" s="370">
        <v>0</v>
      </c>
      <c r="BL182" s="370">
        <v>0</v>
      </c>
      <c r="BM182" s="375">
        <v>2226218.1320757875</v>
      </c>
      <c r="BO182" s="365">
        <v>0</v>
      </c>
      <c r="BP182" s="370">
        <v>0</v>
      </c>
      <c r="BQ182" s="370">
        <v>0</v>
      </c>
      <c r="BR182" s="375">
        <v>2226218.1320757875</v>
      </c>
      <c r="BT182" s="365">
        <v>0</v>
      </c>
      <c r="BU182" s="370">
        <v>0</v>
      </c>
      <c r="BV182" s="370">
        <v>0</v>
      </c>
      <c r="BW182" s="375">
        <v>2226218.1320757875</v>
      </c>
      <c r="BY182" s="365">
        <v>1892285.4122644193</v>
      </c>
      <c r="BZ182" s="373">
        <v>191350350.93056518</v>
      </c>
      <c r="CA182" s="375">
        <v>333932.71981136827</v>
      </c>
      <c r="CC182" s="365">
        <v>0</v>
      </c>
      <c r="CD182" s="375">
        <v>0</v>
      </c>
      <c r="CF182" s="365">
        <v>0</v>
      </c>
      <c r="CG182" s="375">
        <v>0</v>
      </c>
      <c r="CI182" s="365">
        <v>333932.71981136809</v>
      </c>
      <c r="CJ182" s="375">
        <v>1892285.4122644193</v>
      </c>
    </row>
    <row r="183" spans="5:88">
      <c r="G183" s="417">
        <v>179</v>
      </c>
      <c r="H183" s="251">
        <v>1</v>
      </c>
      <c r="I183" s="377">
        <v>0</v>
      </c>
      <c r="J183" s="368">
        <v>0</v>
      </c>
      <c r="K183" s="368">
        <v>5089421.1125393873</v>
      </c>
      <c r="L183" s="369">
        <v>2597006.4080167166</v>
      </c>
      <c r="N183" s="367">
        <v>2492414.7045226707</v>
      </c>
      <c r="O183" s="370">
        <v>0</v>
      </c>
      <c r="P183" s="370">
        <v>0</v>
      </c>
      <c r="Q183" s="370">
        <v>0</v>
      </c>
      <c r="R183" s="370">
        <v>0</v>
      </c>
      <c r="S183" s="370">
        <v>0</v>
      </c>
      <c r="T183" s="379">
        <v>59342400</v>
      </c>
      <c r="U183" s="371">
        <v>0</v>
      </c>
      <c r="V183" s="371">
        <v>0</v>
      </c>
      <c r="W183" s="372">
        <v>2492414.7045226707</v>
      </c>
      <c r="X183" s="41"/>
      <c r="Y183" s="365">
        <v>0</v>
      </c>
      <c r="Z183" s="370">
        <v>0</v>
      </c>
      <c r="AA183" s="370">
        <v>0</v>
      </c>
      <c r="AB183" s="375">
        <v>2492414.7045226707</v>
      </c>
      <c r="AC183" s="41"/>
      <c r="AD183" s="449">
        <v>0</v>
      </c>
      <c r="AE183" s="365">
        <v>0</v>
      </c>
      <c r="AF183" s="375">
        <v>2492414.7045226707</v>
      </c>
      <c r="AH183" s="365">
        <v>0</v>
      </c>
      <c r="AI183" s="370">
        <v>0</v>
      </c>
      <c r="AJ183" s="370">
        <v>0</v>
      </c>
      <c r="AK183" s="375">
        <v>2492414.7045226707</v>
      </c>
      <c r="AM183" s="365">
        <v>0</v>
      </c>
      <c r="AN183" s="370">
        <v>0</v>
      </c>
      <c r="AO183" s="370">
        <v>0</v>
      </c>
      <c r="AP183" s="375">
        <v>2492414.7045226707</v>
      </c>
      <c r="AR183" s="365">
        <v>0</v>
      </c>
      <c r="AS183" s="375">
        <v>2492414.7045226707</v>
      </c>
      <c r="AU183" s="378">
        <v>0</v>
      </c>
      <c r="AV183" s="379">
        <v>0</v>
      </c>
      <c r="AW183" s="380">
        <v>0</v>
      </c>
      <c r="AX183" s="381">
        <v>2492414.7045226707</v>
      </c>
      <c r="AZ183" s="365">
        <v>0</v>
      </c>
      <c r="BA183" s="370">
        <v>0</v>
      </c>
      <c r="BB183" s="370">
        <v>0</v>
      </c>
      <c r="BC183" s="375">
        <v>2492414.7045226707</v>
      </c>
      <c r="BE183" s="365">
        <v>0</v>
      </c>
      <c r="BF183" s="370">
        <v>0</v>
      </c>
      <c r="BG183" s="370">
        <v>0</v>
      </c>
      <c r="BH183" s="375">
        <v>2492414.7045226707</v>
      </c>
      <c r="BJ183" s="365">
        <v>0</v>
      </c>
      <c r="BK183" s="370">
        <v>0</v>
      </c>
      <c r="BL183" s="370">
        <v>0</v>
      </c>
      <c r="BM183" s="375">
        <v>2492414.7045226707</v>
      </c>
      <c r="BO183" s="365">
        <v>0</v>
      </c>
      <c r="BP183" s="370">
        <v>0</v>
      </c>
      <c r="BQ183" s="370">
        <v>0</v>
      </c>
      <c r="BR183" s="375">
        <v>2492414.7045226707</v>
      </c>
      <c r="BT183" s="365">
        <v>0</v>
      </c>
      <c r="BU183" s="370">
        <v>0</v>
      </c>
      <c r="BV183" s="370">
        <v>0</v>
      </c>
      <c r="BW183" s="375">
        <v>2492414.7045226707</v>
      </c>
      <c r="BY183" s="365">
        <v>2118552.4988442701</v>
      </c>
      <c r="BZ183" s="373">
        <v>193468903.42940944</v>
      </c>
      <c r="CA183" s="375">
        <v>373862.20567840058</v>
      </c>
      <c r="CC183" s="365">
        <v>0</v>
      </c>
      <c r="CD183" s="375">
        <v>0</v>
      </c>
      <c r="CF183" s="365">
        <v>0</v>
      </c>
      <c r="CG183" s="375">
        <v>0</v>
      </c>
      <c r="CI183" s="365">
        <v>373862.20567840058</v>
      </c>
      <c r="CJ183" s="375">
        <v>2118552.4988442701</v>
      </c>
    </row>
    <row r="184" spans="5:88">
      <c r="E184" s="96"/>
      <c r="F184" s="404"/>
      <c r="G184" s="417">
        <v>180</v>
      </c>
      <c r="H184" s="251">
        <v>4</v>
      </c>
      <c r="I184" s="377">
        <v>1</v>
      </c>
      <c r="J184" s="368">
        <v>13296240</v>
      </c>
      <c r="K184" s="368">
        <v>3774999.5594860166</v>
      </c>
      <c r="L184" s="369">
        <v>2042945.13456025</v>
      </c>
      <c r="N184" s="367">
        <v>15028294.424925767</v>
      </c>
      <c r="O184" s="370">
        <v>0</v>
      </c>
      <c r="P184" s="370">
        <v>0</v>
      </c>
      <c r="Q184" s="370">
        <v>0</v>
      </c>
      <c r="R184" s="370">
        <v>0</v>
      </c>
      <c r="S184" s="370">
        <v>0</v>
      </c>
      <c r="T184" s="379">
        <v>46046160</v>
      </c>
      <c r="U184" s="371">
        <v>0</v>
      </c>
      <c r="V184" s="371">
        <v>0</v>
      </c>
      <c r="W184" s="372">
        <v>15028294.424925767</v>
      </c>
      <c r="X184" s="41"/>
      <c r="Y184" s="365">
        <v>0</v>
      </c>
      <c r="Z184" s="370">
        <v>0</v>
      </c>
      <c r="AA184" s="370">
        <v>0</v>
      </c>
      <c r="AB184" s="375">
        <v>15028294.424925767</v>
      </c>
      <c r="AC184" s="41"/>
      <c r="AD184" s="449">
        <v>0</v>
      </c>
      <c r="AE184" s="365">
        <v>0</v>
      </c>
      <c r="AF184" s="375">
        <v>15028294.424925767</v>
      </c>
      <c r="AH184" s="365">
        <v>0</v>
      </c>
      <c r="AI184" s="370">
        <v>0</v>
      </c>
      <c r="AJ184" s="370">
        <v>0</v>
      </c>
      <c r="AK184" s="375">
        <v>15028294.424925767</v>
      </c>
      <c r="AM184" s="365">
        <v>0</v>
      </c>
      <c r="AN184" s="370">
        <v>0</v>
      </c>
      <c r="AO184" s="370">
        <v>0</v>
      </c>
      <c r="AP184" s="375">
        <v>15028294.424925767</v>
      </c>
      <c r="AR184" s="365">
        <v>0</v>
      </c>
      <c r="AS184" s="375">
        <v>15028294.424925767</v>
      </c>
      <c r="AU184" s="378">
        <v>0</v>
      </c>
      <c r="AV184" s="379">
        <v>0</v>
      </c>
      <c r="AW184" s="380">
        <v>0</v>
      </c>
      <c r="AX184" s="381">
        <v>15028294.424925767</v>
      </c>
      <c r="AZ184" s="365">
        <v>0</v>
      </c>
      <c r="BA184" s="370">
        <v>0</v>
      </c>
      <c r="BB184" s="370">
        <v>0</v>
      </c>
      <c r="BC184" s="375">
        <v>15028294.424925767</v>
      </c>
      <c r="BE184" s="365">
        <v>0</v>
      </c>
      <c r="BF184" s="370">
        <v>0</v>
      </c>
      <c r="BG184" s="370">
        <v>0</v>
      </c>
      <c r="BH184" s="375">
        <v>15028294.424925767</v>
      </c>
      <c r="BJ184" s="365">
        <v>0</v>
      </c>
      <c r="BK184" s="370">
        <v>0</v>
      </c>
      <c r="BL184" s="370">
        <v>0</v>
      </c>
      <c r="BM184" s="375">
        <v>15028294.424925767</v>
      </c>
      <c r="BO184" s="365">
        <v>0</v>
      </c>
      <c r="BP184" s="370">
        <v>0</v>
      </c>
      <c r="BQ184" s="370">
        <v>0</v>
      </c>
      <c r="BR184" s="375">
        <v>15028294.424925767</v>
      </c>
      <c r="BT184" s="365">
        <v>0</v>
      </c>
      <c r="BU184" s="370">
        <v>0</v>
      </c>
      <c r="BV184" s="370">
        <v>0</v>
      </c>
      <c r="BW184" s="375">
        <v>15028294.424925767</v>
      </c>
      <c r="BY184" s="365">
        <v>12774050.261186901</v>
      </c>
      <c r="BZ184" s="373">
        <v>206242953.69059634</v>
      </c>
      <c r="CA184" s="375">
        <v>2254244.1637388654</v>
      </c>
      <c r="CC184" s="365">
        <v>0</v>
      </c>
      <c r="CD184" s="375">
        <v>0</v>
      </c>
      <c r="CF184" s="365">
        <v>0</v>
      </c>
      <c r="CG184" s="375">
        <v>0</v>
      </c>
      <c r="CI184" s="365">
        <v>2254244.1637388649</v>
      </c>
      <c r="CJ184" s="375">
        <v>12774050.261186901</v>
      </c>
    </row>
    <row r="185" spans="5:88">
      <c r="G185" s="417">
        <v>181</v>
      </c>
      <c r="H185" s="251">
        <v>4</v>
      </c>
      <c r="I185" s="377">
        <v>0</v>
      </c>
      <c r="J185" s="368">
        <v>0</v>
      </c>
      <c r="K185" s="368">
        <v>4118036.3400787488</v>
      </c>
      <c r="L185" s="369">
        <v>2044083.6954679715</v>
      </c>
      <c r="N185" s="367">
        <v>2073952.6446107773</v>
      </c>
      <c r="O185" s="370">
        <v>0</v>
      </c>
      <c r="P185" s="370">
        <v>0</v>
      </c>
      <c r="Q185" s="370">
        <v>0</v>
      </c>
      <c r="R185" s="370">
        <v>0</v>
      </c>
      <c r="S185" s="370">
        <v>0</v>
      </c>
      <c r="T185" s="379">
        <v>46046160</v>
      </c>
      <c r="U185" s="371">
        <v>0</v>
      </c>
      <c r="V185" s="371">
        <v>0</v>
      </c>
      <c r="W185" s="372">
        <v>2073952.6446107773</v>
      </c>
      <c r="X185" s="41"/>
      <c r="Y185" s="365">
        <v>0</v>
      </c>
      <c r="Z185" s="370">
        <v>0</v>
      </c>
      <c r="AA185" s="370">
        <v>0</v>
      </c>
      <c r="AB185" s="375">
        <v>2073952.6446107773</v>
      </c>
      <c r="AC185" s="41"/>
      <c r="AD185" s="449">
        <v>0</v>
      </c>
      <c r="AE185" s="365">
        <v>0</v>
      </c>
      <c r="AF185" s="375">
        <v>2073952.6446107773</v>
      </c>
      <c r="AH185" s="365">
        <v>0</v>
      </c>
      <c r="AI185" s="370">
        <v>0</v>
      </c>
      <c r="AJ185" s="370">
        <v>0</v>
      </c>
      <c r="AK185" s="375">
        <v>2073952.6446107773</v>
      </c>
      <c r="AM185" s="365">
        <v>0</v>
      </c>
      <c r="AN185" s="370">
        <v>0</v>
      </c>
      <c r="AO185" s="370">
        <v>0</v>
      </c>
      <c r="AP185" s="375">
        <v>2073952.6446107773</v>
      </c>
      <c r="AR185" s="365">
        <v>0</v>
      </c>
      <c r="AS185" s="375">
        <v>2073952.6446107773</v>
      </c>
      <c r="AU185" s="378">
        <v>0</v>
      </c>
      <c r="AV185" s="379">
        <v>0</v>
      </c>
      <c r="AW185" s="380">
        <v>0</v>
      </c>
      <c r="AX185" s="381">
        <v>2073952.6446107773</v>
      </c>
      <c r="AZ185" s="365">
        <v>0</v>
      </c>
      <c r="BA185" s="370">
        <v>0</v>
      </c>
      <c r="BB185" s="370">
        <v>0</v>
      </c>
      <c r="BC185" s="375">
        <v>2073952.6446107773</v>
      </c>
      <c r="BE185" s="365">
        <v>0</v>
      </c>
      <c r="BF185" s="370">
        <v>0</v>
      </c>
      <c r="BG185" s="370">
        <v>0</v>
      </c>
      <c r="BH185" s="375">
        <v>2073952.6446107773</v>
      </c>
      <c r="BJ185" s="365">
        <v>0</v>
      </c>
      <c r="BK185" s="370">
        <v>0</v>
      </c>
      <c r="BL185" s="370">
        <v>0</v>
      </c>
      <c r="BM185" s="375">
        <v>2073952.6446107773</v>
      </c>
      <c r="BO185" s="365">
        <v>0</v>
      </c>
      <c r="BP185" s="370">
        <v>0</v>
      </c>
      <c r="BQ185" s="370">
        <v>0</v>
      </c>
      <c r="BR185" s="375">
        <v>2073952.6446107773</v>
      </c>
      <c r="BT185" s="365">
        <v>0</v>
      </c>
      <c r="BU185" s="370">
        <v>0</v>
      </c>
      <c r="BV185" s="370">
        <v>0</v>
      </c>
      <c r="BW185" s="375">
        <v>2073952.6446107773</v>
      </c>
      <c r="BY185" s="365">
        <v>1762859.7479191606</v>
      </c>
      <c r="BZ185" s="373">
        <v>208005813.43851551</v>
      </c>
      <c r="CA185" s="375">
        <v>311092.89669161662</v>
      </c>
      <c r="CC185" s="365">
        <v>0</v>
      </c>
      <c r="CD185" s="375">
        <v>0</v>
      </c>
      <c r="CF185" s="365">
        <v>0</v>
      </c>
      <c r="CG185" s="375">
        <v>0</v>
      </c>
      <c r="CI185" s="365">
        <v>311092.89669161657</v>
      </c>
      <c r="CJ185" s="375">
        <v>1762859.7479191606</v>
      </c>
    </row>
    <row r="186" spans="5:88">
      <c r="G186" s="417">
        <v>182</v>
      </c>
      <c r="H186" s="251">
        <v>4</v>
      </c>
      <c r="I186" s="377">
        <v>1</v>
      </c>
      <c r="J186" s="368">
        <v>0</v>
      </c>
      <c r="K186" s="368">
        <v>3779971.6557157086</v>
      </c>
      <c r="L186" s="369">
        <v>2045222.8909110602</v>
      </c>
      <c r="N186" s="367">
        <v>1734748.7648046485</v>
      </c>
      <c r="O186" s="370">
        <v>0</v>
      </c>
      <c r="P186" s="370">
        <v>0</v>
      </c>
      <c r="Q186" s="370">
        <v>0</v>
      </c>
      <c r="R186" s="370">
        <v>0</v>
      </c>
      <c r="S186" s="370">
        <v>0</v>
      </c>
      <c r="T186" s="379">
        <v>46046160</v>
      </c>
      <c r="U186" s="371">
        <v>0</v>
      </c>
      <c r="V186" s="371">
        <v>0</v>
      </c>
      <c r="W186" s="372">
        <v>1734748.7648046485</v>
      </c>
      <c r="X186" s="41"/>
      <c r="Y186" s="365">
        <v>0</v>
      </c>
      <c r="Z186" s="370">
        <v>0</v>
      </c>
      <c r="AA186" s="370">
        <v>0</v>
      </c>
      <c r="AB186" s="375">
        <v>1734748.7648046485</v>
      </c>
      <c r="AC186" s="41"/>
      <c r="AD186" s="449">
        <v>0</v>
      </c>
      <c r="AE186" s="365">
        <v>0</v>
      </c>
      <c r="AF186" s="375">
        <v>1734748.7648046485</v>
      </c>
      <c r="AH186" s="365">
        <v>0</v>
      </c>
      <c r="AI186" s="370">
        <v>0</v>
      </c>
      <c r="AJ186" s="370">
        <v>0</v>
      </c>
      <c r="AK186" s="375">
        <v>1734748.7648046485</v>
      </c>
      <c r="AM186" s="365">
        <v>0</v>
      </c>
      <c r="AN186" s="370">
        <v>0</v>
      </c>
      <c r="AO186" s="370">
        <v>0</v>
      </c>
      <c r="AP186" s="375">
        <v>1734748.7648046485</v>
      </c>
      <c r="AR186" s="365">
        <v>0</v>
      </c>
      <c r="AS186" s="375">
        <v>1734748.7648046485</v>
      </c>
      <c r="AU186" s="378">
        <v>0</v>
      </c>
      <c r="AV186" s="379">
        <v>0</v>
      </c>
      <c r="AW186" s="380">
        <v>0</v>
      </c>
      <c r="AX186" s="381">
        <v>1734748.7648046485</v>
      </c>
      <c r="AZ186" s="365">
        <v>0</v>
      </c>
      <c r="BA186" s="370">
        <v>0</v>
      </c>
      <c r="BB186" s="370">
        <v>0</v>
      </c>
      <c r="BC186" s="375">
        <v>1734748.7648046485</v>
      </c>
      <c r="BE186" s="365">
        <v>0</v>
      </c>
      <c r="BF186" s="370">
        <v>0</v>
      </c>
      <c r="BG186" s="370">
        <v>0</v>
      </c>
      <c r="BH186" s="375">
        <v>1734748.7648046485</v>
      </c>
      <c r="BJ186" s="365">
        <v>0</v>
      </c>
      <c r="BK186" s="370">
        <v>0</v>
      </c>
      <c r="BL186" s="370">
        <v>0</v>
      </c>
      <c r="BM186" s="375">
        <v>1734748.7648046485</v>
      </c>
      <c r="BO186" s="365">
        <v>0</v>
      </c>
      <c r="BP186" s="370">
        <v>0</v>
      </c>
      <c r="BQ186" s="370">
        <v>0</v>
      </c>
      <c r="BR186" s="375">
        <v>1734748.7648046485</v>
      </c>
      <c r="BT186" s="365">
        <v>0</v>
      </c>
      <c r="BU186" s="370">
        <v>0</v>
      </c>
      <c r="BV186" s="370">
        <v>0</v>
      </c>
      <c r="BW186" s="375">
        <v>1734748.7648046485</v>
      </c>
      <c r="BY186" s="365">
        <v>1474536.4500839512</v>
      </c>
      <c r="BZ186" s="373">
        <v>209480349.88859946</v>
      </c>
      <c r="CA186" s="375">
        <v>260212.31472069724</v>
      </c>
      <c r="CC186" s="365">
        <v>0</v>
      </c>
      <c r="CD186" s="375">
        <v>0</v>
      </c>
      <c r="CF186" s="365">
        <v>0</v>
      </c>
      <c r="CG186" s="375">
        <v>0</v>
      </c>
      <c r="CI186" s="365">
        <v>260212.31472069726</v>
      </c>
      <c r="CJ186" s="375">
        <v>1474536.4500839512</v>
      </c>
    </row>
    <row r="187" spans="5:88">
      <c r="G187" s="417">
        <v>183</v>
      </c>
      <c r="H187" s="251">
        <v>4</v>
      </c>
      <c r="I187" s="377">
        <v>1</v>
      </c>
      <c r="J187" s="368">
        <v>0</v>
      </c>
      <c r="K187" s="368">
        <v>3777055.500476893</v>
      </c>
      <c r="L187" s="369">
        <v>2046362.7212431505</v>
      </c>
      <c r="N187" s="367">
        <v>1730692.7792337425</v>
      </c>
      <c r="O187" s="370">
        <v>0</v>
      </c>
      <c r="P187" s="370">
        <v>0</v>
      </c>
      <c r="Q187" s="370">
        <v>0</v>
      </c>
      <c r="R187" s="370">
        <v>0</v>
      </c>
      <c r="S187" s="370">
        <v>0</v>
      </c>
      <c r="T187" s="379">
        <v>46046160</v>
      </c>
      <c r="U187" s="371">
        <v>0</v>
      </c>
      <c r="V187" s="371">
        <v>0</v>
      </c>
      <c r="W187" s="372">
        <v>1730692.7792337425</v>
      </c>
      <c r="X187" s="41"/>
      <c r="Y187" s="365">
        <v>0</v>
      </c>
      <c r="Z187" s="370">
        <v>0</v>
      </c>
      <c r="AA187" s="370">
        <v>0</v>
      </c>
      <c r="AB187" s="375">
        <v>1730692.7792337425</v>
      </c>
      <c r="AC187" s="41"/>
      <c r="AD187" s="449">
        <v>0</v>
      </c>
      <c r="AE187" s="365">
        <v>0</v>
      </c>
      <c r="AF187" s="375">
        <v>1730692.7792337425</v>
      </c>
      <c r="AH187" s="365">
        <v>0</v>
      </c>
      <c r="AI187" s="370">
        <v>0</v>
      </c>
      <c r="AJ187" s="370">
        <v>0</v>
      </c>
      <c r="AK187" s="375">
        <v>1730692.7792337425</v>
      </c>
      <c r="AM187" s="365">
        <v>0</v>
      </c>
      <c r="AN187" s="370">
        <v>0</v>
      </c>
      <c r="AO187" s="370">
        <v>0</v>
      </c>
      <c r="AP187" s="375">
        <v>1730692.7792337425</v>
      </c>
      <c r="AR187" s="365">
        <v>0</v>
      </c>
      <c r="AS187" s="375">
        <v>1730692.7792337425</v>
      </c>
      <c r="AU187" s="378">
        <v>0</v>
      </c>
      <c r="AV187" s="379">
        <v>0</v>
      </c>
      <c r="AW187" s="380">
        <v>0</v>
      </c>
      <c r="AX187" s="381">
        <v>1730692.7792337425</v>
      </c>
      <c r="AZ187" s="365">
        <v>0</v>
      </c>
      <c r="BA187" s="370">
        <v>0</v>
      </c>
      <c r="BB187" s="370">
        <v>0</v>
      </c>
      <c r="BC187" s="375">
        <v>1730692.7792337425</v>
      </c>
      <c r="BE187" s="365">
        <v>0</v>
      </c>
      <c r="BF187" s="370">
        <v>0</v>
      </c>
      <c r="BG187" s="370">
        <v>0</v>
      </c>
      <c r="BH187" s="375">
        <v>1730692.7792337425</v>
      </c>
      <c r="BJ187" s="365">
        <v>0</v>
      </c>
      <c r="BK187" s="370">
        <v>0</v>
      </c>
      <c r="BL187" s="370">
        <v>0</v>
      </c>
      <c r="BM187" s="375">
        <v>1730692.7792337425</v>
      </c>
      <c r="BO187" s="365">
        <v>0</v>
      </c>
      <c r="BP187" s="370">
        <v>0</v>
      </c>
      <c r="BQ187" s="370">
        <v>0</v>
      </c>
      <c r="BR187" s="375">
        <v>1730692.7792337425</v>
      </c>
      <c r="BT187" s="365">
        <v>0</v>
      </c>
      <c r="BU187" s="370">
        <v>0</v>
      </c>
      <c r="BV187" s="370">
        <v>0</v>
      </c>
      <c r="BW187" s="375">
        <v>1730692.7792337425</v>
      </c>
      <c r="BY187" s="365">
        <v>1471088.8623486811</v>
      </c>
      <c r="BZ187" s="373">
        <v>210951438.75094813</v>
      </c>
      <c r="CA187" s="375">
        <v>259603.91688506142</v>
      </c>
      <c r="CC187" s="365">
        <v>0</v>
      </c>
      <c r="CD187" s="375">
        <v>0</v>
      </c>
      <c r="CF187" s="365">
        <v>0</v>
      </c>
      <c r="CG187" s="375">
        <v>0</v>
      </c>
      <c r="CI187" s="365">
        <v>259603.91688506136</v>
      </c>
      <c r="CJ187" s="375">
        <v>1471088.8623486811</v>
      </c>
    </row>
    <row r="188" spans="5:88">
      <c r="G188" s="417">
        <v>184</v>
      </c>
      <c r="H188" s="251">
        <v>4</v>
      </c>
      <c r="I188" s="377">
        <v>1</v>
      </c>
      <c r="J188" s="368">
        <v>0</v>
      </c>
      <c r="K188" s="368">
        <v>3758147.1615870753</v>
      </c>
      <c r="L188" s="369">
        <v>2047503.1868180751</v>
      </c>
      <c r="N188" s="367">
        <v>1710643.9747690002</v>
      </c>
      <c r="O188" s="370">
        <v>0</v>
      </c>
      <c r="P188" s="370">
        <v>0</v>
      </c>
      <c r="Q188" s="370">
        <v>0</v>
      </c>
      <c r="R188" s="370">
        <v>0</v>
      </c>
      <c r="S188" s="370">
        <v>0</v>
      </c>
      <c r="T188" s="379">
        <v>46046160</v>
      </c>
      <c r="U188" s="371">
        <v>0</v>
      </c>
      <c r="V188" s="371">
        <v>0</v>
      </c>
      <c r="W188" s="372">
        <v>1710643.9747690002</v>
      </c>
      <c r="X188" s="41"/>
      <c r="Y188" s="365">
        <v>0</v>
      </c>
      <c r="Z188" s="370">
        <v>0</v>
      </c>
      <c r="AA188" s="370">
        <v>0</v>
      </c>
      <c r="AB188" s="375">
        <v>1710643.9747690002</v>
      </c>
      <c r="AC188" s="41"/>
      <c r="AD188" s="449">
        <v>0</v>
      </c>
      <c r="AE188" s="365">
        <v>0</v>
      </c>
      <c r="AF188" s="375">
        <v>1710643.9747690002</v>
      </c>
      <c r="AH188" s="365">
        <v>0</v>
      </c>
      <c r="AI188" s="370">
        <v>0</v>
      </c>
      <c r="AJ188" s="370">
        <v>0</v>
      </c>
      <c r="AK188" s="375">
        <v>1710643.9747690002</v>
      </c>
      <c r="AM188" s="365">
        <v>0</v>
      </c>
      <c r="AN188" s="370">
        <v>0</v>
      </c>
      <c r="AO188" s="370">
        <v>0</v>
      </c>
      <c r="AP188" s="375">
        <v>1710643.9747690002</v>
      </c>
      <c r="AR188" s="365">
        <v>0</v>
      </c>
      <c r="AS188" s="375">
        <v>1710643.9747690002</v>
      </c>
      <c r="AU188" s="378">
        <v>0</v>
      </c>
      <c r="AV188" s="379">
        <v>0</v>
      </c>
      <c r="AW188" s="380">
        <v>0</v>
      </c>
      <c r="AX188" s="381">
        <v>1710643.9747690002</v>
      </c>
      <c r="AZ188" s="365">
        <v>0</v>
      </c>
      <c r="BA188" s="370">
        <v>0</v>
      </c>
      <c r="BB188" s="370">
        <v>0</v>
      </c>
      <c r="BC188" s="375">
        <v>1710643.9747690002</v>
      </c>
      <c r="BE188" s="365">
        <v>0</v>
      </c>
      <c r="BF188" s="370">
        <v>0</v>
      </c>
      <c r="BG188" s="370">
        <v>0</v>
      </c>
      <c r="BH188" s="375">
        <v>1710643.9747690002</v>
      </c>
      <c r="BJ188" s="365">
        <v>0</v>
      </c>
      <c r="BK188" s="370">
        <v>0</v>
      </c>
      <c r="BL188" s="370">
        <v>0</v>
      </c>
      <c r="BM188" s="375">
        <v>1710643.9747690002</v>
      </c>
      <c r="BO188" s="365">
        <v>0</v>
      </c>
      <c r="BP188" s="370">
        <v>0</v>
      </c>
      <c r="BQ188" s="370">
        <v>0</v>
      </c>
      <c r="BR188" s="375">
        <v>1710643.9747690002</v>
      </c>
      <c r="BT188" s="365">
        <v>0</v>
      </c>
      <c r="BU188" s="370">
        <v>0</v>
      </c>
      <c r="BV188" s="370">
        <v>0</v>
      </c>
      <c r="BW188" s="375">
        <v>1710643.9747690002</v>
      </c>
      <c r="BY188" s="365">
        <v>1454047.3785536501</v>
      </c>
      <c r="BZ188" s="373">
        <v>212405486.12950179</v>
      </c>
      <c r="CA188" s="375">
        <v>256596.59621535009</v>
      </c>
      <c r="CC188" s="365">
        <v>0</v>
      </c>
      <c r="CD188" s="375">
        <v>0</v>
      </c>
      <c r="CF188" s="365">
        <v>0</v>
      </c>
      <c r="CG188" s="375">
        <v>0</v>
      </c>
      <c r="CI188" s="365">
        <v>256596.59621535003</v>
      </c>
      <c r="CJ188" s="375">
        <v>1454047.3785536501</v>
      </c>
    </row>
    <row r="189" spans="5:88">
      <c r="G189" s="417">
        <v>185</v>
      </c>
      <c r="H189" s="251">
        <v>4</v>
      </c>
      <c r="I189" s="377">
        <v>1</v>
      </c>
      <c r="J189" s="368">
        <v>0</v>
      </c>
      <c r="K189" s="368">
        <v>3760268.9848878784</v>
      </c>
      <c r="L189" s="369">
        <v>2048644.2879898634</v>
      </c>
      <c r="N189" s="367">
        <v>1711624.696898015</v>
      </c>
      <c r="O189" s="370">
        <v>0</v>
      </c>
      <c r="P189" s="370">
        <v>0</v>
      </c>
      <c r="Q189" s="370">
        <v>0</v>
      </c>
      <c r="R189" s="370">
        <v>0</v>
      </c>
      <c r="S189" s="370">
        <v>0</v>
      </c>
      <c r="T189" s="379">
        <v>46046160</v>
      </c>
      <c r="U189" s="371">
        <v>0</v>
      </c>
      <c r="V189" s="371">
        <v>0</v>
      </c>
      <c r="W189" s="372">
        <v>1711624.696898015</v>
      </c>
      <c r="X189" s="41"/>
      <c r="Y189" s="365">
        <v>0</v>
      </c>
      <c r="Z189" s="370">
        <v>0</v>
      </c>
      <c r="AA189" s="370">
        <v>0</v>
      </c>
      <c r="AB189" s="375">
        <v>1711624.696898015</v>
      </c>
      <c r="AC189" s="41"/>
      <c r="AD189" s="449">
        <v>0</v>
      </c>
      <c r="AE189" s="365">
        <v>0</v>
      </c>
      <c r="AF189" s="375">
        <v>1711624.696898015</v>
      </c>
      <c r="AH189" s="365">
        <v>0</v>
      </c>
      <c r="AI189" s="370">
        <v>0</v>
      </c>
      <c r="AJ189" s="370">
        <v>0</v>
      </c>
      <c r="AK189" s="375">
        <v>1711624.696898015</v>
      </c>
      <c r="AM189" s="365">
        <v>0</v>
      </c>
      <c r="AN189" s="370">
        <v>0</v>
      </c>
      <c r="AO189" s="370">
        <v>0</v>
      </c>
      <c r="AP189" s="375">
        <v>1711624.696898015</v>
      </c>
      <c r="AR189" s="365">
        <v>0</v>
      </c>
      <c r="AS189" s="375">
        <v>1711624.696898015</v>
      </c>
      <c r="AU189" s="378">
        <v>0</v>
      </c>
      <c r="AV189" s="379">
        <v>0</v>
      </c>
      <c r="AW189" s="380">
        <v>0</v>
      </c>
      <c r="AX189" s="381">
        <v>1711624.696898015</v>
      </c>
      <c r="AZ189" s="365">
        <v>0</v>
      </c>
      <c r="BA189" s="370">
        <v>0</v>
      </c>
      <c r="BB189" s="370">
        <v>0</v>
      </c>
      <c r="BC189" s="375">
        <v>1711624.696898015</v>
      </c>
      <c r="BE189" s="365">
        <v>0</v>
      </c>
      <c r="BF189" s="370">
        <v>0</v>
      </c>
      <c r="BG189" s="370">
        <v>0</v>
      </c>
      <c r="BH189" s="375">
        <v>1711624.696898015</v>
      </c>
      <c r="BJ189" s="365">
        <v>0</v>
      </c>
      <c r="BK189" s="370">
        <v>0</v>
      </c>
      <c r="BL189" s="370">
        <v>0</v>
      </c>
      <c r="BM189" s="375">
        <v>1711624.696898015</v>
      </c>
      <c r="BO189" s="365">
        <v>0</v>
      </c>
      <c r="BP189" s="370">
        <v>0</v>
      </c>
      <c r="BQ189" s="370">
        <v>0</v>
      </c>
      <c r="BR189" s="375">
        <v>1711624.696898015</v>
      </c>
      <c r="BT189" s="365">
        <v>0</v>
      </c>
      <c r="BU189" s="370">
        <v>0</v>
      </c>
      <c r="BV189" s="370">
        <v>0</v>
      </c>
      <c r="BW189" s="375">
        <v>1711624.696898015</v>
      </c>
      <c r="BY189" s="365">
        <v>1454880.9923633127</v>
      </c>
      <c r="BZ189" s="373">
        <v>213860367.12186509</v>
      </c>
      <c r="CA189" s="375">
        <v>256743.70453470224</v>
      </c>
      <c r="CC189" s="365">
        <v>0</v>
      </c>
      <c r="CD189" s="375">
        <v>0</v>
      </c>
      <c r="CF189" s="365">
        <v>0</v>
      </c>
      <c r="CG189" s="375">
        <v>0</v>
      </c>
      <c r="CI189" s="365">
        <v>256743.70453470224</v>
      </c>
      <c r="CJ189" s="375">
        <v>1454880.9923633127</v>
      </c>
    </row>
    <row r="190" spans="5:88">
      <c r="G190" s="417">
        <v>186</v>
      </c>
      <c r="H190" s="251">
        <v>4</v>
      </c>
      <c r="I190" s="377">
        <v>1</v>
      </c>
      <c r="J190" s="368">
        <v>0</v>
      </c>
      <c r="K190" s="368">
        <v>3827517.2232427225</v>
      </c>
      <c r="L190" s="369">
        <v>2049786.0251127421</v>
      </c>
      <c r="N190" s="367">
        <v>1777731.1981299804</v>
      </c>
      <c r="O190" s="370">
        <v>0</v>
      </c>
      <c r="P190" s="370">
        <v>0</v>
      </c>
      <c r="Q190" s="370">
        <v>0</v>
      </c>
      <c r="R190" s="370">
        <v>0</v>
      </c>
      <c r="S190" s="370">
        <v>0</v>
      </c>
      <c r="T190" s="379">
        <v>46046160</v>
      </c>
      <c r="U190" s="371">
        <v>0</v>
      </c>
      <c r="V190" s="371">
        <v>0</v>
      </c>
      <c r="W190" s="372">
        <v>1777731.1981299804</v>
      </c>
      <c r="X190" s="41"/>
      <c r="Y190" s="365">
        <v>0</v>
      </c>
      <c r="Z190" s="370">
        <v>0</v>
      </c>
      <c r="AA190" s="370">
        <v>0</v>
      </c>
      <c r="AB190" s="375">
        <v>1777731.1981299804</v>
      </c>
      <c r="AC190" s="41"/>
      <c r="AD190" s="449">
        <v>0</v>
      </c>
      <c r="AE190" s="365">
        <v>0</v>
      </c>
      <c r="AF190" s="375">
        <v>1777731.1981299804</v>
      </c>
      <c r="AH190" s="365">
        <v>0</v>
      </c>
      <c r="AI190" s="370">
        <v>0</v>
      </c>
      <c r="AJ190" s="370">
        <v>0</v>
      </c>
      <c r="AK190" s="375">
        <v>1777731.1981299804</v>
      </c>
      <c r="AM190" s="365">
        <v>0</v>
      </c>
      <c r="AN190" s="370">
        <v>0</v>
      </c>
      <c r="AO190" s="370">
        <v>0</v>
      </c>
      <c r="AP190" s="375">
        <v>1777731.1981299804</v>
      </c>
      <c r="AR190" s="365">
        <v>0</v>
      </c>
      <c r="AS190" s="375">
        <v>1777731.1981299804</v>
      </c>
      <c r="AU190" s="378">
        <v>0</v>
      </c>
      <c r="AV190" s="379">
        <v>0</v>
      </c>
      <c r="AW190" s="380">
        <v>0</v>
      </c>
      <c r="AX190" s="381">
        <v>1777731.1981299804</v>
      </c>
      <c r="AZ190" s="365">
        <v>0</v>
      </c>
      <c r="BA190" s="370">
        <v>0</v>
      </c>
      <c r="BB190" s="370">
        <v>0</v>
      </c>
      <c r="BC190" s="375">
        <v>1777731.1981299804</v>
      </c>
      <c r="BE190" s="365">
        <v>0</v>
      </c>
      <c r="BF190" s="370">
        <v>0</v>
      </c>
      <c r="BG190" s="370">
        <v>0</v>
      </c>
      <c r="BH190" s="375">
        <v>1777731.1981299804</v>
      </c>
      <c r="BJ190" s="365">
        <v>0</v>
      </c>
      <c r="BK190" s="370">
        <v>0</v>
      </c>
      <c r="BL190" s="370">
        <v>0</v>
      </c>
      <c r="BM190" s="375">
        <v>1777731.1981299804</v>
      </c>
      <c r="BO190" s="365">
        <v>0</v>
      </c>
      <c r="BP190" s="370">
        <v>0</v>
      </c>
      <c r="BQ190" s="370">
        <v>0</v>
      </c>
      <c r="BR190" s="375">
        <v>1777731.1981299804</v>
      </c>
      <c r="BT190" s="365">
        <v>0</v>
      </c>
      <c r="BU190" s="370">
        <v>0</v>
      </c>
      <c r="BV190" s="370">
        <v>0</v>
      </c>
      <c r="BW190" s="375">
        <v>1777731.1981299804</v>
      </c>
      <c r="BY190" s="365">
        <v>1511071.5184104834</v>
      </c>
      <c r="BZ190" s="373">
        <v>215371438.64027557</v>
      </c>
      <c r="CA190" s="375">
        <v>266659.67971949698</v>
      </c>
      <c r="CC190" s="365">
        <v>0</v>
      </c>
      <c r="CD190" s="375">
        <v>0</v>
      </c>
      <c r="CF190" s="365">
        <v>0</v>
      </c>
      <c r="CG190" s="375">
        <v>0</v>
      </c>
      <c r="CI190" s="365">
        <v>266659.67971949704</v>
      </c>
      <c r="CJ190" s="375">
        <v>1511071.5184104834</v>
      </c>
    </row>
    <row r="191" spans="5:88">
      <c r="G191" s="417">
        <v>187</v>
      </c>
      <c r="H191" s="251">
        <v>4</v>
      </c>
      <c r="I191" s="377">
        <v>0</v>
      </c>
      <c r="J191" s="368">
        <v>0</v>
      </c>
      <c r="K191" s="368">
        <v>4138763.130828375</v>
      </c>
      <c r="L191" s="369">
        <v>2050928.3985411352</v>
      </c>
      <c r="N191" s="367">
        <v>2087834.7322872397</v>
      </c>
      <c r="O191" s="370">
        <v>0</v>
      </c>
      <c r="P191" s="370">
        <v>0</v>
      </c>
      <c r="Q191" s="370">
        <v>0</v>
      </c>
      <c r="R191" s="370">
        <v>0</v>
      </c>
      <c r="S191" s="370">
        <v>0</v>
      </c>
      <c r="T191" s="379">
        <v>46046160</v>
      </c>
      <c r="U191" s="371">
        <v>0</v>
      </c>
      <c r="V191" s="371">
        <v>0</v>
      </c>
      <c r="W191" s="372">
        <v>2087834.7322872397</v>
      </c>
      <c r="X191" s="41"/>
      <c r="Y191" s="365">
        <v>0</v>
      </c>
      <c r="Z191" s="370">
        <v>0</v>
      </c>
      <c r="AA191" s="370">
        <v>0</v>
      </c>
      <c r="AB191" s="375">
        <v>2087834.7322872397</v>
      </c>
      <c r="AC191" s="41"/>
      <c r="AD191" s="449">
        <v>0</v>
      </c>
      <c r="AE191" s="365">
        <v>0</v>
      </c>
      <c r="AF191" s="375">
        <v>2087834.7322872397</v>
      </c>
      <c r="AH191" s="365">
        <v>0</v>
      </c>
      <c r="AI191" s="370">
        <v>0</v>
      </c>
      <c r="AJ191" s="370">
        <v>0</v>
      </c>
      <c r="AK191" s="375">
        <v>2087834.7322872397</v>
      </c>
      <c r="AM191" s="365">
        <v>0</v>
      </c>
      <c r="AN191" s="370">
        <v>0</v>
      </c>
      <c r="AO191" s="370">
        <v>0</v>
      </c>
      <c r="AP191" s="375">
        <v>2087834.7322872397</v>
      </c>
      <c r="AR191" s="365">
        <v>0</v>
      </c>
      <c r="AS191" s="375">
        <v>2087834.7322872397</v>
      </c>
      <c r="AU191" s="378">
        <v>0</v>
      </c>
      <c r="AV191" s="379">
        <v>0</v>
      </c>
      <c r="AW191" s="380">
        <v>0</v>
      </c>
      <c r="AX191" s="381">
        <v>2087834.7322872397</v>
      </c>
      <c r="AZ191" s="365">
        <v>0</v>
      </c>
      <c r="BA191" s="370">
        <v>0</v>
      </c>
      <c r="BB191" s="370">
        <v>0</v>
      </c>
      <c r="BC191" s="375">
        <v>2087834.7322872397</v>
      </c>
      <c r="BE191" s="365">
        <v>0</v>
      </c>
      <c r="BF191" s="370">
        <v>0</v>
      </c>
      <c r="BG191" s="370">
        <v>0</v>
      </c>
      <c r="BH191" s="375">
        <v>2087834.7322872397</v>
      </c>
      <c r="BJ191" s="365">
        <v>0</v>
      </c>
      <c r="BK191" s="370">
        <v>0</v>
      </c>
      <c r="BL191" s="370">
        <v>0</v>
      </c>
      <c r="BM191" s="375">
        <v>2087834.7322872397</v>
      </c>
      <c r="BO191" s="365">
        <v>0</v>
      </c>
      <c r="BP191" s="370">
        <v>0</v>
      </c>
      <c r="BQ191" s="370">
        <v>0</v>
      </c>
      <c r="BR191" s="375">
        <v>2087834.7322872397</v>
      </c>
      <c r="BT191" s="365">
        <v>0</v>
      </c>
      <c r="BU191" s="370">
        <v>0</v>
      </c>
      <c r="BV191" s="370">
        <v>0</v>
      </c>
      <c r="BW191" s="375">
        <v>2087834.7322872397</v>
      </c>
      <c r="BY191" s="365">
        <v>1774659.5224441537</v>
      </c>
      <c r="BZ191" s="373">
        <v>217146098.16271973</v>
      </c>
      <c r="CA191" s="375">
        <v>313175.20984308608</v>
      </c>
      <c r="CC191" s="365">
        <v>0</v>
      </c>
      <c r="CD191" s="375">
        <v>0</v>
      </c>
      <c r="CF191" s="365">
        <v>0</v>
      </c>
      <c r="CG191" s="375">
        <v>0</v>
      </c>
      <c r="CI191" s="365">
        <v>313175.20984308596</v>
      </c>
      <c r="CJ191" s="375">
        <v>1774659.5224441537</v>
      </c>
    </row>
    <row r="192" spans="5:88">
      <c r="G192" s="417">
        <v>188</v>
      </c>
      <c r="H192" s="251">
        <v>4</v>
      </c>
      <c r="I192" s="377">
        <v>0</v>
      </c>
      <c r="J192" s="368">
        <v>0</v>
      </c>
      <c r="K192" s="368">
        <v>4138763.130828375</v>
      </c>
      <c r="L192" s="369">
        <v>2052071.4086296645</v>
      </c>
      <c r="N192" s="367">
        <v>2086691.7221987105</v>
      </c>
      <c r="O192" s="370">
        <v>0</v>
      </c>
      <c r="P192" s="370">
        <v>0</v>
      </c>
      <c r="Q192" s="370">
        <v>0</v>
      </c>
      <c r="R192" s="370">
        <v>0</v>
      </c>
      <c r="S192" s="370">
        <v>0</v>
      </c>
      <c r="T192" s="379">
        <v>46046160</v>
      </c>
      <c r="U192" s="371">
        <v>0</v>
      </c>
      <c r="V192" s="371">
        <v>0</v>
      </c>
      <c r="W192" s="372">
        <v>2086691.7221987105</v>
      </c>
      <c r="X192" s="41"/>
      <c r="Y192" s="365">
        <v>0</v>
      </c>
      <c r="Z192" s="370">
        <v>0</v>
      </c>
      <c r="AA192" s="370">
        <v>0</v>
      </c>
      <c r="AB192" s="375">
        <v>2086691.7221987105</v>
      </c>
      <c r="AC192" s="41"/>
      <c r="AD192" s="449">
        <v>0</v>
      </c>
      <c r="AE192" s="365">
        <v>0</v>
      </c>
      <c r="AF192" s="375">
        <v>2086691.7221987105</v>
      </c>
      <c r="AH192" s="365">
        <v>0</v>
      </c>
      <c r="AI192" s="370">
        <v>0</v>
      </c>
      <c r="AJ192" s="370">
        <v>0</v>
      </c>
      <c r="AK192" s="375">
        <v>2086691.7221987105</v>
      </c>
      <c r="AM192" s="365">
        <v>0</v>
      </c>
      <c r="AN192" s="370">
        <v>0</v>
      </c>
      <c r="AO192" s="370">
        <v>0</v>
      </c>
      <c r="AP192" s="375">
        <v>2086691.7221987105</v>
      </c>
      <c r="AR192" s="365">
        <v>0</v>
      </c>
      <c r="AS192" s="375">
        <v>2086691.7221987105</v>
      </c>
      <c r="AU192" s="378">
        <v>0</v>
      </c>
      <c r="AV192" s="379">
        <v>0</v>
      </c>
      <c r="AW192" s="380">
        <v>0</v>
      </c>
      <c r="AX192" s="381">
        <v>2086691.7221987105</v>
      </c>
      <c r="AZ192" s="365">
        <v>0</v>
      </c>
      <c r="BA192" s="370">
        <v>0</v>
      </c>
      <c r="BB192" s="370">
        <v>0</v>
      </c>
      <c r="BC192" s="375">
        <v>2086691.7221987105</v>
      </c>
      <c r="BE192" s="365">
        <v>0</v>
      </c>
      <c r="BF192" s="370">
        <v>0</v>
      </c>
      <c r="BG192" s="370">
        <v>0</v>
      </c>
      <c r="BH192" s="375">
        <v>2086691.7221987105</v>
      </c>
      <c r="BJ192" s="365">
        <v>0</v>
      </c>
      <c r="BK192" s="370">
        <v>0</v>
      </c>
      <c r="BL192" s="370">
        <v>0</v>
      </c>
      <c r="BM192" s="375">
        <v>2086691.7221987105</v>
      </c>
      <c r="BO192" s="365">
        <v>0</v>
      </c>
      <c r="BP192" s="370">
        <v>0</v>
      </c>
      <c r="BQ192" s="370">
        <v>0</v>
      </c>
      <c r="BR192" s="375">
        <v>2086691.7221987105</v>
      </c>
      <c r="BT192" s="365">
        <v>0</v>
      </c>
      <c r="BU192" s="370">
        <v>0</v>
      </c>
      <c r="BV192" s="370">
        <v>0</v>
      </c>
      <c r="BW192" s="375">
        <v>2086691.7221987105</v>
      </c>
      <c r="BY192" s="365">
        <v>1773687.9638689039</v>
      </c>
      <c r="BZ192" s="373">
        <v>218919786.12658864</v>
      </c>
      <c r="CA192" s="375">
        <v>313003.75832980662</v>
      </c>
      <c r="CC192" s="365">
        <v>0</v>
      </c>
      <c r="CD192" s="375">
        <v>0</v>
      </c>
      <c r="CF192" s="365">
        <v>0</v>
      </c>
      <c r="CG192" s="375">
        <v>0</v>
      </c>
      <c r="CI192" s="365">
        <v>313003.75832980656</v>
      </c>
      <c r="CJ192" s="375">
        <v>1773687.9638689039</v>
      </c>
    </row>
    <row r="193" spans="5:88">
      <c r="G193" s="417">
        <v>189</v>
      </c>
      <c r="H193" s="251">
        <v>4</v>
      </c>
      <c r="I193" s="377">
        <v>1</v>
      </c>
      <c r="J193" s="368">
        <v>0</v>
      </c>
      <c r="K193" s="368">
        <v>3871120.0178216193</v>
      </c>
      <c r="L193" s="369">
        <v>2053215.0557331494</v>
      </c>
      <c r="N193" s="367">
        <v>1817904.9620884699</v>
      </c>
      <c r="O193" s="370">
        <v>0</v>
      </c>
      <c r="P193" s="370">
        <v>0</v>
      </c>
      <c r="Q193" s="370">
        <v>0</v>
      </c>
      <c r="R193" s="370">
        <v>0</v>
      </c>
      <c r="S193" s="370">
        <v>0</v>
      </c>
      <c r="T193" s="379">
        <v>46046160</v>
      </c>
      <c r="U193" s="371">
        <v>0</v>
      </c>
      <c r="V193" s="371">
        <v>0</v>
      </c>
      <c r="W193" s="372">
        <v>1817904.9620884699</v>
      </c>
      <c r="X193" s="41"/>
      <c r="Y193" s="365">
        <v>0</v>
      </c>
      <c r="Z193" s="370">
        <v>0</v>
      </c>
      <c r="AA193" s="370">
        <v>0</v>
      </c>
      <c r="AB193" s="375">
        <v>1817904.9620884699</v>
      </c>
      <c r="AC193" s="41"/>
      <c r="AD193" s="449">
        <v>0</v>
      </c>
      <c r="AE193" s="365">
        <v>0</v>
      </c>
      <c r="AF193" s="375">
        <v>1817904.9620884699</v>
      </c>
      <c r="AH193" s="365">
        <v>0</v>
      </c>
      <c r="AI193" s="370">
        <v>0</v>
      </c>
      <c r="AJ193" s="370">
        <v>0</v>
      </c>
      <c r="AK193" s="375">
        <v>1817904.9620884699</v>
      </c>
      <c r="AM193" s="365">
        <v>0</v>
      </c>
      <c r="AN193" s="370">
        <v>0</v>
      </c>
      <c r="AO193" s="370">
        <v>0</v>
      </c>
      <c r="AP193" s="375">
        <v>1817904.9620884699</v>
      </c>
      <c r="AR193" s="365">
        <v>0</v>
      </c>
      <c r="AS193" s="375">
        <v>1817904.9620884699</v>
      </c>
      <c r="AU193" s="378">
        <v>0</v>
      </c>
      <c r="AV193" s="379">
        <v>0</v>
      </c>
      <c r="AW193" s="380">
        <v>0</v>
      </c>
      <c r="AX193" s="381">
        <v>1817904.9620884699</v>
      </c>
      <c r="AZ193" s="365">
        <v>0</v>
      </c>
      <c r="BA193" s="370">
        <v>0</v>
      </c>
      <c r="BB193" s="370">
        <v>0</v>
      </c>
      <c r="BC193" s="375">
        <v>1817904.9620884699</v>
      </c>
      <c r="BE193" s="365">
        <v>0</v>
      </c>
      <c r="BF193" s="370">
        <v>0</v>
      </c>
      <c r="BG193" s="370">
        <v>0</v>
      </c>
      <c r="BH193" s="375">
        <v>1817904.9620884699</v>
      </c>
      <c r="BJ193" s="365">
        <v>0</v>
      </c>
      <c r="BK193" s="370">
        <v>0</v>
      </c>
      <c r="BL193" s="370">
        <v>0</v>
      </c>
      <c r="BM193" s="375">
        <v>1817904.9620884699</v>
      </c>
      <c r="BO193" s="365">
        <v>0</v>
      </c>
      <c r="BP193" s="370">
        <v>0</v>
      </c>
      <c r="BQ193" s="370">
        <v>0</v>
      </c>
      <c r="BR193" s="375">
        <v>1817904.9620884699</v>
      </c>
      <c r="BT193" s="365">
        <v>0</v>
      </c>
      <c r="BU193" s="370">
        <v>0</v>
      </c>
      <c r="BV193" s="370">
        <v>0</v>
      </c>
      <c r="BW193" s="375">
        <v>1817904.9620884699</v>
      </c>
      <c r="BY193" s="365">
        <v>1545219.2177751993</v>
      </c>
      <c r="BZ193" s="373">
        <v>220465005.34436384</v>
      </c>
      <c r="CA193" s="375">
        <v>272685.74431327055</v>
      </c>
      <c r="CC193" s="365">
        <v>0</v>
      </c>
      <c r="CD193" s="375">
        <v>0</v>
      </c>
      <c r="CF193" s="365">
        <v>0</v>
      </c>
      <c r="CG193" s="375">
        <v>0</v>
      </c>
      <c r="CI193" s="365">
        <v>272685.74431327049</v>
      </c>
      <c r="CJ193" s="375">
        <v>1545219.2177751993</v>
      </c>
    </row>
    <row r="194" spans="5:88">
      <c r="G194" s="417">
        <v>190</v>
      </c>
      <c r="H194" s="251">
        <v>4</v>
      </c>
      <c r="I194" s="377">
        <v>1</v>
      </c>
      <c r="J194" s="368">
        <v>0</v>
      </c>
      <c r="K194" s="368">
        <v>3800813.3603523057</v>
      </c>
      <c r="L194" s="369">
        <v>2054359.3402066065</v>
      </c>
      <c r="N194" s="367">
        <v>1746454.0201456991</v>
      </c>
      <c r="O194" s="370">
        <v>0</v>
      </c>
      <c r="P194" s="370">
        <v>0</v>
      </c>
      <c r="Q194" s="370">
        <v>0</v>
      </c>
      <c r="R194" s="370">
        <v>0</v>
      </c>
      <c r="S194" s="370">
        <v>0</v>
      </c>
      <c r="T194" s="379">
        <v>46046160</v>
      </c>
      <c r="U194" s="371">
        <v>0</v>
      </c>
      <c r="V194" s="371">
        <v>0</v>
      </c>
      <c r="W194" s="372">
        <v>1746454.0201456991</v>
      </c>
      <c r="X194" s="41"/>
      <c r="Y194" s="365">
        <v>0</v>
      </c>
      <c r="Z194" s="370">
        <v>0</v>
      </c>
      <c r="AA194" s="370">
        <v>0</v>
      </c>
      <c r="AB194" s="375">
        <v>1746454.0201456991</v>
      </c>
      <c r="AC194" s="41"/>
      <c r="AD194" s="449">
        <v>0</v>
      </c>
      <c r="AE194" s="365">
        <v>0</v>
      </c>
      <c r="AF194" s="375">
        <v>1746454.0201456991</v>
      </c>
      <c r="AH194" s="365">
        <v>0</v>
      </c>
      <c r="AI194" s="370">
        <v>0</v>
      </c>
      <c r="AJ194" s="370">
        <v>0</v>
      </c>
      <c r="AK194" s="375">
        <v>1746454.0201456991</v>
      </c>
      <c r="AM194" s="365">
        <v>0</v>
      </c>
      <c r="AN194" s="370">
        <v>0</v>
      </c>
      <c r="AO194" s="370">
        <v>0</v>
      </c>
      <c r="AP194" s="375">
        <v>1746454.0201456991</v>
      </c>
      <c r="AR194" s="365">
        <v>0</v>
      </c>
      <c r="AS194" s="375">
        <v>1746454.0201456991</v>
      </c>
      <c r="AU194" s="378">
        <v>0</v>
      </c>
      <c r="AV194" s="379">
        <v>0</v>
      </c>
      <c r="AW194" s="380">
        <v>0</v>
      </c>
      <c r="AX194" s="381">
        <v>1746454.0201456991</v>
      </c>
      <c r="AZ194" s="365">
        <v>0</v>
      </c>
      <c r="BA194" s="370">
        <v>0</v>
      </c>
      <c r="BB194" s="370">
        <v>0</v>
      </c>
      <c r="BC194" s="375">
        <v>1746454.0201456991</v>
      </c>
      <c r="BE194" s="365">
        <v>0</v>
      </c>
      <c r="BF194" s="370">
        <v>0</v>
      </c>
      <c r="BG194" s="370">
        <v>0</v>
      </c>
      <c r="BH194" s="375">
        <v>1746454.0201456991</v>
      </c>
      <c r="BJ194" s="365">
        <v>0</v>
      </c>
      <c r="BK194" s="370">
        <v>0</v>
      </c>
      <c r="BL194" s="370">
        <v>0</v>
      </c>
      <c r="BM194" s="375">
        <v>1746454.0201456991</v>
      </c>
      <c r="BO194" s="365">
        <v>0</v>
      </c>
      <c r="BP194" s="370">
        <v>0</v>
      </c>
      <c r="BQ194" s="370">
        <v>0</v>
      </c>
      <c r="BR194" s="375">
        <v>1746454.0201456991</v>
      </c>
      <c r="BT194" s="365">
        <v>0</v>
      </c>
      <c r="BU194" s="370">
        <v>0</v>
      </c>
      <c r="BV194" s="370">
        <v>0</v>
      </c>
      <c r="BW194" s="375">
        <v>1746454.0201456991</v>
      </c>
      <c r="BY194" s="365">
        <v>1484485.9171238441</v>
      </c>
      <c r="BZ194" s="373">
        <v>221949491.26148769</v>
      </c>
      <c r="CA194" s="375">
        <v>261968.103021855</v>
      </c>
      <c r="CC194" s="365">
        <v>0</v>
      </c>
      <c r="CD194" s="375">
        <v>0</v>
      </c>
      <c r="CF194" s="365">
        <v>0</v>
      </c>
      <c r="CG194" s="375">
        <v>0</v>
      </c>
      <c r="CI194" s="365">
        <v>261968.10302185485</v>
      </c>
      <c r="CJ194" s="375">
        <v>1484485.9171238441</v>
      </c>
    </row>
    <row r="195" spans="5:88">
      <c r="G195" s="417">
        <v>191</v>
      </c>
      <c r="H195" s="251">
        <v>4</v>
      </c>
      <c r="I195" s="377">
        <v>0</v>
      </c>
      <c r="J195" s="368">
        <v>0</v>
      </c>
      <c r="K195" s="368">
        <v>4145469.8977903705</v>
      </c>
      <c r="L195" s="369">
        <v>2055504.2624052512</v>
      </c>
      <c r="N195" s="367">
        <v>2089965.6353851194</v>
      </c>
      <c r="O195" s="370">
        <v>0</v>
      </c>
      <c r="P195" s="370">
        <v>0</v>
      </c>
      <c r="Q195" s="370">
        <v>0</v>
      </c>
      <c r="R195" s="370">
        <v>0</v>
      </c>
      <c r="S195" s="370">
        <v>0</v>
      </c>
      <c r="T195" s="379">
        <v>46046160</v>
      </c>
      <c r="U195" s="371">
        <v>0</v>
      </c>
      <c r="V195" s="371">
        <v>0</v>
      </c>
      <c r="W195" s="372">
        <v>2089965.6353851194</v>
      </c>
      <c r="X195" s="41"/>
      <c r="Y195" s="365">
        <v>0</v>
      </c>
      <c r="Z195" s="370">
        <v>0</v>
      </c>
      <c r="AA195" s="370">
        <v>0</v>
      </c>
      <c r="AB195" s="375">
        <v>2089965.6353851194</v>
      </c>
      <c r="AC195" s="41"/>
      <c r="AD195" s="449">
        <v>0</v>
      </c>
      <c r="AE195" s="365">
        <v>0</v>
      </c>
      <c r="AF195" s="375">
        <v>2089965.6353851194</v>
      </c>
      <c r="AH195" s="365">
        <v>0</v>
      </c>
      <c r="AI195" s="370">
        <v>0</v>
      </c>
      <c r="AJ195" s="370">
        <v>0</v>
      </c>
      <c r="AK195" s="375">
        <v>2089965.6353851194</v>
      </c>
      <c r="AM195" s="365">
        <v>0</v>
      </c>
      <c r="AN195" s="370">
        <v>0</v>
      </c>
      <c r="AO195" s="370">
        <v>0</v>
      </c>
      <c r="AP195" s="375">
        <v>2089965.6353851194</v>
      </c>
      <c r="AR195" s="365">
        <v>0</v>
      </c>
      <c r="AS195" s="375">
        <v>2089965.6353851194</v>
      </c>
      <c r="AU195" s="378">
        <v>0</v>
      </c>
      <c r="AV195" s="379">
        <v>0</v>
      </c>
      <c r="AW195" s="380">
        <v>0</v>
      </c>
      <c r="AX195" s="381">
        <v>2089965.6353851194</v>
      </c>
      <c r="AZ195" s="365">
        <v>0</v>
      </c>
      <c r="BA195" s="370">
        <v>0</v>
      </c>
      <c r="BB195" s="370">
        <v>0</v>
      </c>
      <c r="BC195" s="375">
        <v>2089965.6353851194</v>
      </c>
      <c r="BE195" s="365">
        <v>0</v>
      </c>
      <c r="BF195" s="370">
        <v>0</v>
      </c>
      <c r="BG195" s="370">
        <v>0</v>
      </c>
      <c r="BH195" s="375">
        <v>2089965.6353851194</v>
      </c>
      <c r="BJ195" s="365">
        <v>0</v>
      </c>
      <c r="BK195" s="370">
        <v>0</v>
      </c>
      <c r="BL195" s="370">
        <v>0</v>
      </c>
      <c r="BM195" s="375">
        <v>2089965.6353851194</v>
      </c>
      <c r="BO195" s="365">
        <v>0</v>
      </c>
      <c r="BP195" s="370">
        <v>0</v>
      </c>
      <c r="BQ195" s="370">
        <v>0</v>
      </c>
      <c r="BR195" s="375">
        <v>2089965.6353851194</v>
      </c>
      <c r="BT195" s="365">
        <v>0</v>
      </c>
      <c r="BU195" s="370">
        <v>0</v>
      </c>
      <c r="BV195" s="370">
        <v>0</v>
      </c>
      <c r="BW195" s="375">
        <v>2089965.6353851194</v>
      </c>
      <c r="BY195" s="365">
        <v>1776470.7900773515</v>
      </c>
      <c r="BZ195" s="373">
        <v>223725962.05156505</v>
      </c>
      <c r="CA195" s="375">
        <v>313494.84530776786</v>
      </c>
      <c r="CC195" s="365">
        <v>0</v>
      </c>
      <c r="CD195" s="375">
        <v>0</v>
      </c>
      <c r="CF195" s="365">
        <v>0</v>
      </c>
      <c r="CG195" s="375">
        <v>0</v>
      </c>
      <c r="CI195" s="365">
        <v>313494.84530776792</v>
      </c>
      <c r="CJ195" s="375">
        <v>1776470.7900773515</v>
      </c>
    </row>
    <row r="196" spans="5:88">
      <c r="G196" s="417">
        <v>192</v>
      </c>
      <c r="H196" s="251">
        <v>7</v>
      </c>
      <c r="I196" s="377">
        <v>0</v>
      </c>
      <c r="J196" s="368">
        <v>11912760</v>
      </c>
      <c r="K196" s="368">
        <v>3098477.7200360186</v>
      </c>
      <c r="L196" s="369">
        <v>1530801.8566572103</v>
      </c>
      <c r="N196" s="367">
        <v>13480435.863378808</v>
      </c>
      <c r="O196" s="370">
        <v>0</v>
      </c>
      <c r="P196" s="370">
        <v>0</v>
      </c>
      <c r="Q196" s="370">
        <v>0</v>
      </c>
      <c r="R196" s="370">
        <v>0</v>
      </c>
      <c r="S196" s="370">
        <v>0</v>
      </c>
      <c r="T196" s="379">
        <v>34133400</v>
      </c>
      <c r="U196" s="371">
        <v>0</v>
      </c>
      <c r="V196" s="371">
        <v>0</v>
      </c>
      <c r="W196" s="372">
        <v>13480435.863378808</v>
      </c>
      <c r="X196" s="103"/>
      <c r="Y196" s="365">
        <v>0</v>
      </c>
      <c r="Z196" s="370">
        <v>0</v>
      </c>
      <c r="AA196" s="370">
        <v>0</v>
      </c>
      <c r="AB196" s="375">
        <v>13480435.863378808</v>
      </c>
      <c r="AC196" s="41"/>
      <c r="AD196" s="449">
        <v>0</v>
      </c>
      <c r="AE196" s="365">
        <v>0</v>
      </c>
      <c r="AF196" s="375">
        <v>13480435.863378808</v>
      </c>
      <c r="AH196" s="365">
        <v>0</v>
      </c>
      <c r="AI196" s="370">
        <v>0</v>
      </c>
      <c r="AJ196" s="370">
        <v>0</v>
      </c>
      <c r="AK196" s="375">
        <v>13480435.863378808</v>
      </c>
      <c r="AM196" s="365">
        <v>0</v>
      </c>
      <c r="AN196" s="370">
        <v>0</v>
      </c>
      <c r="AO196" s="370">
        <v>0</v>
      </c>
      <c r="AP196" s="375">
        <v>13480435.863378808</v>
      </c>
      <c r="AR196" s="365">
        <v>0</v>
      </c>
      <c r="AS196" s="375">
        <v>13480435.863378808</v>
      </c>
      <c r="AU196" s="378">
        <v>0</v>
      </c>
      <c r="AV196" s="379">
        <v>0</v>
      </c>
      <c r="AW196" s="380">
        <v>0</v>
      </c>
      <c r="AX196" s="381">
        <v>13480435.863378808</v>
      </c>
      <c r="AZ196" s="365">
        <v>0</v>
      </c>
      <c r="BA196" s="370">
        <v>0</v>
      </c>
      <c r="BB196" s="370">
        <v>0</v>
      </c>
      <c r="BC196" s="375">
        <v>13480435.863378808</v>
      </c>
      <c r="BE196" s="365">
        <v>0</v>
      </c>
      <c r="BF196" s="370">
        <v>0</v>
      </c>
      <c r="BG196" s="370">
        <v>0</v>
      </c>
      <c r="BH196" s="375">
        <v>13480435.863378808</v>
      </c>
      <c r="BJ196" s="365">
        <v>0</v>
      </c>
      <c r="BK196" s="370">
        <v>0</v>
      </c>
      <c r="BL196" s="370">
        <v>0</v>
      </c>
      <c r="BM196" s="375">
        <v>13480435.863378808</v>
      </c>
      <c r="BO196" s="365">
        <v>0</v>
      </c>
      <c r="BP196" s="370">
        <v>0</v>
      </c>
      <c r="BQ196" s="370">
        <v>0</v>
      </c>
      <c r="BR196" s="375">
        <v>13480435.863378808</v>
      </c>
      <c r="BT196" s="365">
        <v>0</v>
      </c>
      <c r="BU196" s="370">
        <v>0</v>
      </c>
      <c r="BV196" s="370">
        <v>0</v>
      </c>
      <c r="BW196" s="375">
        <v>13480435.863378808</v>
      </c>
      <c r="BY196" s="365">
        <v>11458370.483871987</v>
      </c>
      <c r="BZ196" s="373">
        <v>235184332.53543705</v>
      </c>
      <c r="CA196" s="375">
        <v>2022065.3795068208</v>
      </c>
      <c r="CC196" s="365">
        <v>0</v>
      </c>
      <c r="CD196" s="375">
        <v>0</v>
      </c>
      <c r="CF196" s="365">
        <v>0</v>
      </c>
      <c r="CG196" s="375">
        <v>0</v>
      </c>
      <c r="CI196" s="365">
        <v>2022065.379506821</v>
      </c>
      <c r="CJ196" s="375">
        <v>11458370.483871987</v>
      </c>
    </row>
    <row r="197" spans="5:88">
      <c r="G197" s="417">
        <v>193</v>
      </c>
      <c r="H197" s="251">
        <v>7</v>
      </c>
      <c r="I197" s="377">
        <v>0</v>
      </c>
      <c r="J197" s="368">
        <v>0</v>
      </c>
      <c r="K197" s="368">
        <v>3098477.7200360186</v>
      </c>
      <c r="L197" s="369">
        <v>1531654.993201101</v>
      </c>
      <c r="N197" s="367">
        <v>1566822.7268349177</v>
      </c>
      <c r="O197" s="370">
        <v>0</v>
      </c>
      <c r="P197" s="370">
        <v>0</v>
      </c>
      <c r="Q197" s="370">
        <v>0</v>
      </c>
      <c r="R197" s="370">
        <v>0</v>
      </c>
      <c r="S197" s="370">
        <v>0</v>
      </c>
      <c r="T197" s="379">
        <v>34133400</v>
      </c>
      <c r="U197" s="371">
        <v>0</v>
      </c>
      <c r="V197" s="371">
        <v>0</v>
      </c>
      <c r="W197" s="372">
        <v>1566822.7268349177</v>
      </c>
      <c r="X197" s="41"/>
      <c r="Y197" s="365">
        <v>0</v>
      </c>
      <c r="Z197" s="370">
        <v>0</v>
      </c>
      <c r="AA197" s="370">
        <v>0</v>
      </c>
      <c r="AB197" s="375">
        <v>1566822.7268349177</v>
      </c>
      <c r="AC197" s="41"/>
      <c r="AD197" s="449">
        <v>0</v>
      </c>
      <c r="AE197" s="365">
        <v>0</v>
      </c>
      <c r="AF197" s="375">
        <v>1566822.7268349177</v>
      </c>
      <c r="AH197" s="365">
        <v>0</v>
      </c>
      <c r="AI197" s="370">
        <v>0</v>
      </c>
      <c r="AJ197" s="370">
        <v>0</v>
      </c>
      <c r="AK197" s="375">
        <v>1566822.7268349177</v>
      </c>
      <c r="AM197" s="365">
        <v>0</v>
      </c>
      <c r="AN197" s="370">
        <v>0</v>
      </c>
      <c r="AO197" s="370">
        <v>0</v>
      </c>
      <c r="AP197" s="375">
        <v>1566822.7268349177</v>
      </c>
      <c r="AR197" s="365">
        <v>0</v>
      </c>
      <c r="AS197" s="375">
        <v>1566822.7268349177</v>
      </c>
      <c r="AU197" s="378">
        <v>0</v>
      </c>
      <c r="AV197" s="379">
        <v>0</v>
      </c>
      <c r="AW197" s="380">
        <v>0</v>
      </c>
      <c r="AX197" s="381">
        <v>1566822.7268349177</v>
      </c>
      <c r="AZ197" s="365">
        <v>0</v>
      </c>
      <c r="BA197" s="370">
        <v>0</v>
      </c>
      <c r="BB197" s="370">
        <v>0</v>
      </c>
      <c r="BC197" s="375">
        <v>1566822.7268349177</v>
      </c>
      <c r="BE197" s="365">
        <v>0</v>
      </c>
      <c r="BF197" s="370">
        <v>0</v>
      </c>
      <c r="BG197" s="370">
        <v>0</v>
      </c>
      <c r="BH197" s="375">
        <v>1566822.7268349177</v>
      </c>
      <c r="BJ197" s="365">
        <v>0</v>
      </c>
      <c r="BK197" s="370">
        <v>0</v>
      </c>
      <c r="BL197" s="370">
        <v>0</v>
      </c>
      <c r="BM197" s="375">
        <v>1566822.7268349177</v>
      </c>
      <c r="BO197" s="365">
        <v>0</v>
      </c>
      <c r="BP197" s="370">
        <v>0</v>
      </c>
      <c r="BQ197" s="370">
        <v>0</v>
      </c>
      <c r="BR197" s="375">
        <v>1566822.7268349177</v>
      </c>
      <c r="BT197" s="365">
        <v>0</v>
      </c>
      <c r="BU197" s="370">
        <v>0</v>
      </c>
      <c r="BV197" s="370">
        <v>0</v>
      </c>
      <c r="BW197" s="375">
        <v>1566822.7268349177</v>
      </c>
      <c r="BY197" s="365">
        <v>1331799.31780968</v>
      </c>
      <c r="BZ197" s="373">
        <v>236516131.85324672</v>
      </c>
      <c r="CA197" s="375">
        <v>235023.40902523766</v>
      </c>
      <c r="CC197" s="365">
        <v>0</v>
      </c>
      <c r="CD197" s="375">
        <v>0</v>
      </c>
      <c r="CF197" s="365">
        <v>0</v>
      </c>
      <c r="CG197" s="375">
        <v>0</v>
      </c>
      <c r="CI197" s="365">
        <v>235023.40902523763</v>
      </c>
      <c r="CJ197" s="375">
        <v>1331799.31780968</v>
      </c>
    </row>
    <row r="198" spans="5:88">
      <c r="G198" s="417">
        <v>194</v>
      </c>
      <c r="H198" s="251">
        <v>7</v>
      </c>
      <c r="I198" s="377">
        <v>0</v>
      </c>
      <c r="J198" s="368">
        <v>0</v>
      </c>
      <c r="K198" s="368">
        <v>3098477.7200360186</v>
      </c>
      <c r="L198" s="369">
        <v>1532508.6052095068</v>
      </c>
      <c r="N198" s="367">
        <v>1565969.1148265118</v>
      </c>
      <c r="O198" s="370">
        <v>0</v>
      </c>
      <c r="P198" s="370">
        <v>0</v>
      </c>
      <c r="Q198" s="370">
        <v>0</v>
      </c>
      <c r="R198" s="370">
        <v>0</v>
      </c>
      <c r="S198" s="370">
        <v>0</v>
      </c>
      <c r="T198" s="379">
        <v>34133400</v>
      </c>
      <c r="U198" s="371">
        <v>0</v>
      </c>
      <c r="V198" s="371">
        <v>0</v>
      </c>
      <c r="W198" s="372">
        <v>1565969.1148265118</v>
      </c>
      <c r="X198" s="41"/>
      <c r="Y198" s="365">
        <v>0</v>
      </c>
      <c r="Z198" s="370">
        <v>0</v>
      </c>
      <c r="AA198" s="370">
        <v>0</v>
      </c>
      <c r="AB198" s="375">
        <v>1565969.1148265118</v>
      </c>
      <c r="AC198" s="41"/>
      <c r="AD198" s="449">
        <v>0</v>
      </c>
      <c r="AE198" s="365">
        <v>0</v>
      </c>
      <c r="AF198" s="375">
        <v>1565969.1148265118</v>
      </c>
      <c r="AH198" s="365">
        <v>0</v>
      </c>
      <c r="AI198" s="370">
        <v>0</v>
      </c>
      <c r="AJ198" s="370">
        <v>0</v>
      </c>
      <c r="AK198" s="375">
        <v>1565969.1148265118</v>
      </c>
      <c r="AM198" s="365">
        <v>0</v>
      </c>
      <c r="AN198" s="370">
        <v>0</v>
      </c>
      <c r="AO198" s="370">
        <v>0</v>
      </c>
      <c r="AP198" s="375">
        <v>1565969.1148265118</v>
      </c>
      <c r="AR198" s="365">
        <v>0</v>
      </c>
      <c r="AS198" s="375">
        <v>1565969.1148265118</v>
      </c>
      <c r="AU198" s="378">
        <v>0</v>
      </c>
      <c r="AV198" s="379">
        <v>0</v>
      </c>
      <c r="AW198" s="380">
        <v>0</v>
      </c>
      <c r="AX198" s="381">
        <v>1565969.1148265118</v>
      </c>
      <c r="AZ198" s="365">
        <v>0</v>
      </c>
      <c r="BA198" s="370">
        <v>0</v>
      </c>
      <c r="BB198" s="370">
        <v>0</v>
      </c>
      <c r="BC198" s="375">
        <v>1565969.1148265118</v>
      </c>
      <c r="BE198" s="365">
        <v>0</v>
      </c>
      <c r="BF198" s="370">
        <v>0</v>
      </c>
      <c r="BG198" s="370">
        <v>0</v>
      </c>
      <c r="BH198" s="375">
        <v>1565969.1148265118</v>
      </c>
      <c r="BJ198" s="365">
        <v>0</v>
      </c>
      <c r="BK198" s="370">
        <v>0</v>
      </c>
      <c r="BL198" s="370">
        <v>0</v>
      </c>
      <c r="BM198" s="375">
        <v>1565969.1148265118</v>
      </c>
      <c r="BO198" s="365">
        <v>0</v>
      </c>
      <c r="BP198" s="370">
        <v>0</v>
      </c>
      <c r="BQ198" s="370">
        <v>0</v>
      </c>
      <c r="BR198" s="375">
        <v>1565969.1148265118</v>
      </c>
      <c r="BT198" s="365">
        <v>0</v>
      </c>
      <c r="BU198" s="370">
        <v>0</v>
      </c>
      <c r="BV198" s="370">
        <v>0</v>
      </c>
      <c r="BW198" s="375">
        <v>1565969.1148265118</v>
      </c>
      <c r="BY198" s="365">
        <v>1331073.7476025349</v>
      </c>
      <c r="BZ198" s="373">
        <v>237847205.60084924</v>
      </c>
      <c r="CA198" s="375">
        <v>234895.36722397688</v>
      </c>
      <c r="CC198" s="365">
        <v>0</v>
      </c>
      <c r="CD198" s="375">
        <v>0</v>
      </c>
      <c r="CF198" s="365">
        <v>0</v>
      </c>
      <c r="CG198" s="375">
        <v>0</v>
      </c>
      <c r="CI198" s="365">
        <v>234895.36722397676</v>
      </c>
      <c r="CJ198" s="375">
        <v>1331073.7476025349</v>
      </c>
    </row>
    <row r="199" spans="5:88">
      <c r="E199" s="96"/>
      <c r="F199" s="404"/>
      <c r="G199" s="417">
        <v>195</v>
      </c>
      <c r="H199" s="251">
        <v>7</v>
      </c>
      <c r="I199" s="377">
        <v>0</v>
      </c>
      <c r="J199" s="368">
        <v>0</v>
      </c>
      <c r="K199" s="368">
        <v>3098477.7200360186</v>
      </c>
      <c r="L199" s="369">
        <v>1533362.6929474105</v>
      </c>
      <c r="N199" s="367">
        <v>1565115.0270886081</v>
      </c>
      <c r="O199" s="370">
        <v>0</v>
      </c>
      <c r="P199" s="370">
        <v>0</v>
      </c>
      <c r="Q199" s="370">
        <v>0</v>
      </c>
      <c r="R199" s="370">
        <v>0</v>
      </c>
      <c r="S199" s="370">
        <v>0</v>
      </c>
      <c r="T199" s="379">
        <v>34133400</v>
      </c>
      <c r="U199" s="371">
        <v>0</v>
      </c>
      <c r="V199" s="371">
        <v>0</v>
      </c>
      <c r="W199" s="372">
        <v>1565115.0270886081</v>
      </c>
      <c r="X199" s="41"/>
      <c r="Y199" s="365">
        <v>0</v>
      </c>
      <c r="Z199" s="370">
        <v>0</v>
      </c>
      <c r="AA199" s="370">
        <v>0</v>
      </c>
      <c r="AB199" s="375">
        <v>1565115.0270886081</v>
      </c>
      <c r="AC199" s="41"/>
      <c r="AD199" s="449">
        <v>0</v>
      </c>
      <c r="AE199" s="365">
        <v>0</v>
      </c>
      <c r="AF199" s="375">
        <v>1565115.0270886081</v>
      </c>
      <c r="AH199" s="365">
        <v>0</v>
      </c>
      <c r="AI199" s="370">
        <v>0</v>
      </c>
      <c r="AJ199" s="370">
        <v>0</v>
      </c>
      <c r="AK199" s="375">
        <v>1565115.0270886081</v>
      </c>
      <c r="AM199" s="365">
        <v>0</v>
      </c>
      <c r="AN199" s="370">
        <v>0</v>
      </c>
      <c r="AO199" s="370">
        <v>0</v>
      </c>
      <c r="AP199" s="375">
        <v>1565115.0270886081</v>
      </c>
      <c r="AR199" s="365">
        <v>0</v>
      </c>
      <c r="AS199" s="375">
        <v>1565115.0270886081</v>
      </c>
      <c r="AU199" s="378">
        <v>0</v>
      </c>
      <c r="AV199" s="379">
        <v>0</v>
      </c>
      <c r="AW199" s="380">
        <v>0</v>
      </c>
      <c r="AX199" s="381">
        <v>1565115.0270886081</v>
      </c>
      <c r="AZ199" s="365">
        <v>0</v>
      </c>
      <c r="BA199" s="370">
        <v>0</v>
      </c>
      <c r="BB199" s="370">
        <v>0</v>
      </c>
      <c r="BC199" s="375">
        <v>1565115.0270886081</v>
      </c>
      <c r="BE199" s="365">
        <v>0</v>
      </c>
      <c r="BF199" s="370">
        <v>0</v>
      </c>
      <c r="BG199" s="370">
        <v>0</v>
      </c>
      <c r="BH199" s="375">
        <v>1565115.0270886081</v>
      </c>
      <c r="BJ199" s="365">
        <v>0</v>
      </c>
      <c r="BK199" s="370">
        <v>0</v>
      </c>
      <c r="BL199" s="370">
        <v>0</v>
      </c>
      <c r="BM199" s="375">
        <v>1565115.0270886081</v>
      </c>
      <c r="BO199" s="365">
        <v>0</v>
      </c>
      <c r="BP199" s="370">
        <v>0</v>
      </c>
      <c r="BQ199" s="370">
        <v>0</v>
      </c>
      <c r="BR199" s="375">
        <v>1565115.0270886081</v>
      </c>
      <c r="BT199" s="365">
        <v>0</v>
      </c>
      <c r="BU199" s="370">
        <v>0</v>
      </c>
      <c r="BV199" s="370">
        <v>0</v>
      </c>
      <c r="BW199" s="375">
        <v>1565115.0270886081</v>
      </c>
      <c r="BY199" s="365">
        <v>1330347.7730253169</v>
      </c>
      <c r="BZ199" s="373">
        <v>239177553.37387455</v>
      </c>
      <c r="CA199" s="375">
        <v>234767.25406329124</v>
      </c>
      <c r="CC199" s="365">
        <v>0</v>
      </c>
      <c r="CD199" s="375">
        <v>0</v>
      </c>
      <c r="CF199" s="365">
        <v>0</v>
      </c>
      <c r="CG199" s="375">
        <v>0</v>
      </c>
      <c r="CI199" s="365">
        <v>234767.25406329121</v>
      </c>
      <c r="CJ199" s="375">
        <v>1330347.7730253169</v>
      </c>
    </row>
    <row r="200" spans="5:88">
      <c r="E200" s="96"/>
      <c r="F200" s="404"/>
      <c r="G200" s="417">
        <v>196</v>
      </c>
      <c r="H200" s="251">
        <v>7</v>
      </c>
      <c r="I200" s="377">
        <v>0</v>
      </c>
      <c r="J200" s="368">
        <v>0</v>
      </c>
      <c r="K200" s="368">
        <v>3098477.7200360186</v>
      </c>
      <c r="L200" s="369">
        <v>1534217.2566799426</v>
      </c>
      <c r="N200" s="367">
        <v>1564260.463356076</v>
      </c>
      <c r="O200" s="370">
        <v>0</v>
      </c>
      <c r="P200" s="370">
        <v>0</v>
      </c>
      <c r="Q200" s="370">
        <v>0</v>
      </c>
      <c r="R200" s="370">
        <v>0</v>
      </c>
      <c r="S200" s="370">
        <v>0</v>
      </c>
      <c r="T200" s="379">
        <v>34133400</v>
      </c>
      <c r="U200" s="371">
        <v>0</v>
      </c>
      <c r="V200" s="371">
        <v>0</v>
      </c>
      <c r="W200" s="372">
        <v>1564260.463356076</v>
      </c>
      <c r="X200" s="41"/>
      <c r="Y200" s="365">
        <v>0</v>
      </c>
      <c r="Z200" s="370">
        <v>0</v>
      </c>
      <c r="AA200" s="370">
        <v>0</v>
      </c>
      <c r="AB200" s="375">
        <v>1564260.463356076</v>
      </c>
      <c r="AC200" s="41"/>
      <c r="AD200" s="449">
        <v>0</v>
      </c>
      <c r="AE200" s="365">
        <v>0</v>
      </c>
      <c r="AF200" s="375">
        <v>1564260.463356076</v>
      </c>
      <c r="AH200" s="365">
        <v>0</v>
      </c>
      <c r="AI200" s="370">
        <v>0</v>
      </c>
      <c r="AJ200" s="370">
        <v>0</v>
      </c>
      <c r="AK200" s="375">
        <v>1564260.463356076</v>
      </c>
      <c r="AM200" s="365">
        <v>0</v>
      </c>
      <c r="AN200" s="370">
        <v>0</v>
      </c>
      <c r="AO200" s="370">
        <v>0</v>
      </c>
      <c r="AP200" s="375">
        <v>1564260.463356076</v>
      </c>
      <c r="AR200" s="365">
        <v>0</v>
      </c>
      <c r="AS200" s="375">
        <v>1564260.463356076</v>
      </c>
      <c r="AU200" s="378">
        <v>0</v>
      </c>
      <c r="AV200" s="379">
        <v>0</v>
      </c>
      <c r="AW200" s="380">
        <v>0</v>
      </c>
      <c r="AX200" s="381">
        <v>1564260.463356076</v>
      </c>
      <c r="AZ200" s="365">
        <v>0</v>
      </c>
      <c r="BA200" s="370">
        <v>0</v>
      </c>
      <c r="BB200" s="370">
        <v>0</v>
      </c>
      <c r="BC200" s="375">
        <v>1564260.463356076</v>
      </c>
      <c r="BE200" s="365">
        <v>0</v>
      </c>
      <c r="BF200" s="370">
        <v>0</v>
      </c>
      <c r="BG200" s="370">
        <v>0</v>
      </c>
      <c r="BH200" s="375">
        <v>1564260.463356076</v>
      </c>
      <c r="BJ200" s="365">
        <v>0</v>
      </c>
      <c r="BK200" s="370">
        <v>0</v>
      </c>
      <c r="BL200" s="370">
        <v>0</v>
      </c>
      <c r="BM200" s="375">
        <v>1564260.463356076</v>
      </c>
      <c r="BO200" s="365">
        <v>0</v>
      </c>
      <c r="BP200" s="370">
        <v>0</v>
      </c>
      <c r="BQ200" s="370">
        <v>0</v>
      </c>
      <c r="BR200" s="375">
        <v>1564260.463356076</v>
      </c>
      <c r="BT200" s="365">
        <v>0</v>
      </c>
      <c r="BU200" s="370">
        <v>0</v>
      </c>
      <c r="BV200" s="370">
        <v>0</v>
      </c>
      <c r="BW200" s="375">
        <v>1564260.463356076</v>
      </c>
      <c r="BY200" s="365">
        <v>1329621.3938526646</v>
      </c>
      <c r="BZ200" s="373">
        <v>240507174.7677272</v>
      </c>
      <c r="CA200" s="375">
        <v>234639.06950341142</v>
      </c>
      <c r="CC200" s="365">
        <v>0</v>
      </c>
      <c r="CD200" s="375">
        <v>0</v>
      </c>
      <c r="CF200" s="365">
        <v>0</v>
      </c>
      <c r="CG200" s="375">
        <v>0</v>
      </c>
      <c r="CI200" s="365">
        <v>234639.06950341139</v>
      </c>
      <c r="CJ200" s="375">
        <v>1329621.3938526646</v>
      </c>
    </row>
    <row r="201" spans="5:88">
      <c r="E201" s="96"/>
      <c r="F201" s="404"/>
      <c r="G201" s="417">
        <v>197</v>
      </c>
      <c r="H201" s="251">
        <v>7</v>
      </c>
      <c r="I201" s="377">
        <v>0</v>
      </c>
      <c r="J201" s="368">
        <v>0</v>
      </c>
      <c r="K201" s="368">
        <v>3098477.7200360186</v>
      </c>
      <c r="L201" s="369">
        <v>1535072.2966723815</v>
      </c>
      <c r="N201" s="367">
        <v>1563405.4233636372</v>
      </c>
      <c r="O201" s="370">
        <v>0</v>
      </c>
      <c r="P201" s="370">
        <v>0</v>
      </c>
      <c r="Q201" s="370">
        <v>0</v>
      </c>
      <c r="R201" s="370">
        <v>0</v>
      </c>
      <c r="S201" s="370">
        <v>0</v>
      </c>
      <c r="T201" s="379">
        <v>34133400</v>
      </c>
      <c r="U201" s="371">
        <v>0</v>
      </c>
      <c r="V201" s="371">
        <v>0</v>
      </c>
      <c r="W201" s="372">
        <v>1563405.4233636372</v>
      </c>
      <c r="X201" s="41"/>
      <c r="Y201" s="365">
        <v>0</v>
      </c>
      <c r="Z201" s="370">
        <v>0</v>
      </c>
      <c r="AA201" s="370">
        <v>0</v>
      </c>
      <c r="AB201" s="375">
        <v>1563405.4233636372</v>
      </c>
      <c r="AC201" s="41"/>
      <c r="AD201" s="449">
        <v>0</v>
      </c>
      <c r="AE201" s="365">
        <v>0</v>
      </c>
      <c r="AF201" s="375">
        <v>1563405.4233636372</v>
      </c>
      <c r="AH201" s="365">
        <v>0</v>
      </c>
      <c r="AI201" s="370">
        <v>0</v>
      </c>
      <c r="AJ201" s="370">
        <v>0</v>
      </c>
      <c r="AK201" s="375">
        <v>1563405.4233636372</v>
      </c>
      <c r="AM201" s="365">
        <v>0</v>
      </c>
      <c r="AN201" s="370">
        <v>0</v>
      </c>
      <c r="AO201" s="370">
        <v>0</v>
      </c>
      <c r="AP201" s="375">
        <v>1563405.4233636372</v>
      </c>
      <c r="AR201" s="365">
        <v>0</v>
      </c>
      <c r="AS201" s="375">
        <v>1563405.4233636372</v>
      </c>
      <c r="AU201" s="378">
        <v>0</v>
      </c>
      <c r="AV201" s="379">
        <v>0</v>
      </c>
      <c r="AW201" s="380">
        <v>0</v>
      </c>
      <c r="AX201" s="381">
        <v>1563405.4233636372</v>
      </c>
      <c r="AZ201" s="365">
        <v>0</v>
      </c>
      <c r="BA201" s="370">
        <v>0</v>
      </c>
      <c r="BB201" s="370">
        <v>0</v>
      </c>
      <c r="BC201" s="375">
        <v>1563405.4233636372</v>
      </c>
      <c r="BE201" s="365">
        <v>0</v>
      </c>
      <c r="BF201" s="370">
        <v>0</v>
      </c>
      <c r="BG201" s="370">
        <v>0</v>
      </c>
      <c r="BH201" s="375">
        <v>1563405.4233636372</v>
      </c>
      <c r="BJ201" s="365">
        <v>0</v>
      </c>
      <c r="BK201" s="370">
        <v>0</v>
      </c>
      <c r="BL201" s="370">
        <v>0</v>
      </c>
      <c r="BM201" s="375">
        <v>1563405.4233636372</v>
      </c>
      <c r="BO201" s="365">
        <v>0</v>
      </c>
      <c r="BP201" s="370">
        <v>0</v>
      </c>
      <c r="BQ201" s="370">
        <v>0</v>
      </c>
      <c r="BR201" s="375">
        <v>1563405.4233636372</v>
      </c>
      <c r="BT201" s="365">
        <v>0</v>
      </c>
      <c r="BU201" s="370">
        <v>0</v>
      </c>
      <c r="BV201" s="370">
        <v>0</v>
      </c>
      <c r="BW201" s="375">
        <v>1563405.4233636372</v>
      </c>
      <c r="BY201" s="365">
        <v>1328894.6098590915</v>
      </c>
      <c r="BZ201" s="373">
        <v>241836069.37758628</v>
      </c>
      <c r="CA201" s="375">
        <v>234510.81350454572</v>
      </c>
      <c r="CC201" s="365">
        <v>0</v>
      </c>
      <c r="CD201" s="375">
        <v>0</v>
      </c>
      <c r="CF201" s="365">
        <v>0</v>
      </c>
      <c r="CG201" s="375">
        <v>0</v>
      </c>
      <c r="CI201" s="365">
        <v>234510.81350454557</v>
      </c>
      <c r="CJ201" s="375">
        <v>1328894.6098590915</v>
      </c>
    </row>
    <row r="202" spans="5:88">
      <c r="G202" s="417">
        <v>198</v>
      </c>
      <c r="H202" s="251">
        <v>7</v>
      </c>
      <c r="I202" s="377">
        <v>1</v>
      </c>
      <c r="J202" s="368">
        <v>0</v>
      </c>
      <c r="K202" s="368">
        <v>2721883.7601620103</v>
      </c>
      <c r="L202" s="369">
        <v>1535927.8131901529</v>
      </c>
      <c r="N202" s="367">
        <v>1185955.9469718575</v>
      </c>
      <c r="O202" s="370">
        <v>0</v>
      </c>
      <c r="P202" s="370">
        <v>0</v>
      </c>
      <c r="Q202" s="370">
        <v>0</v>
      </c>
      <c r="R202" s="370">
        <v>0</v>
      </c>
      <c r="S202" s="370">
        <v>0</v>
      </c>
      <c r="T202" s="379">
        <v>34133400</v>
      </c>
      <c r="U202" s="371">
        <v>0</v>
      </c>
      <c r="V202" s="371">
        <v>0</v>
      </c>
      <c r="W202" s="372">
        <v>1185955.9469718575</v>
      </c>
      <c r="X202" s="41"/>
      <c r="Y202" s="365">
        <v>0</v>
      </c>
      <c r="Z202" s="370">
        <v>0</v>
      </c>
      <c r="AA202" s="370">
        <v>0</v>
      </c>
      <c r="AB202" s="375">
        <v>1185955.9469718575</v>
      </c>
      <c r="AC202" s="41"/>
      <c r="AD202" s="449">
        <v>0</v>
      </c>
      <c r="AE202" s="365">
        <v>0</v>
      </c>
      <c r="AF202" s="375">
        <v>1185955.9469718575</v>
      </c>
      <c r="AH202" s="365">
        <v>0</v>
      </c>
      <c r="AI202" s="370">
        <v>0</v>
      </c>
      <c r="AJ202" s="370">
        <v>0</v>
      </c>
      <c r="AK202" s="375">
        <v>1185955.9469718575</v>
      </c>
      <c r="AM202" s="365">
        <v>0</v>
      </c>
      <c r="AN202" s="370">
        <v>0</v>
      </c>
      <c r="AO202" s="370">
        <v>0</v>
      </c>
      <c r="AP202" s="375">
        <v>1185955.9469718575</v>
      </c>
      <c r="AR202" s="365">
        <v>0</v>
      </c>
      <c r="AS202" s="375">
        <v>1185955.9469718575</v>
      </c>
      <c r="AU202" s="378">
        <v>0</v>
      </c>
      <c r="AV202" s="379">
        <v>0</v>
      </c>
      <c r="AW202" s="380">
        <v>0</v>
      </c>
      <c r="AX202" s="381">
        <v>1185955.9469718575</v>
      </c>
      <c r="AZ202" s="365">
        <v>0</v>
      </c>
      <c r="BA202" s="370">
        <v>0</v>
      </c>
      <c r="BB202" s="370">
        <v>0</v>
      </c>
      <c r="BC202" s="375">
        <v>1185955.9469718575</v>
      </c>
      <c r="BE202" s="365">
        <v>0</v>
      </c>
      <c r="BF202" s="370">
        <v>0</v>
      </c>
      <c r="BG202" s="370">
        <v>0</v>
      </c>
      <c r="BH202" s="375">
        <v>1185955.9469718575</v>
      </c>
      <c r="BJ202" s="365">
        <v>0</v>
      </c>
      <c r="BK202" s="370">
        <v>0</v>
      </c>
      <c r="BL202" s="370">
        <v>0</v>
      </c>
      <c r="BM202" s="375">
        <v>1185955.9469718575</v>
      </c>
      <c r="BO202" s="365">
        <v>0</v>
      </c>
      <c r="BP202" s="370">
        <v>0</v>
      </c>
      <c r="BQ202" s="370">
        <v>0</v>
      </c>
      <c r="BR202" s="375">
        <v>1185955.9469718575</v>
      </c>
      <c r="BT202" s="365">
        <v>0</v>
      </c>
      <c r="BU202" s="370">
        <v>0</v>
      </c>
      <c r="BV202" s="370">
        <v>0</v>
      </c>
      <c r="BW202" s="375">
        <v>1185955.9469718575</v>
      </c>
      <c r="BY202" s="365">
        <v>1008062.5549260788</v>
      </c>
      <c r="BZ202" s="373">
        <v>242844131.93251234</v>
      </c>
      <c r="CA202" s="375">
        <v>177893.39204577869</v>
      </c>
      <c r="CC202" s="365">
        <v>0</v>
      </c>
      <c r="CD202" s="375">
        <v>0</v>
      </c>
      <c r="CF202" s="365">
        <v>0</v>
      </c>
      <c r="CG202" s="375">
        <v>0</v>
      </c>
      <c r="CI202" s="365">
        <v>177893.3920457786</v>
      </c>
      <c r="CJ202" s="375">
        <v>1008062.5549260788</v>
      </c>
    </row>
    <row r="203" spans="5:88">
      <c r="G203" s="417">
        <v>199</v>
      </c>
      <c r="H203" s="251">
        <v>7</v>
      </c>
      <c r="I203" s="377">
        <v>1</v>
      </c>
      <c r="J203" s="368">
        <v>0</v>
      </c>
      <c r="K203" s="368">
        <v>2789545.0773365339</v>
      </c>
      <c r="L203" s="369">
        <v>1536783.8064988311</v>
      </c>
      <c r="N203" s="367">
        <v>1252761.2708377028</v>
      </c>
      <c r="O203" s="370">
        <v>0</v>
      </c>
      <c r="P203" s="370">
        <v>0</v>
      </c>
      <c r="Q203" s="370">
        <v>0</v>
      </c>
      <c r="R203" s="370">
        <v>0</v>
      </c>
      <c r="S203" s="370">
        <v>0</v>
      </c>
      <c r="T203" s="379">
        <v>34133400</v>
      </c>
      <c r="U203" s="371">
        <v>0</v>
      </c>
      <c r="V203" s="371">
        <v>0</v>
      </c>
      <c r="W203" s="372">
        <v>1252761.2708377028</v>
      </c>
      <c r="X203" s="41"/>
      <c r="Y203" s="365">
        <v>0</v>
      </c>
      <c r="Z203" s="370">
        <v>0</v>
      </c>
      <c r="AA203" s="370">
        <v>0</v>
      </c>
      <c r="AB203" s="375">
        <v>1252761.2708377028</v>
      </c>
      <c r="AC203" s="41"/>
      <c r="AD203" s="449">
        <v>0</v>
      </c>
      <c r="AE203" s="365">
        <v>0</v>
      </c>
      <c r="AF203" s="375">
        <v>1252761.2708377028</v>
      </c>
      <c r="AH203" s="365">
        <v>0</v>
      </c>
      <c r="AI203" s="370">
        <v>0</v>
      </c>
      <c r="AJ203" s="370">
        <v>0</v>
      </c>
      <c r="AK203" s="375">
        <v>1252761.2708377028</v>
      </c>
      <c r="AM203" s="365">
        <v>0</v>
      </c>
      <c r="AN203" s="370">
        <v>0</v>
      </c>
      <c r="AO203" s="370">
        <v>0</v>
      </c>
      <c r="AP203" s="375">
        <v>1252761.2708377028</v>
      </c>
      <c r="AR203" s="365">
        <v>0</v>
      </c>
      <c r="AS203" s="375">
        <v>1252761.2708377028</v>
      </c>
      <c r="AU203" s="378">
        <v>0</v>
      </c>
      <c r="AV203" s="379">
        <v>0</v>
      </c>
      <c r="AW203" s="380">
        <v>0</v>
      </c>
      <c r="AX203" s="381">
        <v>1252761.2708377028</v>
      </c>
      <c r="AZ203" s="365">
        <v>0</v>
      </c>
      <c r="BA203" s="370">
        <v>0</v>
      </c>
      <c r="BB203" s="370">
        <v>0</v>
      </c>
      <c r="BC203" s="375">
        <v>1252761.2708377028</v>
      </c>
      <c r="BE203" s="365">
        <v>0</v>
      </c>
      <c r="BF203" s="370">
        <v>0</v>
      </c>
      <c r="BG203" s="370">
        <v>0</v>
      </c>
      <c r="BH203" s="375">
        <v>1252761.2708377028</v>
      </c>
      <c r="BJ203" s="365">
        <v>0</v>
      </c>
      <c r="BK203" s="370">
        <v>0</v>
      </c>
      <c r="BL203" s="370">
        <v>0</v>
      </c>
      <c r="BM203" s="375">
        <v>1252761.2708377028</v>
      </c>
      <c r="BO203" s="365">
        <v>0</v>
      </c>
      <c r="BP203" s="370">
        <v>0</v>
      </c>
      <c r="BQ203" s="370">
        <v>0</v>
      </c>
      <c r="BR203" s="375">
        <v>1252761.2708377028</v>
      </c>
      <c r="BT203" s="365">
        <v>0</v>
      </c>
      <c r="BU203" s="370">
        <v>0</v>
      </c>
      <c r="BV203" s="370">
        <v>0</v>
      </c>
      <c r="BW203" s="375">
        <v>1252761.2708377028</v>
      </c>
      <c r="BY203" s="365">
        <v>1064847.0802120473</v>
      </c>
      <c r="BZ203" s="373">
        <v>243908979.0127244</v>
      </c>
      <c r="CA203" s="375">
        <v>187914.19062565546</v>
      </c>
      <c r="CC203" s="365">
        <v>0</v>
      </c>
      <c r="CD203" s="375">
        <v>0</v>
      </c>
      <c r="CF203" s="365">
        <v>0</v>
      </c>
      <c r="CG203" s="375">
        <v>0</v>
      </c>
      <c r="CI203" s="365">
        <v>187914.19062565541</v>
      </c>
      <c r="CJ203" s="375">
        <v>1064847.0802120473</v>
      </c>
    </row>
    <row r="204" spans="5:88">
      <c r="E204" s="96"/>
      <c r="F204" s="404"/>
      <c r="G204" s="417">
        <v>200</v>
      </c>
      <c r="H204" s="251">
        <v>7</v>
      </c>
      <c r="I204" s="377">
        <v>1</v>
      </c>
      <c r="J204" s="368">
        <v>0</v>
      </c>
      <c r="K204" s="368">
        <v>2833668.9254128085</v>
      </c>
      <c r="L204" s="369">
        <v>1537640.2768641382</v>
      </c>
      <c r="N204" s="367">
        <v>1296028.6485486703</v>
      </c>
      <c r="O204" s="370">
        <v>0</v>
      </c>
      <c r="P204" s="370">
        <v>0</v>
      </c>
      <c r="Q204" s="370">
        <v>0</v>
      </c>
      <c r="R204" s="370">
        <v>0</v>
      </c>
      <c r="S204" s="370">
        <v>0</v>
      </c>
      <c r="T204" s="379">
        <v>34133400</v>
      </c>
      <c r="U204" s="371">
        <v>0</v>
      </c>
      <c r="V204" s="371">
        <v>0</v>
      </c>
      <c r="W204" s="372">
        <v>1296028.6485486703</v>
      </c>
      <c r="X204" s="41"/>
      <c r="Y204" s="365">
        <v>0</v>
      </c>
      <c r="Z204" s="370">
        <v>0</v>
      </c>
      <c r="AA204" s="370">
        <v>0</v>
      </c>
      <c r="AB204" s="375">
        <v>1296028.6485486703</v>
      </c>
      <c r="AC204" s="41"/>
      <c r="AD204" s="449">
        <v>0</v>
      </c>
      <c r="AE204" s="365">
        <v>0</v>
      </c>
      <c r="AF204" s="375">
        <v>1296028.6485486703</v>
      </c>
      <c r="AH204" s="365">
        <v>0</v>
      </c>
      <c r="AI204" s="370">
        <v>0</v>
      </c>
      <c r="AJ204" s="370">
        <v>0</v>
      </c>
      <c r="AK204" s="375">
        <v>1296028.6485486703</v>
      </c>
      <c r="AM204" s="365">
        <v>0</v>
      </c>
      <c r="AN204" s="370">
        <v>0</v>
      </c>
      <c r="AO204" s="370">
        <v>0</v>
      </c>
      <c r="AP204" s="375">
        <v>1296028.6485486703</v>
      </c>
      <c r="AR204" s="365">
        <v>0</v>
      </c>
      <c r="AS204" s="375">
        <v>1296028.6485486703</v>
      </c>
      <c r="AU204" s="378">
        <v>0</v>
      </c>
      <c r="AV204" s="379">
        <v>0</v>
      </c>
      <c r="AW204" s="380">
        <v>0</v>
      </c>
      <c r="AX204" s="381">
        <v>1296028.6485486703</v>
      </c>
      <c r="AZ204" s="365">
        <v>0</v>
      </c>
      <c r="BA204" s="370">
        <v>0</v>
      </c>
      <c r="BB204" s="370">
        <v>0</v>
      </c>
      <c r="BC204" s="375">
        <v>1296028.6485486703</v>
      </c>
      <c r="BE204" s="365">
        <v>0</v>
      </c>
      <c r="BF204" s="370">
        <v>0</v>
      </c>
      <c r="BG204" s="370">
        <v>0</v>
      </c>
      <c r="BH204" s="375">
        <v>1296028.6485486703</v>
      </c>
      <c r="BJ204" s="365">
        <v>0</v>
      </c>
      <c r="BK204" s="370">
        <v>0</v>
      </c>
      <c r="BL204" s="370">
        <v>0</v>
      </c>
      <c r="BM204" s="375">
        <v>1296028.6485486703</v>
      </c>
      <c r="BO204" s="365">
        <v>0</v>
      </c>
      <c r="BP204" s="370">
        <v>0</v>
      </c>
      <c r="BQ204" s="370">
        <v>0</v>
      </c>
      <c r="BR204" s="375">
        <v>1296028.6485486703</v>
      </c>
      <c r="BT204" s="365">
        <v>0</v>
      </c>
      <c r="BU204" s="370">
        <v>0</v>
      </c>
      <c r="BV204" s="370">
        <v>0</v>
      </c>
      <c r="BW204" s="375">
        <v>1296028.6485486703</v>
      </c>
      <c r="BY204" s="365">
        <v>1101624.3512663697</v>
      </c>
      <c r="BZ204" s="373">
        <v>245010603.36399078</v>
      </c>
      <c r="CA204" s="375">
        <v>194404.29728230066</v>
      </c>
      <c r="CC204" s="365">
        <v>0</v>
      </c>
      <c r="CD204" s="375">
        <v>0</v>
      </c>
      <c r="CF204" s="365">
        <v>0</v>
      </c>
      <c r="CG204" s="375">
        <v>0</v>
      </c>
      <c r="CI204" s="365">
        <v>194404.29728230054</v>
      </c>
      <c r="CJ204" s="375">
        <v>1101624.3512663697</v>
      </c>
    </row>
    <row r="205" spans="5:88">
      <c r="G205" s="417">
        <v>201</v>
      </c>
      <c r="H205" s="251">
        <v>7</v>
      </c>
      <c r="I205" s="377">
        <v>0</v>
      </c>
      <c r="J205" s="368">
        <v>0</v>
      </c>
      <c r="K205" s="368">
        <v>3104100.6756544393</v>
      </c>
      <c r="L205" s="369">
        <v>1538497.2245519438</v>
      </c>
      <c r="N205" s="367">
        <v>1565603.4511024954</v>
      </c>
      <c r="O205" s="370">
        <v>0</v>
      </c>
      <c r="P205" s="370">
        <v>0</v>
      </c>
      <c r="Q205" s="370">
        <v>0</v>
      </c>
      <c r="R205" s="370">
        <v>0</v>
      </c>
      <c r="S205" s="370">
        <v>0</v>
      </c>
      <c r="T205" s="379">
        <v>34133400</v>
      </c>
      <c r="U205" s="371">
        <v>0</v>
      </c>
      <c r="V205" s="371">
        <v>0</v>
      </c>
      <c r="W205" s="372">
        <v>1565603.4511024954</v>
      </c>
      <c r="X205" s="41"/>
      <c r="Y205" s="365">
        <v>0</v>
      </c>
      <c r="Z205" s="370">
        <v>0</v>
      </c>
      <c r="AA205" s="370">
        <v>0</v>
      </c>
      <c r="AB205" s="375">
        <v>1565603.4511024954</v>
      </c>
      <c r="AC205" s="41"/>
      <c r="AD205" s="449">
        <v>0</v>
      </c>
      <c r="AE205" s="365">
        <v>0</v>
      </c>
      <c r="AF205" s="375">
        <v>1565603.4511024954</v>
      </c>
      <c r="AH205" s="365">
        <v>0</v>
      </c>
      <c r="AI205" s="370">
        <v>0</v>
      </c>
      <c r="AJ205" s="370">
        <v>0</v>
      </c>
      <c r="AK205" s="375">
        <v>1565603.4511024954</v>
      </c>
      <c r="AM205" s="365">
        <v>0</v>
      </c>
      <c r="AN205" s="370">
        <v>0</v>
      </c>
      <c r="AO205" s="370">
        <v>0</v>
      </c>
      <c r="AP205" s="375">
        <v>1565603.4511024954</v>
      </c>
      <c r="AR205" s="365">
        <v>0</v>
      </c>
      <c r="AS205" s="375">
        <v>1565603.4511024954</v>
      </c>
      <c r="AU205" s="378">
        <v>0</v>
      </c>
      <c r="AV205" s="379">
        <v>0</v>
      </c>
      <c r="AW205" s="380">
        <v>0</v>
      </c>
      <c r="AX205" s="381">
        <v>1565603.4511024954</v>
      </c>
      <c r="AZ205" s="365">
        <v>0</v>
      </c>
      <c r="BA205" s="370">
        <v>0</v>
      </c>
      <c r="BB205" s="370">
        <v>0</v>
      </c>
      <c r="BC205" s="375">
        <v>1565603.4511024954</v>
      </c>
      <c r="BE205" s="365">
        <v>0</v>
      </c>
      <c r="BF205" s="370">
        <v>0</v>
      </c>
      <c r="BG205" s="370">
        <v>0</v>
      </c>
      <c r="BH205" s="375">
        <v>1565603.4511024954</v>
      </c>
      <c r="BJ205" s="365">
        <v>0</v>
      </c>
      <c r="BK205" s="370">
        <v>0</v>
      </c>
      <c r="BL205" s="370">
        <v>0</v>
      </c>
      <c r="BM205" s="375">
        <v>1565603.4511024954</v>
      </c>
      <c r="BO205" s="365">
        <v>0</v>
      </c>
      <c r="BP205" s="370">
        <v>0</v>
      </c>
      <c r="BQ205" s="370">
        <v>0</v>
      </c>
      <c r="BR205" s="375">
        <v>1565603.4511024954</v>
      </c>
      <c r="BT205" s="365">
        <v>0</v>
      </c>
      <c r="BU205" s="370">
        <v>0</v>
      </c>
      <c r="BV205" s="370">
        <v>0</v>
      </c>
      <c r="BW205" s="375">
        <v>1565603.4511024954</v>
      </c>
      <c r="BY205" s="365">
        <v>1330762.9334371211</v>
      </c>
      <c r="BZ205" s="373">
        <v>246341366.29742789</v>
      </c>
      <c r="CA205" s="375">
        <v>234840.51766537433</v>
      </c>
      <c r="CC205" s="365">
        <v>0</v>
      </c>
      <c r="CD205" s="375">
        <v>0</v>
      </c>
      <c r="CF205" s="365">
        <v>0</v>
      </c>
      <c r="CG205" s="375">
        <v>0</v>
      </c>
      <c r="CI205" s="365">
        <v>234840.5176653743</v>
      </c>
      <c r="CJ205" s="375">
        <v>1330762.9334371211</v>
      </c>
    </row>
    <row r="206" spans="5:88">
      <c r="G206" s="417">
        <v>202</v>
      </c>
      <c r="H206" s="251">
        <v>7</v>
      </c>
      <c r="I206" s="377">
        <v>0</v>
      </c>
      <c r="J206" s="368">
        <v>0</v>
      </c>
      <c r="K206" s="368">
        <v>3104100.6756544393</v>
      </c>
      <c r="L206" s="369">
        <v>1539354.6498282668</v>
      </c>
      <c r="N206" s="367">
        <v>1564746.0258261724</v>
      </c>
      <c r="O206" s="370">
        <v>0</v>
      </c>
      <c r="P206" s="370">
        <v>0</v>
      </c>
      <c r="Q206" s="370">
        <v>0</v>
      </c>
      <c r="R206" s="370">
        <v>0</v>
      </c>
      <c r="S206" s="370">
        <v>0</v>
      </c>
      <c r="T206" s="379">
        <v>34133400</v>
      </c>
      <c r="U206" s="371">
        <v>0</v>
      </c>
      <c r="V206" s="371">
        <v>0</v>
      </c>
      <c r="W206" s="372">
        <v>1564746.0258261724</v>
      </c>
      <c r="X206" s="41"/>
      <c r="Y206" s="365">
        <v>0</v>
      </c>
      <c r="Z206" s="370">
        <v>0</v>
      </c>
      <c r="AA206" s="370">
        <v>0</v>
      </c>
      <c r="AB206" s="375">
        <v>1564746.0258261724</v>
      </c>
      <c r="AC206" s="41"/>
      <c r="AD206" s="449">
        <v>0</v>
      </c>
      <c r="AE206" s="365">
        <v>0</v>
      </c>
      <c r="AF206" s="375">
        <v>1564746.0258261724</v>
      </c>
      <c r="AH206" s="365">
        <v>0</v>
      </c>
      <c r="AI206" s="370">
        <v>0</v>
      </c>
      <c r="AJ206" s="370">
        <v>0</v>
      </c>
      <c r="AK206" s="375">
        <v>1564746.0258261724</v>
      </c>
      <c r="AM206" s="365">
        <v>0</v>
      </c>
      <c r="AN206" s="370">
        <v>0</v>
      </c>
      <c r="AO206" s="370">
        <v>0</v>
      </c>
      <c r="AP206" s="375">
        <v>1564746.0258261724</v>
      </c>
      <c r="AR206" s="365">
        <v>0</v>
      </c>
      <c r="AS206" s="375">
        <v>1564746.0258261724</v>
      </c>
      <c r="AU206" s="378">
        <v>0</v>
      </c>
      <c r="AV206" s="379">
        <v>0</v>
      </c>
      <c r="AW206" s="380">
        <v>0</v>
      </c>
      <c r="AX206" s="381">
        <v>1564746.0258261724</v>
      </c>
      <c r="AZ206" s="365">
        <v>0</v>
      </c>
      <c r="BA206" s="370">
        <v>0</v>
      </c>
      <c r="BB206" s="370">
        <v>0</v>
      </c>
      <c r="BC206" s="375">
        <v>1564746.0258261724</v>
      </c>
      <c r="BE206" s="365">
        <v>0</v>
      </c>
      <c r="BF206" s="370">
        <v>0</v>
      </c>
      <c r="BG206" s="370">
        <v>0</v>
      </c>
      <c r="BH206" s="375">
        <v>1564746.0258261724</v>
      </c>
      <c r="BJ206" s="365">
        <v>0</v>
      </c>
      <c r="BK206" s="370">
        <v>0</v>
      </c>
      <c r="BL206" s="370">
        <v>0</v>
      </c>
      <c r="BM206" s="375">
        <v>1564746.0258261724</v>
      </c>
      <c r="BO206" s="365">
        <v>0</v>
      </c>
      <c r="BP206" s="370">
        <v>0</v>
      </c>
      <c r="BQ206" s="370">
        <v>0</v>
      </c>
      <c r="BR206" s="375">
        <v>1564746.0258261724</v>
      </c>
      <c r="BT206" s="365">
        <v>0</v>
      </c>
      <c r="BU206" s="370">
        <v>0</v>
      </c>
      <c r="BV206" s="370">
        <v>0</v>
      </c>
      <c r="BW206" s="375">
        <v>1564746.0258261724</v>
      </c>
      <c r="BY206" s="365">
        <v>1330034.1219522466</v>
      </c>
      <c r="BZ206" s="373">
        <v>247671400.41938013</v>
      </c>
      <c r="CA206" s="375">
        <v>234711.9038739258</v>
      </c>
      <c r="CC206" s="365">
        <v>0</v>
      </c>
      <c r="CD206" s="375">
        <v>0</v>
      </c>
      <c r="CF206" s="365">
        <v>0</v>
      </c>
      <c r="CG206" s="375">
        <v>0</v>
      </c>
      <c r="CI206" s="365">
        <v>234711.90387392585</v>
      </c>
      <c r="CJ206" s="375">
        <v>1330034.1219522466</v>
      </c>
    </row>
    <row r="207" spans="5:88">
      <c r="G207" s="417">
        <v>203</v>
      </c>
      <c r="H207" s="251">
        <v>7</v>
      </c>
      <c r="I207" s="377">
        <v>0</v>
      </c>
      <c r="J207" s="368">
        <v>0</v>
      </c>
      <c r="K207" s="368">
        <v>3104100.6756544393</v>
      </c>
      <c r="L207" s="369">
        <v>1540212.5529592731</v>
      </c>
      <c r="N207" s="367">
        <v>1563888.1226951662</v>
      </c>
      <c r="O207" s="370">
        <v>0</v>
      </c>
      <c r="P207" s="370">
        <v>0</v>
      </c>
      <c r="Q207" s="370">
        <v>0</v>
      </c>
      <c r="R207" s="370">
        <v>0</v>
      </c>
      <c r="S207" s="370">
        <v>0</v>
      </c>
      <c r="T207" s="379">
        <v>34133400</v>
      </c>
      <c r="U207" s="371">
        <v>0</v>
      </c>
      <c r="V207" s="371">
        <v>0</v>
      </c>
      <c r="W207" s="372">
        <v>1563888.1226951662</v>
      </c>
      <c r="X207" s="41"/>
      <c r="Y207" s="365">
        <v>0</v>
      </c>
      <c r="Z207" s="370">
        <v>0</v>
      </c>
      <c r="AA207" s="370">
        <v>0</v>
      </c>
      <c r="AB207" s="375">
        <v>1563888.1226951662</v>
      </c>
      <c r="AC207" s="41"/>
      <c r="AD207" s="449">
        <v>0</v>
      </c>
      <c r="AE207" s="365">
        <v>0</v>
      </c>
      <c r="AF207" s="375">
        <v>1563888.1226951662</v>
      </c>
      <c r="AH207" s="365">
        <v>0</v>
      </c>
      <c r="AI207" s="370">
        <v>0</v>
      </c>
      <c r="AJ207" s="370">
        <v>0</v>
      </c>
      <c r="AK207" s="375">
        <v>1563888.1226951662</v>
      </c>
      <c r="AM207" s="365">
        <v>0</v>
      </c>
      <c r="AN207" s="370">
        <v>0</v>
      </c>
      <c r="AO207" s="370">
        <v>0</v>
      </c>
      <c r="AP207" s="375">
        <v>1563888.1226951662</v>
      </c>
      <c r="AR207" s="365">
        <v>0</v>
      </c>
      <c r="AS207" s="375">
        <v>1563888.1226951662</v>
      </c>
      <c r="AU207" s="378">
        <v>0</v>
      </c>
      <c r="AV207" s="379">
        <v>0</v>
      </c>
      <c r="AW207" s="380">
        <v>0</v>
      </c>
      <c r="AX207" s="381">
        <v>1563888.1226951662</v>
      </c>
      <c r="AZ207" s="365">
        <v>0</v>
      </c>
      <c r="BA207" s="370">
        <v>0</v>
      </c>
      <c r="BB207" s="370">
        <v>0</v>
      </c>
      <c r="BC207" s="375">
        <v>1563888.1226951662</v>
      </c>
      <c r="BE207" s="365">
        <v>0</v>
      </c>
      <c r="BF207" s="370">
        <v>0</v>
      </c>
      <c r="BG207" s="370">
        <v>0</v>
      </c>
      <c r="BH207" s="375">
        <v>1563888.1226951662</v>
      </c>
      <c r="BJ207" s="365">
        <v>0</v>
      </c>
      <c r="BK207" s="370">
        <v>0</v>
      </c>
      <c r="BL207" s="370">
        <v>0</v>
      </c>
      <c r="BM207" s="375">
        <v>1563888.1226951662</v>
      </c>
      <c r="BO207" s="365">
        <v>0</v>
      </c>
      <c r="BP207" s="370">
        <v>0</v>
      </c>
      <c r="BQ207" s="370">
        <v>0</v>
      </c>
      <c r="BR207" s="375">
        <v>1563888.1226951662</v>
      </c>
      <c r="BT207" s="365">
        <v>0</v>
      </c>
      <c r="BU207" s="370">
        <v>0</v>
      </c>
      <c r="BV207" s="370">
        <v>0</v>
      </c>
      <c r="BW207" s="375">
        <v>1563888.1226951662</v>
      </c>
      <c r="BY207" s="365">
        <v>1329304.9042908913</v>
      </c>
      <c r="BZ207" s="373">
        <v>249000705.32367101</v>
      </c>
      <c r="CA207" s="375">
        <v>234583.2184042749</v>
      </c>
      <c r="CC207" s="365">
        <v>0</v>
      </c>
      <c r="CD207" s="375">
        <v>0</v>
      </c>
      <c r="CF207" s="365">
        <v>0</v>
      </c>
      <c r="CG207" s="375">
        <v>0</v>
      </c>
      <c r="CI207" s="365">
        <v>234583.21840427493</v>
      </c>
      <c r="CJ207" s="375">
        <v>1329304.9042908913</v>
      </c>
    </row>
    <row r="208" spans="5:88">
      <c r="G208" s="417">
        <v>204</v>
      </c>
      <c r="H208" s="251">
        <v>9</v>
      </c>
      <c r="I208" s="377">
        <v>0</v>
      </c>
      <c r="J208" s="368">
        <v>8064000</v>
      </c>
      <c r="K208" s="368">
        <v>2378632.3183714664</v>
      </c>
      <c r="L208" s="369">
        <v>1188153.926376634</v>
      </c>
      <c r="N208" s="367">
        <v>9254478.3919948339</v>
      </c>
      <c r="O208" s="370">
        <v>0</v>
      </c>
      <c r="P208" s="370">
        <v>0</v>
      </c>
      <c r="Q208" s="370">
        <v>0</v>
      </c>
      <c r="R208" s="370">
        <v>0</v>
      </c>
      <c r="S208" s="370">
        <v>0</v>
      </c>
      <c r="T208" s="379">
        <v>26069400</v>
      </c>
      <c r="U208" s="371">
        <v>0</v>
      </c>
      <c r="V208" s="371">
        <v>0</v>
      </c>
      <c r="W208" s="372">
        <v>9254478.3919948339</v>
      </c>
      <c r="X208" s="41"/>
      <c r="Y208" s="365">
        <v>0</v>
      </c>
      <c r="Z208" s="370">
        <v>0</v>
      </c>
      <c r="AA208" s="370">
        <v>0</v>
      </c>
      <c r="AB208" s="375">
        <v>9254478.3919948339</v>
      </c>
      <c r="AC208" s="41"/>
      <c r="AD208" s="449">
        <v>0</v>
      </c>
      <c r="AE208" s="365">
        <v>0</v>
      </c>
      <c r="AF208" s="375">
        <v>9254478.3919948339</v>
      </c>
      <c r="AH208" s="365">
        <v>0</v>
      </c>
      <c r="AI208" s="370">
        <v>0</v>
      </c>
      <c r="AJ208" s="370">
        <v>0</v>
      </c>
      <c r="AK208" s="375">
        <v>9254478.3919948339</v>
      </c>
      <c r="AM208" s="365">
        <v>0</v>
      </c>
      <c r="AN208" s="370">
        <v>0</v>
      </c>
      <c r="AO208" s="370">
        <v>0</v>
      </c>
      <c r="AP208" s="375">
        <v>9254478.3919948339</v>
      </c>
      <c r="AR208" s="365">
        <v>0</v>
      </c>
      <c r="AS208" s="375">
        <v>9254478.3919948339</v>
      </c>
      <c r="AU208" s="378">
        <v>0</v>
      </c>
      <c r="AV208" s="379">
        <v>0</v>
      </c>
      <c r="AW208" s="380">
        <v>0</v>
      </c>
      <c r="AX208" s="381">
        <v>9254478.3919948339</v>
      </c>
      <c r="AZ208" s="365">
        <v>0</v>
      </c>
      <c r="BA208" s="370">
        <v>0</v>
      </c>
      <c r="BB208" s="370">
        <v>0</v>
      </c>
      <c r="BC208" s="375">
        <v>9254478.3919948339</v>
      </c>
      <c r="BE208" s="365">
        <v>0</v>
      </c>
      <c r="BF208" s="370">
        <v>0</v>
      </c>
      <c r="BG208" s="370">
        <v>0</v>
      </c>
      <c r="BH208" s="375">
        <v>9254478.3919948339</v>
      </c>
      <c r="BJ208" s="365">
        <v>0</v>
      </c>
      <c r="BK208" s="370">
        <v>0</v>
      </c>
      <c r="BL208" s="370">
        <v>0</v>
      </c>
      <c r="BM208" s="375">
        <v>9254478.3919948339</v>
      </c>
      <c r="BO208" s="365">
        <v>0</v>
      </c>
      <c r="BP208" s="370">
        <v>0</v>
      </c>
      <c r="BQ208" s="370">
        <v>0</v>
      </c>
      <c r="BR208" s="375">
        <v>9254478.3919948339</v>
      </c>
      <c r="BT208" s="365">
        <v>0</v>
      </c>
      <c r="BU208" s="370">
        <v>0</v>
      </c>
      <c r="BV208" s="370">
        <v>0</v>
      </c>
      <c r="BW208" s="375">
        <v>9254478.3919948339</v>
      </c>
      <c r="BY208" s="365">
        <v>7866306.6331956089</v>
      </c>
      <c r="BZ208" s="373">
        <v>256867011.95686662</v>
      </c>
      <c r="CA208" s="375">
        <v>1388171.7587992251</v>
      </c>
      <c r="CC208" s="365">
        <v>0</v>
      </c>
      <c r="CD208" s="375">
        <v>0</v>
      </c>
      <c r="CF208" s="365">
        <v>0</v>
      </c>
      <c r="CG208" s="375">
        <v>0</v>
      </c>
      <c r="CI208" s="365">
        <v>1388171.7587992251</v>
      </c>
      <c r="CJ208" s="375">
        <v>7866306.6331956089</v>
      </c>
    </row>
    <row r="209" spans="5:88">
      <c r="G209" s="417">
        <v>205</v>
      </c>
      <c r="H209" s="251">
        <v>9</v>
      </c>
      <c r="I209" s="377">
        <v>0</v>
      </c>
      <c r="J209" s="368">
        <v>0</v>
      </c>
      <c r="K209" s="368">
        <v>2378632.3183714664</v>
      </c>
      <c r="L209" s="369">
        <v>1188816.1006024824</v>
      </c>
      <c r="N209" s="367">
        <v>1189816.2177689839</v>
      </c>
      <c r="O209" s="370">
        <v>0</v>
      </c>
      <c r="P209" s="370">
        <v>0</v>
      </c>
      <c r="Q209" s="370">
        <v>0</v>
      </c>
      <c r="R209" s="370">
        <v>0</v>
      </c>
      <c r="S209" s="370">
        <v>0</v>
      </c>
      <c r="T209" s="379">
        <v>26069400</v>
      </c>
      <c r="U209" s="371">
        <v>0</v>
      </c>
      <c r="V209" s="371">
        <v>0</v>
      </c>
      <c r="W209" s="372">
        <v>1189816.2177689839</v>
      </c>
      <c r="X209" s="41"/>
      <c r="Y209" s="365">
        <v>0</v>
      </c>
      <c r="Z209" s="370">
        <v>0</v>
      </c>
      <c r="AA209" s="370">
        <v>0</v>
      </c>
      <c r="AB209" s="375">
        <v>1189816.2177689839</v>
      </c>
      <c r="AC209" s="41"/>
      <c r="AD209" s="449">
        <v>0</v>
      </c>
      <c r="AE209" s="365">
        <v>0</v>
      </c>
      <c r="AF209" s="375">
        <v>1189816.2177689839</v>
      </c>
      <c r="AH209" s="365">
        <v>0</v>
      </c>
      <c r="AI209" s="370">
        <v>0</v>
      </c>
      <c r="AJ209" s="370">
        <v>0</v>
      </c>
      <c r="AK209" s="375">
        <v>1189816.2177689839</v>
      </c>
      <c r="AM209" s="365">
        <v>0</v>
      </c>
      <c r="AN209" s="370">
        <v>0</v>
      </c>
      <c r="AO209" s="370">
        <v>0</v>
      </c>
      <c r="AP209" s="375">
        <v>1189816.2177689839</v>
      </c>
      <c r="AR209" s="365">
        <v>0</v>
      </c>
      <c r="AS209" s="375">
        <v>1189816.2177689839</v>
      </c>
      <c r="AU209" s="378">
        <v>0</v>
      </c>
      <c r="AV209" s="379">
        <v>0</v>
      </c>
      <c r="AW209" s="380">
        <v>0</v>
      </c>
      <c r="AX209" s="381">
        <v>1189816.2177689839</v>
      </c>
      <c r="AZ209" s="365">
        <v>0</v>
      </c>
      <c r="BA209" s="370">
        <v>0</v>
      </c>
      <c r="BB209" s="370">
        <v>0</v>
      </c>
      <c r="BC209" s="375">
        <v>1189816.2177689839</v>
      </c>
      <c r="BE209" s="365">
        <v>0</v>
      </c>
      <c r="BF209" s="370">
        <v>0</v>
      </c>
      <c r="BG209" s="370">
        <v>0</v>
      </c>
      <c r="BH209" s="375">
        <v>1189816.2177689839</v>
      </c>
      <c r="BJ209" s="365">
        <v>0</v>
      </c>
      <c r="BK209" s="370">
        <v>0</v>
      </c>
      <c r="BL209" s="370">
        <v>0</v>
      </c>
      <c r="BM209" s="375">
        <v>1189816.2177689839</v>
      </c>
      <c r="BO209" s="365">
        <v>0</v>
      </c>
      <c r="BP209" s="370">
        <v>0</v>
      </c>
      <c r="BQ209" s="370">
        <v>0</v>
      </c>
      <c r="BR209" s="375">
        <v>1189816.2177689839</v>
      </c>
      <c r="BT209" s="365">
        <v>0</v>
      </c>
      <c r="BU209" s="370">
        <v>0</v>
      </c>
      <c r="BV209" s="370">
        <v>0</v>
      </c>
      <c r="BW209" s="375">
        <v>1189816.2177689839</v>
      </c>
      <c r="BY209" s="365">
        <v>1011343.7851036363</v>
      </c>
      <c r="BZ209" s="373">
        <v>257878355.74197027</v>
      </c>
      <c r="CA209" s="375">
        <v>178472.43266534759</v>
      </c>
      <c r="CC209" s="365">
        <v>0</v>
      </c>
      <c r="CD209" s="375">
        <v>0</v>
      </c>
      <c r="CF209" s="365">
        <v>0</v>
      </c>
      <c r="CG209" s="375">
        <v>0</v>
      </c>
      <c r="CI209" s="365">
        <v>178472.43266534759</v>
      </c>
      <c r="CJ209" s="375">
        <v>1011343.7851036363</v>
      </c>
    </row>
    <row r="210" spans="5:88">
      <c r="G210" s="417">
        <v>206</v>
      </c>
      <c r="H210" s="251">
        <v>9</v>
      </c>
      <c r="I210" s="377">
        <v>0</v>
      </c>
      <c r="J210" s="368">
        <v>0</v>
      </c>
      <c r="K210" s="368">
        <v>2378632.3183714664</v>
      </c>
      <c r="L210" s="369">
        <v>1189478.6438669674</v>
      </c>
      <c r="N210" s="367">
        <v>1189153.674504499</v>
      </c>
      <c r="O210" s="370">
        <v>0</v>
      </c>
      <c r="P210" s="370">
        <v>0</v>
      </c>
      <c r="Q210" s="370">
        <v>0</v>
      </c>
      <c r="R210" s="370">
        <v>0</v>
      </c>
      <c r="S210" s="370">
        <v>0</v>
      </c>
      <c r="T210" s="379">
        <v>26069400</v>
      </c>
      <c r="U210" s="371">
        <v>0</v>
      </c>
      <c r="V210" s="371">
        <v>0</v>
      </c>
      <c r="W210" s="372">
        <v>1189153.674504499</v>
      </c>
      <c r="X210" s="41"/>
      <c r="Y210" s="365">
        <v>0</v>
      </c>
      <c r="Z210" s="370">
        <v>0</v>
      </c>
      <c r="AA210" s="370">
        <v>0</v>
      </c>
      <c r="AB210" s="375">
        <v>1189153.674504499</v>
      </c>
      <c r="AC210" s="41"/>
      <c r="AD210" s="449">
        <v>0</v>
      </c>
      <c r="AE210" s="365">
        <v>0</v>
      </c>
      <c r="AF210" s="375">
        <v>1189153.674504499</v>
      </c>
      <c r="AH210" s="365">
        <v>0</v>
      </c>
      <c r="AI210" s="370">
        <v>0</v>
      </c>
      <c r="AJ210" s="370">
        <v>0</v>
      </c>
      <c r="AK210" s="375">
        <v>1189153.674504499</v>
      </c>
      <c r="AM210" s="365">
        <v>0</v>
      </c>
      <c r="AN210" s="370">
        <v>0</v>
      </c>
      <c r="AO210" s="370">
        <v>0</v>
      </c>
      <c r="AP210" s="375">
        <v>1189153.674504499</v>
      </c>
      <c r="AR210" s="365">
        <v>0</v>
      </c>
      <c r="AS210" s="375">
        <v>1189153.674504499</v>
      </c>
      <c r="AU210" s="378">
        <v>0</v>
      </c>
      <c r="AV210" s="379">
        <v>0</v>
      </c>
      <c r="AW210" s="380">
        <v>0</v>
      </c>
      <c r="AX210" s="381">
        <v>1189153.674504499</v>
      </c>
      <c r="AZ210" s="365">
        <v>0</v>
      </c>
      <c r="BA210" s="370">
        <v>0</v>
      </c>
      <c r="BB210" s="370">
        <v>0</v>
      </c>
      <c r="BC210" s="375">
        <v>1189153.674504499</v>
      </c>
      <c r="BE210" s="365">
        <v>0</v>
      </c>
      <c r="BF210" s="370">
        <v>0</v>
      </c>
      <c r="BG210" s="370">
        <v>0</v>
      </c>
      <c r="BH210" s="375">
        <v>1189153.674504499</v>
      </c>
      <c r="BJ210" s="365">
        <v>0</v>
      </c>
      <c r="BK210" s="370">
        <v>0</v>
      </c>
      <c r="BL210" s="370">
        <v>0</v>
      </c>
      <c r="BM210" s="375">
        <v>1189153.674504499</v>
      </c>
      <c r="BO210" s="365">
        <v>0</v>
      </c>
      <c r="BP210" s="370">
        <v>0</v>
      </c>
      <c r="BQ210" s="370">
        <v>0</v>
      </c>
      <c r="BR210" s="375">
        <v>1189153.674504499</v>
      </c>
      <c r="BT210" s="365">
        <v>0</v>
      </c>
      <c r="BU210" s="370">
        <v>0</v>
      </c>
      <c r="BV210" s="370">
        <v>0</v>
      </c>
      <c r="BW210" s="375">
        <v>1189153.674504499</v>
      </c>
      <c r="BY210" s="365">
        <v>1010780.6233288241</v>
      </c>
      <c r="BZ210" s="373">
        <v>258889136.36529911</v>
      </c>
      <c r="CA210" s="375">
        <v>178373.05117567489</v>
      </c>
      <c r="CC210" s="365">
        <v>0</v>
      </c>
      <c r="CD210" s="375">
        <v>0</v>
      </c>
      <c r="CF210" s="365">
        <v>0</v>
      </c>
      <c r="CG210" s="375">
        <v>0</v>
      </c>
      <c r="CI210" s="365">
        <v>178373.05117567483</v>
      </c>
      <c r="CJ210" s="375">
        <v>1010780.6233288241</v>
      </c>
    </row>
    <row r="211" spans="5:88">
      <c r="E211" s="96"/>
      <c r="F211" s="404"/>
      <c r="G211" s="417">
        <v>207</v>
      </c>
      <c r="H211" s="251">
        <v>9</v>
      </c>
      <c r="I211" s="377">
        <v>0</v>
      </c>
      <c r="J211" s="368">
        <v>0</v>
      </c>
      <c r="K211" s="368">
        <v>2378632.3183714664</v>
      </c>
      <c r="L211" s="369">
        <v>1190141.5563757597</v>
      </c>
      <c r="N211" s="367">
        <v>1188490.7619957067</v>
      </c>
      <c r="O211" s="370">
        <v>0</v>
      </c>
      <c r="P211" s="370">
        <v>0</v>
      </c>
      <c r="Q211" s="370">
        <v>0</v>
      </c>
      <c r="R211" s="370">
        <v>0</v>
      </c>
      <c r="S211" s="370">
        <v>0</v>
      </c>
      <c r="T211" s="379">
        <v>26069400</v>
      </c>
      <c r="U211" s="371">
        <v>0</v>
      </c>
      <c r="V211" s="371">
        <v>0</v>
      </c>
      <c r="W211" s="372">
        <v>1188490.7619957067</v>
      </c>
      <c r="X211" s="41"/>
      <c r="Y211" s="365">
        <v>0</v>
      </c>
      <c r="Z211" s="370">
        <v>0</v>
      </c>
      <c r="AA211" s="370">
        <v>0</v>
      </c>
      <c r="AB211" s="375">
        <v>1188490.7619957067</v>
      </c>
      <c r="AC211" s="41"/>
      <c r="AD211" s="449">
        <v>0</v>
      </c>
      <c r="AE211" s="365">
        <v>0</v>
      </c>
      <c r="AF211" s="375">
        <v>1188490.7619957067</v>
      </c>
      <c r="AH211" s="365">
        <v>0</v>
      </c>
      <c r="AI211" s="370">
        <v>0</v>
      </c>
      <c r="AJ211" s="370">
        <v>0</v>
      </c>
      <c r="AK211" s="375">
        <v>1188490.7619957067</v>
      </c>
      <c r="AM211" s="365">
        <v>0</v>
      </c>
      <c r="AN211" s="370">
        <v>0</v>
      </c>
      <c r="AO211" s="370">
        <v>0</v>
      </c>
      <c r="AP211" s="375">
        <v>1188490.7619957067</v>
      </c>
      <c r="AR211" s="365">
        <v>0</v>
      </c>
      <c r="AS211" s="375">
        <v>1188490.7619957067</v>
      </c>
      <c r="AU211" s="378">
        <v>0</v>
      </c>
      <c r="AV211" s="379">
        <v>0</v>
      </c>
      <c r="AW211" s="380">
        <v>0</v>
      </c>
      <c r="AX211" s="381">
        <v>1188490.7619957067</v>
      </c>
      <c r="AZ211" s="365">
        <v>0</v>
      </c>
      <c r="BA211" s="370">
        <v>0</v>
      </c>
      <c r="BB211" s="370">
        <v>0</v>
      </c>
      <c r="BC211" s="375">
        <v>1188490.7619957067</v>
      </c>
      <c r="BE211" s="365">
        <v>0</v>
      </c>
      <c r="BF211" s="370">
        <v>0</v>
      </c>
      <c r="BG211" s="370">
        <v>0</v>
      </c>
      <c r="BH211" s="375">
        <v>1188490.7619957067</v>
      </c>
      <c r="BJ211" s="365">
        <v>0</v>
      </c>
      <c r="BK211" s="370">
        <v>0</v>
      </c>
      <c r="BL211" s="370">
        <v>0</v>
      </c>
      <c r="BM211" s="375">
        <v>1188490.7619957067</v>
      </c>
      <c r="BO211" s="365">
        <v>0</v>
      </c>
      <c r="BP211" s="370">
        <v>0</v>
      </c>
      <c r="BQ211" s="370">
        <v>0</v>
      </c>
      <c r="BR211" s="375">
        <v>1188490.7619957067</v>
      </c>
      <c r="BT211" s="365">
        <v>0</v>
      </c>
      <c r="BU211" s="370">
        <v>0</v>
      </c>
      <c r="BV211" s="370">
        <v>0</v>
      </c>
      <c r="BW211" s="375">
        <v>1188490.7619957067</v>
      </c>
      <c r="BY211" s="365">
        <v>1010217.1476963507</v>
      </c>
      <c r="BZ211" s="373">
        <v>259899353.51299545</v>
      </c>
      <c r="CA211" s="375">
        <v>178273.61429935601</v>
      </c>
      <c r="CC211" s="365">
        <v>0</v>
      </c>
      <c r="CD211" s="375">
        <v>0</v>
      </c>
      <c r="CF211" s="365">
        <v>0</v>
      </c>
      <c r="CG211" s="375">
        <v>0</v>
      </c>
      <c r="CI211" s="365">
        <v>178273.61429935601</v>
      </c>
      <c r="CJ211" s="375">
        <v>1010217.1476963507</v>
      </c>
    </row>
    <row r="212" spans="5:88">
      <c r="G212" s="417">
        <v>208</v>
      </c>
      <c r="H212" s="251">
        <v>9</v>
      </c>
      <c r="I212" s="377">
        <v>0</v>
      </c>
      <c r="J212" s="368">
        <v>0</v>
      </c>
      <c r="K212" s="368">
        <v>2378632.3183714664</v>
      </c>
      <c r="L212" s="369">
        <v>1190804.838334644</v>
      </c>
      <c r="N212" s="367">
        <v>1187827.4800368224</v>
      </c>
      <c r="O212" s="370">
        <v>0</v>
      </c>
      <c r="P212" s="370">
        <v>0</v>
      </c>
      <c r="Q212" s="370">
        <v>0</v>
      </c>
      <c r="R212" s="370">
        <v>0</v>
      </c>
      <c r="S212" s="370">
        <v>0</v>
      </c>
      <c r="T212" s="379">
        <v>26069400</v>
      </c>
      <c r="U212" s="371">
        <v>0</v>
      </c>
      <c r="V212" s="371">
        <v>0</v>
      </c>
      <c r="W212" s="372">
        <v>1187827.4800368224</v>
      </c>
      <c r="X212" s="41"/>
      <c r="Y212" s="365">
        <v>0</v>
      </c>
      <c r="Z212" s="370">
        <v>0</v>
      </c>
      <c r="AA212" s="370">
        <v>0</v>
      </c>
      <c r="AB212" s="375">
        <v>1187827.4800368224</v>
      </c>
      <c r="AC212" s="41"/>
      <c r="AD212" s="449">
        <v>0</v>
      </c>
      <c r="AE212" s="365">
        <v>0</v>
      </c>
      <c r="AF212" s="375">
        <v>1187827.4800368224</v>
      </c>
      <c r="AH212" s="365">
        <v>0</v>
      </c>
      <c r="AI212" s="370">
        <v>0</v>
      </c>
      <c r="AJ212" s="370">
        <v>0</v>
      </c>
      <c r="AK212" s="375">
        <v>1187827.4800368224</v>
      </c>
      <c r="AM212" s="365">
        <v>0</v>
      </c>
      <c r="AN212" s="370">
        <v>0</v>
      </c>
      <c r="AO212" s="370">
        <v>0</v>
      </c>
      <c r="AP212" s="375">
        <v>1187827.4800368224</v>
      </c>
      <c r="AR212" s="365">
        <v>0</v>
      </c>
      <c r="AS212" s="375">
        <v>1187827.4800368224</v>
      </c>
      <c r="AU212" s="378">
        <v>0</v>
      </c>
      <c r="AV212" s="379">
        <v>0</v>
      </c>
      <c r="AW212" s="380">
        <v>0</v>
      </c>
      <c r="AX212" s="381">
        <v>1187827.4800368224</v>
      </c>
      <c r="AZ212" s="365">
        <v>0</v>
      </c>
      <c r="BA212" s="370">
        <v>0</v>
      </c>
      <c r="BB212" s="370">
        <v>0</v>
      </c>
      <c r="BC212" s="375">
        <v>1187827.4800368224</v>
      </c>
      <c r="BE212" s="365">
        <v>0</v>
      </c>
      <c r="BF212" s="370">
        <v>0</v>
      </c>
      <c r="BG212" s="370">
        <v>0</v>
      </c>
      <c r="BH212" s="375">
        <v>1187827.4800368224</v>
      </c>
      <c r="BJ212" s="365">
        <v>0</v>
      </c>
      <c r="BK212" s="370">
        <v>0</v>
      </c>
      <c r="BL212" s="370">
        <v>0</v>
      </c>
      <c r="BM212" s="375">
        <v>1187827.4800368224</v>
      </c>
      <c r="BO212" s="365">
        <v>0</v>
      </c>
      <c r="BP212" s="370">
        <v>0</v>
      </c>
      <c r="BQ212" s="370">
        <v>0</v>
      </c>
      <c r="BR212" s="375">
        <v>1187827.4800368224</v>
      </c>
      <c r="BT212" s="365">
        <v>0</v>
      </c>
      <c r="BU212" s="370">
        <v>0</v>
      </c>
      <c r="BV212" s="370">
        <v>0</v>
      </c>
      <c r="BW212" s="375">
        <v>1187827.4800368224</v>
      </c>
      <c r="BY212" s="365">
        <v>1009653.358031299</v>
      </c>
      <c r="BZ212" s="373">
        <v>260909006.87102675</v>
      </c>
      <c r="CA212" s="375">
        <v>178174.12200552342</v>
      </c>
      <c r="CC212" s="365">
        <v>0</v>
      </c>
      <c r="CD212" s="375">
        <v>0</v>
      </c>
      <c r="CF212" s="365">
        <v>0</v>
      </c>
      <c r="CG212" s="375">
        <v>0</v>
      </c>
      <c r="CI212" s="365">
        <v>178174.12200552336</v>
      </c>
      <c r="CJ212" s="375">
        <v>1009653.358031299</v>
      </c>
    </row>
    <row r="213" spans="5:88">
      <c r="G213" s="417">
        <v>209</v>
      </c>
      <c r="H213" s="251">
        <v>9</v>
      </c>
      <c r="I213" s="377">
        <v>0</v>
      </c>
      <c r="J213" s="368">
        <v>0</v>
      </c>
      <c r="K213" s="368">
        <v>2378632.3183714664</v>
      </c>
      <c r="L213" s="369">
        <v>1191468.4899495195</v>
      </c>
      <c r="N213" s="367">
        <v>1187163.8284219468</v>
      </c>
      <c r="O213" s="370">
        <v>0</v>
      </c>
      <c r="P213" s="370">
        <v>0</v>
      </c>
      <c r="Q213" s="370">
        <v>0</v>
      </c>
      <c r="R213" s="370">
        <v>0</v>
      </c>
      <c r="S213" s="370">
        <v>0</v>
      </c>
      <c r="T213" s="379">
        <v>26069400</v>
      </c>
      <c r="U213" s="371">
        <v>0</v>
      </c>
      <c r="V213" s="371">
        <v>0</v>
      </c>
      <c r="W213" s="372">
        <v>1187163.8284219468</v>
      </c>
      <c r="X213" s="41"/>
      <c r="Y213" s="365">
        <v>0</v>
      </c>
      <c r="Z213" s="370">
        <v>0</v>
      </c>
      <c r="AA213" s="370">
        <v>0</v>
      </c>
      <c r="AB213" s="375">
        <v>1187163.8284219468</v>
      </c>
      <c r="AC213" s="41"/>
      <c r="AD213" s="449">
        <v>0</v>
      </c>
      <c r="AE213" s="365">
        <v>0</v>
      </c>
      <c r="AF213" s="375">
        <v>1187163.8284219468</v>
      </c>
      <c r="AH213" s="365">
        <v>0</v>
      </c>
      <c r="AI213" s="370">
        <v>0</v>
      </c>
      <c r="AJ213" s="370">
        <v>0</v>
      </c>
      <c r="AK213" s="375">
        <v>1187163.8284219468</v>
      </c>
      <c r="AM213" s="365">
        <v>0</v>
      </c>
      <c r="AN213" s="370">
        <v>0</v>
      </c>
      <c r="AO213" s="370">
        <v>0</v>
      </c>
      <c r="AP213" s="375">
        <v>1187163.8284219468</v>
      </c>
      <c r="AR213" s="365">
        <v>0</v>
      </c>
      <c r="AS213" s="375">
        <v>1187163.8284219468</v>
      </c>
      <c r="AU213" s="378">
        <v>0</v>
      </c>
      <c r="AV213" s="379">
        <v>0</v>
      </c>
      <c r="AW213" s="380">
        <v>0</v>
      </c>
      <c r="AX213" s="381">
        <v>1187163.8284219468</v>
      </c>
      <c r="AZ213" s="365">
        <v>0</v>
      </c>
      <c r="BA213" s="370">
        <v>0</v>
      </c>
      <c r="BB213" s="370">
        <v>0</v>
      </c>
      <c r="BC213" s="375">
        <v>1187163.8284219468</v>
      </c>
      <c r="BE213" s="365">
        <v>0</v>
      </c>
      <c r="BF213" s="370">
        <v>0</v>
      </c>
      <c r="BG213" s="370">
        <v>0</v>
      </c>
      <c r="BH213" s="375">
        <v>1187163.8284219468</v>
      </c>
      <c r="BJ213" s="365">
        <v>0</v>
      </c>
      <c r="BK213" s="370">
        <v>0</v>
      </c>
      <c r="BL213" s="370">
        <v>0</v>
      </c>
      <c r="BM213" s="375">
        <v>1187163.8284219468</v>
      </c>
      <c r="BO213" s="365">
        <v>0</v>
      </c>
      <c r="BP213" s="370">
        <v>0</v>
      </c>
      <c r="BQ213" s="370">
        <v>0</v>
      </c>
      <c r="BR213" s="375">
        <v>1187163.8284219468</v>
      </c>
      <c r="BT213" s="365">
        <v>0</v>
      </c>
      <c r="BU213" s="370">
        <v>0</v>
      </c>
      <c r="BV213" s="370">
        <v>0</v>
      </c>
      <c r="BW213" s="375">
        <v>1187163.8284219468</v>
      </c>
      <c r="BY213" s="365">
        <v>1009089.2541586548</v>
      </c>
      <c r="BZ213" s="373">
        <v>261918096.1251854</v>
      </c>
      <c r="CA213" s="375">
        <v>178074.57426329202</v>
      </c>
      <c r="CC213" s="365">
        <v>0</v>
      </c>
      <c r="CD213" s="375">
        <v>0</v>
      </c>
      <c r="CF213" s="365">
        <v>0</v>
      </c>
      <c r="CG213" s="375">
        <v>0</v>
      </c>
      <c r="CI213" s="365">
        <v>178074.57426329202</v>
      </c>
      <c r="CJ213" s="375">
        <v>1009089.2541586548</v>
      </c>
    </row>
    <row r="214" spans="5:88">
      <c r="G214" s="417">
        <v>210</v>
      </c>
      <c r="H214" s="251">
        <v>9</v>
      </c>
      <c r="I214" s="377">
        <v>0</v>
      </c>
      <c r="J214" s="368">
        <v>0</v>
      </c>
      <c r="K214" s="368">
        <v>2378632.3183714664</v>
      </c>
      <c r="L214" s="369">
        <v>1192132.5114264009</v>
      </c>
      <c r="N214" s="367">
        <v>1186499.8069450655</v>
      </c>
      <c r="O214" s="370">
        <v>0</v>
      </c>
      <c r="P214" s="370">
        <v>0</v>
      </c>
      <c r="Q214" s="370">
        <v>0</v>
      </c>
      <c r="R214" s="370">
        <v>0</v>
      </c>
      <c r="S214" s="370">
        <v>0</v>
      </c>
      <c r="T214" s="379">
        <v>26069400</v>
      </c>
      <c r="U214" s="371">
        <v>0</v>
      </c>
      <c r="V214" s="371">
        <v>0</v>
      </c>
      <c r="W214" s="372">
        <v>1186499.8069450655</v>
      </c>
      <c r="X214" s="41"/>
      <c r="Y214" s="365">
        <v>0</v>
      </c>
      <c r="Z214" s="370">
        <v>0</v>
      </c>
      <c r="AA214" s="370">
        <v>0</v>
      </c>
      <c r="AB214" s="375">
        <v>1186499.8069450655</v>
      </c>
      <c r="AC214" s="41"/>
      <c r="AD214" s="449">
        <v>0</v>
      </c>
      <c r="AE214" s="365">
        <v>0</v>
      </c>
      <c r="AF214" s="375">
        <v>1186499.8069450655</v>
      </c>
      <c r="AH214" s="365">
        <v>0</v>
      </c>
      <c r="AI214" s="370">
        <v>0</v>
      </c>
      <c r="AJ214" s="370">
        <v>0</v>
      </c>
      <c r="AK214" s="375">
        <v>1186499.8069450655</v>
      </c>
      <c r="AM214" s="365">
        <v>0</v>
      </c>
      <c r="AN214" s="370">
        <v>0</v>
      </c>
      <c r="AO214" s="370">
        <v>0</v>
      </c>
      <c r="AP214" s="375">
        <v>1186499.8069450655</v>
      </c>
      <c r="AR214" s="365">
        <v>0</v>
      </c>
      <c r="AS214" s="375">
        <v>1186499.8069450655</v>
      </c>
      <c r="AU214" s="378">
        <v>0</v>
      </c>
      <c r="AV214" s="379">
        <v>0</v>
      </c>
      <c r="AW214" s="380">
        <v>0</v>
      </c>
      <c r="AX214" s="381">
        <v>1186499.8069450655</v>
      </c>
      <c r="AZ214" s="365">
        <v>0</v>
      </c>
      <c r="BA214" s="370">
        <v>0</v>
      </c>
      <c r="BB214" s="370">
        <v>0</v>
      </c>
      <c r="BC214" s="375">
        <v>1186499.8069450655</v>
      </c>
      <c r="BE214" s="365">
        <v>0</v>
      </c>
      <c r="BF214" s="370">
        <v>0</v>
      </c>
      <c r="BG214" s="370">
        <v>0</v>
      </c>
      <c r="BH214" s="375">
        <v>1186499.8069450655</v>
      </c>
      <c r="BJ214" s="365">
        <v>0</v>
      </c>
      <c r="BK214" s="370">
        <v>0</v>
      </c>
      <c r="BL214" s="370">
        <v>0</v>
      </c>
      <c r="BM214" s="375">
        <v>1186499.8069450655</v>
      </c>
      <c r="BO214" s="365">
        <v>0</v>
      </c>
      <c r="BP214" s="370">
        <v>0</v>
      </c>
      <c r="BQ214" s="370">
        <v>0</v>
      </c>
      <c r="BR214" s="375">
        <v>1186499.8069450655</v>
      </c>
      <c r="BT214" s="365">
        <v>0</v>
      </c>
      <c r="BU214" s="370">
        <v>0</v>
      </c>
      <c r="BV214" s="370">
        <v>0</v>
      </c>
      <c r="BW214" s="375">
        <v>1186499.8069450655</v>
      </c>
      <c r="BY214" s="365">
        <v>1008524.8359033057</v>
      </c>
      <c r="BZ214" s="373">
        <v>262926620.96108872</v>
      </c>
      <c r="CA214" s="375">
        <v>177974.97104175983</v>
      </c>
      <c r="CC214" s="365">
        <v>0</v>
      </c>
      <c r="CD214" s="375">
        <v>0</v>
      </c>
      <c r="CF214" s="365">
        <v>0</v>
      </c>
      <c r="CG214" s="375">
        <v>0</v>
      </c>
      <c r="CI214" s="365">
        <v>177974.97104175983</v>
      </c>
      <c r="CJ214" s="375">
        <v>1008524.8359033057</v>
      </c>
    </row>
    <row r="215" spans="5:88">
      <c r="G215" s="417">
        <v>211</v>
      </c>
      <c r="H215" s="251">
        <v>9</v>
      </c>
      <c r="I215" s="377">
        <v>2</v>
      </c>
      <c r="J215" s="368">
        <v>0</v>
      </c>
      <c r="K215" s="368">
        <v>1729293.3433696588</v>
      </c>
      <c r="L215" s="369">
        <v>1192796.9029714172</v>
      </c>
      <c r="N215" s="367">
        <v>536496.44039824163</v>
      </c>
      <c r="O215" s="370">
        <v>0</v>
      </c>
      <c r="P215" s="370">
        <v>0</v>
      </c>
      <c r="Q215" s="370">
        <v>0</v>
      </c>
      <c r="R215" s="370">
        <v>0</v>
      </c>
      <c r="S215" s="370">
        <v>0</v>
      </c>
      <c r="T215" s="379">
        <v>26069400</v>
      </c>
      <c r="U215" s="371">
        <v>0</v>
      </c>
      <c r="V215" s="371">
        <v>0</v>
      </c>
      <c r="W215" s="372">
        <v>536496.44039824163</v>
      </c>
      <c r="X215" s="41"/>
      <c r="Y215" s="365">
        <v>0</v>
      </c>
      <c r="Z215" s="370">
        <v>0</v>
      </c>
      <c r="AA215" s="370">
        <v>0</v>
      </c>
      <c r="AB215" s="375">
        <v>536496.44039824163</v>
      </c>
      <c r="AC215" s="41"/>
      <c r="AD215" s="449">
        <v>0</v>
      </c>
      <c r="AE215" s="365">
        <v>0</v>
      </c>
      <c r="AF215" s="375">
        <v>536496.44039824163</v>
      </c>
      <c r="AH215" s="365">
        <v>0</v>
      </c>
      <c r="AI215" s="370">
        <v>0</v>
      </c>
      <c r="AJ215" s="370">
        <v>0</v>
      </c>
      <c r="AK215" s="375">
        <v>536496.44039824163</v>
      </c>
      <c r="AM215" s="365">
        <v>0</v>
      </c>
      <c r="AN215" s="370">
        <v>0</v>
      </c>
      <c r="AO215" s="370">
        <v>0</v>
      </c>
      <c r="AP215" s="375">
        <v>536496.44039824163</v>
      </c>
      <c r="AR215" s="365">
        <v>0</v>
      </c>
      <c r="AS215" s="375">
        <v>536496.44039824163</v>
      </c>
      <c r="AU215" s="378">
        <v>0</v>
      </c>
      <c r="AV215" s="379">
        <v>0</v>
      </c>
      <c r="AW215" s="380">
        <v>0</v>
      </c>
      <c r="AX215" s="381">
        <v>536496.44039824163</v>
      </c>
      <c r="AZ215" s="365">
        <v>0</v>
      </c>
      <c r="BA215" s="370">
        <v>0</v>
      </c>
      <c r="BB215" s="370">
        <v>0</v>
      </c>
      <c r="BC215" s="375">
        <v>536496.44039824163</v>
      </c>
      <c r="BE215" s="365">
        <v>0</v>
      </c>
      <c r="BF215" s="370">
        <v>0</v>
      </c>
      <c r="BG215" s="370">
        <v>0</v>
      </c>
      <c r="BH215" s="375">
        <v>536496.44039824163</v>
      </c>
      <c r="BJ215" s="365">
        <v>0</v>
      </c>
      <c r="BK215" s="370">
        <v>0</v>
      </c>
      <c r="BL215" s="370">
        <v>0</v>
      </c>
      <c r="BM215" s="375">
        <v>536496.44039824163</v>
      </c>
      <c r="BO215" s="365">
        <v>0</v>
      </c>
      <c r="BP215" s="370">
        <v>0</v>
      </c>
      <c r="BQ215" s="370">
        <v>0</v>
      </c>
      <c r="BR215" s="375">
        <v>536496.44039824163</v>
      </c>
      <c r="BT215" s="365">
        <v>0</v>
      </c>
      <c r="BU215" s="370">
        <v>0</v>
      </c>
      <c r="BV215" s="370">
        <v>0</v>
      </c>
      <c r="BW215" s="375">
        <v>536496.44039824163</v>
      </c>
      <c r="BY215" s="365">
        <v>456021.97433850536</v>
      </c>
      <c r="BZ215" s="373">
        <v>263382642.93542722</v>
      </c>
      <c r="CA215" s="375">
        <v>80474.466059736267</v>
      </c>
      <c r="CC215" s="365">
        <v>0</v>
      </c>
      <c r="CD215" s="375">
        <v>0</v>
      </c>
      <c r="CF215" s="365">
        <v>0</v>
      </c>
      <c r="CG215" s="375">
        <v>0</v>
      </c>
      <c r="CI215" s="365">
        <v>80474.466059736238</v>
      </c>
      <c r="CJ215" s="375">
        <v>456021.97433850536</v>
      </c>
    </row>
    <row r="216" spans="5:88">
      <c r="G216" s="417">
        <v>212</v>
      </c>
      <c r="H216" s="251">
        <v>9</v>
      </c>
      <c r="I216" s="377">
        <v>1</v>
      </c>
      <c r="J216" s="368">
        <v>0</v>
      </c>
      <c r="K216" s="368">
        <v>2069207.1172624812</v>
      </c>
      <c r="L216" s="369">
        <v>1193461.6647908122</v>
      </c>
      <c r="N216" s="367">
        <v>875745.45247166906</v>
      </c>
      <c r="O216" s="370">
        <v>0</v>
      </c>
      <c r="P216" s="370">
        <v>0</v>
      </c>
      <c r="Q216" s="370">
        <v>0</v>
      </c>
      <c r="R216" s="370">
        <v>0</v>
      </c>
      <c r="S216" s="370">
        <v>0</v>
      </c>
      <c r="T216" s="379">
        <v>26069400</v>
      </c>
      <c r="U216" s="371">
        <v>0</v>
      </c>
      <c r="V216" s="371">
        <v>0</v>
      </c>
      <c r="W216" s="372">
        <v>875745.45247166906</v>
      </c>
      <c r="X216" s="41"/>
      <c r="Y216" s="365">
        <v>0</v>
      </c>
      <c r="Z216" s="370">
        <v>0</v>
      </c>
      <c r="AA216" s="370">
        <v>0</v>
      </c>
      <c r="AB216" s="375">
        <v>875745.45247166906</v>
      </c>
      <c r="AC216" s="41"/>
      <c r="AD216" s="449">
        <v>0</v>
      </c>
      <c r="AE216" s="365">
        <v>0</v>
      </c>
      <c r="AF216" s="375">
        <v>875745.45247166906</v>
      </c>
      <c r="AH216" s="365">
        <v>0</v>
      </c>
      <c r="AI216" s="370">
        <v>0</v>
      </c>
      <c r="AJ216" s="370">
        <v>0</v>
      </c>
      <c r="AK216" s="375">
        <v>875745.45247166906</v>
      </c>
      <c r="AM216" s="365">
        <v>0</v>
      </c>
      <c r="AN216" s="370">
        <v>0</v>
      </c>
      <c r="AO216" s="370">
        <v>0</v>
      </c>
      <c r="AP216" s="375">
        <v>875745.45247166906</v>
      </c>
      <c r="AR216" s="365">
        <v>0</v>
      </c>
      <c r="AS216" s="375">
        <v>875745.45247166906</v>
      </c>
      <c r="AU216" s="378">
        <v>0</v>
      </c>
      <c r="AV216" s="379">
        <v>0</v>
      </c>
      <c r="AW216" s="380">
        <v>0</v>
      </c>
      <c r="AX216" s="381">
        <v>875745.45247166906</v>
      </c>
      <c r="AZ216" s="365">
        <v>0</v>
      </c>
      <c r="BA216" s="370">
        <v>0</v>
      </c>
      <c r="BB216" s="370">
        <v>0</v>
      </c>
      <c r="BC216" s="375">
        <v>875745.45247166906</v>
      </c>
      <c r="BE216" s="365">
        <v>0</v>
      </c>
      <c r="BF216" s="370">
        <v>0</v>
      </c>
      <c r="BG216" s="370">
        <v>0</v>
      </c>
      <c r="BH216" s="375">
        <v>875745.45247166906</v>
      </c>
      <c r="BJ216" s="365">
        <v>0</v>
      </c>
      <c r="BK216" s="370">
        <v>0</v>
      </c>
      <c r="BL216" s="370">
        <v>0</v>
      </c>
      <c r="BM216" s="375">
        <v>875745.45247166906</v>
      </c>
      <c r="BO216" s="365">
        <v>0</v>
      </c>
      <c r="BP216" s="370">
        <v>0</v>
      </c>
      <c r="BQ216" s="370">
        <v>0</v>
      </c>
      <c r="BR216" s="375">
        <v>875745.45247166906</v>
      </c>
      <c r="BT216" s="365">
        <v>0</v>
      </c>
      <c r="BU216" s="370">
        <v>0</v>
      </c>
      <c r="BV216" s="370">
        <v>0</v>
      </c>
      <c r="BW216" s="375">
        <v>875745.45247166906</v>
      </c>
      <c r="BY216" s="365">
        <v>744383.63460091874</v>
      </c>
      <c r="BZ216" s="373">
        <v>264127026.57002813</v>
      </c>
      <c r="CA216" s="375">
        <v>131361.81787075032</v>
      </c>
      <c r="CC216" s="365">
        <v>0</v>
      </c>
      <c r="CD216" s="375">
        <v>0</v>
      </c>
      <c r="CF216" s="365">
        <v>0</v>
      </c>
      <c r="CG216" s="375">
        <v>0</v>
      </c>
      <c r="CI216" s="365">
        <v>131361.81787075035</v>
      </c>
      <c r="CJ216" s="375">
        <v>744383.63460091874</v>
      </c>
    </row>
    <row r="217" spans="5:88">
      <c r="G217" s="417">
        <v>213</v>
      </c>
      <c r="H217" s="251">
        <v>9</v>
      </c>
      <c r="I217" s="377">
        <v>0</v>
      </c>
      <c r="J217" s="368">
        <v>0</v>
      </c>
      <c r="K217" s="368">
        <v>2384288.2754164818</v>
      </c>
      <c r="L217" s="369">
        <v>1194126.7970909448</v>
      </c>
      <c r="N217" s="367">
        <v>1190161.4783255369</v>
      </c>
      <c r="O217" s="370">
        <v>0</v>
      </c>
      <c r="P217" s="370">
        <v>0</v>
      </c>
      <c r="Q217" s="370">
        <v>0</v>
      </c>
      <c r="R217" s="370">
        <v>0</v>
      </c>
      <c r="S217" s="370">
        <v>0</v>
      </c>
      <c r="T217" s="379">
        <v>26069400</v>
      </c>
      <c r="U217" s="371">
        <v>0</v>
      </c>
      <c r="V217" s="371">
        <v>0</v>
      </c>
      <c r="W217" s="372">
        <v>1190161.4783255369</v>
      </c>
      <c r="X217" s="41"/>
      <c r="Y217" s="365">
        <v>0</v>
      </c>
      <c r="Z217" s="370">
        <v>0</v>
      </c>
      <c r="AA217" s="370">
        <v>0</v>
      </c>
      <c r="AB217" s="375">
        <v>1190161.4783255369</v>
      </c>
      <c r="AC217" s="41"/>
      <c r="AD217" s="449">
        <v>0</v>
      </c>
      <c r="AE217" s="365">
        <v>0</v>
      </c>
      <c r="AF217" s="375">
        <v>1190161.4783255369</v>
      </c>
      <c r="AH217" s="365">
        <v>0</v>
      </c>
      <c r="AI217" s="370">
        <v>0</v>
      </c>
      <c r="AJ217" s="370">
        <v>0</v>
      </c>
      <c r="AK217" s="375">
        <v>1190161.4783255369</v>
      </c>
      <c r="AM217" s="365">
        <v>0</v>
      </c>
      <c r="AN217" s="370">
        <v>0</v>
      </c>
      <c r="AO217" s="370">
        <v>0</v>
      </c>
      <c r="AP217" s="375">
        <v>1190161.4783255369</v>
      </c>
      <c r="AR217" s="365">
        <v>0</v>
      </c>
      <c r="AS217" s="375">
        <v>1190161.4783255369</v>
      </c>
      <c r="AU217" s="378">
        <v>0</v>
      </c>
      <c r="AV217" s="379">
        <v>0</v>
      </c>
      <c r="AW217" s="380">
        <v>0</v>
      </c>
      <c r="AX217" s="381">
        <v>1190161.4783255369</v>
      </c>
      <c r="AZ217" s="365">
        <v>0</v>
      </c>
      <c r="BA217" s="370">
        <v>0</v>
      </c>
      <c r="BB217" s="370">
        <v>0</v>
      </c>
      <c r="BC217" s="375">
        <v>1190161.4783255369</v>
      </c>
      <c r="BE217" s="365">
        <v>0</v>
      </c>
      <c r="BF217" s="370">
        <v>0</v>
      </c>
      <c r="BG217" s="370">
        <v>0</v>
      </c>
      <c r="BH217" s="375">
        <v>1190161.4783255369</v>
      </c>
      <c r="BJ217" s="365">
        <v>0</v>
      </c>
      <c r="BK217" s="370">
        <v>0</v>
      </c>
      <c r="BL217" s="370">
        <v>0</v>
      </c>
      <c r="BM217" s="375">
        <v>1190161.4783255369</v>
      </c>
      <c r="BO217" s="365">
        <v>0</v>
      </c>
      <c r="BP217" s="370">
        <v>0</v>
      </c>
      <c r="BQ217" s="370">
        <v>0</v>
      </c>
      <c r="BR217" s="375">
        <v>1190161.4783255369</v>
      </c>
      <c r="BT217" s="365">
        <v>0</v>
      </c>
      <c r="BU217" s="370">
        <v>0</v>
      </c>
      <c r="BV217" s="370">
        <v>0</v>
      </c>
      <c r="BW217" s="375">
        <v>1190161.4783255369</v>
      </c>
      <c r="BY217" s="365">
        <v>1011637.2565767064</v>
      </c>
      <c r="BZ217" s="373">
        <v>265138663.82660484</v>
      </c>
      <c r="CA217" s="375">
        <v>178524.22174883052</v>
      </c>
      <c r="CC217" s="365">
        <v>0</v>
      </c>
      <c r="CD217" s="375">
        <v>0</v>
      </c>
      <c r="CF217" s="365">
        <v>0</v>
      </c>
      <c r="CG217" s="375">
        <v>0</v>
      </c>
      <c r="CI217" s="365">
        <v>178524.22174883055</v>
      </c>
      <c r="CJ217" s="375">
        <v>1011637.2565767064</v>
      </c>
    </row>
    <row r="218" spans="5:88">
      <c r="G218" s="417">
        <v>214</v>
      </c>
      <c r="H218" s="251">
        <v>9</v>
      </c>
      <c r="I218" s="377">
        <v>0</v>
      </c>
      <c r="J218" s="368">
        <v>0</v>
      </c>
      <c r="K218" s="368">
        <v>2384288.2754164818</v>
      </c>
      <c r="L218" s="369">
        <v>1194792.3000782891</v>
      </c>
      <c r="N218" s="367">
        <v>1189495.9753381927</v>
      </c>
      <c r="O218" s="370">
        <v>0</v>
      </c>
      <c r="P218" s="370">
        <v>0</v>
      </c>
      <c r="Q218" s="370">
        <v>0</v>
      </c>
      <c r="R218" s="370">
        <v>0</v>
      </c>
      <c r="S218" s="370">
        <v>0</v>
      </c>
      <c r="T218" s="379">
        <v>26069400</v>
      </c>
      <c r="U218" s="371">
        <v>0</v>
      </c>
      <c r="V218" s="371">
        <v>0</v>
      </c>
      <c r="W218" s="372">
        <v>1189495.9753381927</v>
      </c>
      <c r="X218" s="41"/>
      <c r="Y218" s="365">
        <v>0</v>
      </c>
      <c r="Z218" s="370">
        <v>0</v>
      </c>
      <c r="AA218" s="370">
        <v>0</v>
      </c>
      <c r="AB218" s="375">
        <v>1189495.9753381927</v>
      </c>
      <c r="AC218" s="41"/>
      <c r="AD218" s="449">
        <v>0</v>
      </c>
      <c r="AE218" s="365">
        <v>0</v>
      </c>
      <c r="AF218" s="375">
        <v>1189495.9753381927</v>
      </c>
      <c r="AH218" s="365">
        <v>0</v>
      </c>
      <c r="AI218" s="370">
        <v>0</v>
      </c>
      <c r="AJ218" s="370">
        <v>0</v>
      </c>
      <c r="AK218" s="375">
        <v>1189495.9753381927</v>
      </c>
      <c r="AM218" s="365">
        <v>0</v>
      </c>
      <c r="AN218" s="370">
        <v>0</v>
      </c>
      <c r="AO218" s="370">
        <v>0</v>
      </c>
      <c r="AP218" s="375">
        <v>1189495.9753381927</v>
      </c>
      <c r="AR218" s="365">
        <v>0</v>
      </c>
      <c r="AS218" s="375">
        <v>1189495.9753381927</v>
      </c>
      <c r="AU218" s="378">
        <v>0</v>
      </c>
      <c r="AV218" s="379">
        <v>0</v>
      </c>
      <c r="AW218" s="380">
        <v>0</v>
      </c>
      <c r="AX218" s="381">
        <v>1189495.9753381927</v>
      </c>
      <c r="AZ218" s="365">
        <v>0</v>
      </c>
      <c r="BA218" s="370">
        <v>0</v>
      </c>
      <c r="BB218" s="370">
        <v>0</v>
      </c>
      <c r="BC218" s="375">
        <v>1189495.9753381927</v>
      </c>
      <c r="BE218" s="365">
        <v>0</v>
      </c>
      <c r="BF218" s="370">
        <v>0</v>
      </c>
      <c r="BG218" s="370">
        <v>0</v>
      </c>
      <c r="BH218" s="375">
        <v>1189495.9753381927</v>
      </c>
      <c r="BJ218" s="365">
        <v>0</v>
      </c>
      <c r="BK218" s="370">
        <v>0</v>
      </c>
      <c r="BL218" s="370">
        <v>0</v>
      </c>
      <c r="BM218" s="375">
        <v>1189495.9753381927</v>
      </c>
      <c r="BO218" s="365">
        <v>0</v>
      </c>
      <c r="BP218" s="370">
        <v>0</v>
      </c>
      <c r="BQ218" s="370">
        <v>0</v>
      </c>
      <c r="BR218" s="375">
        <v>1189495.9753381927</v>
      </c>
      <c r="BT218" s="365">
        <v>0</v>
      </c>
      <c r="BU218" s="370">
        <v>0</v>
      </c>
      <c r="BV218" s="370">
        <v>0</v>
      </c>
      <c r="BW218" s="375">
        <v>1189495.9753381927</v>
      </c>
      <c r="BY218" s="365">
        <v>1011071.5790374638</v>
      </c>
      <c r="BZ218" s="373">
        <v>266149735.4056423</v>
      </c>
      <c r="CA218" s="375">
        <v>178424.3963007289</v>
      </c>
      <c r="CC218" s="365">
        <v>0</v>
      </c>
      <c r="CD218" s="375">
        <v>0</v>
      </c>
      <c r="CF218" s="365">
        <v>0</v>
      </c>
      <c r="CG218" s="375">
        <v>0</v>
      </c>
      <c r="CI218" s="365">
        <v>178424.3963007289</v>
      </c>
      <c r="CJ218" s="375">
        <v>1011071.5790374638</v>
      </c>
    </row>
    <row r="219" spans="5:88">
      <c r="G219" s="417">
        <v>215</v>
      </c>
      <c r="H219" s="251">
        <v>9</v>
      </c>
      <c r="I219" s="377">
        <v>1</v>
      </c>
      <c r="J219" s="368">
        <v>0</v>
      </c>
      <c r="K219" s="368">
        <v>2040927.5434546836</v>
      </c>
      <c r="L219" s="369">
        <v>1195458.173959434</v>
      </c>
      <c r="N219" s="367">
        <v>845469.36949524959</v>
      </c>
      <c r="O219" s="370">
        <v>0</v>
      </c>
      <c r="P219" s="370">
        <v>0</v>
      </c>
      <c r="Q219" s="370">
        <v>0</v>
      </c>
      <c r="R219" s="370">
        <v>0</v>
      </c>
      <c r="S219" s="370">
        <v>0</v>
      </c>
      <c r="T219" s="379">
        <v>26069400</v>
      </c>
      <c r="U219" s="371">
        <v>0</v>
      </c>
      <c r="V219" s="371">
        <v>0</v>
      </c>
      <c r="W219" s="372">
        <v>845469.36949524959</v>
      </c>
      <c r="X219" s="41"/>
      <c r="Y219" s="365">
        <v>0</v>
      </c>
      <c r="Z219" s="370">
        <v>0</v>
      </c>
      <c r="AA219" s="370">
        <v>0</v>
      </c>
      <c r="AB219" s="375">
        <v>845469.36949524959</v>
      </c>
      <c r="AC219" s="41"/>
      <c r="AD219" s="449">
        <v>0</v>
      </c>
      <c r="AE219" s="365">
        <v>0</v>
      </c>
      <c r="AF219" s="375">
        <v>845469.36949524959</v>
      </c>
      <c r="AH219" s="365">
        <v>0</v>
      </c>
      <c r="AI219" s="370">
        <v>0</v>
      </c>
      <c r="AJ219" s="370">
        <v>0</v>
      </c>
      <c r="AK219" s="375">
        <v>845469.36949524959</v>
      </c>
      <c r="AM219" s="365">
        <v>0</v>
      </c>
      <c r="AN219" s="370">
        <v>0</v>
      </c>
      <c r="AO219" s="370">
        <v>0</v>
      </c>
      <c r="AP219" s="375">
        <v>845469.36949524959</v>
      </c>
      <c r="AR219" s="365">
        <v>0</v>
      </c>
      <c r="AS219" s="375">
        <v>845469.36949524959</v>
      </c>
      <c r="AU219" s="378">
        <v>0</v>
      </c>
      <c r="AV219" s="379">
        <v>0</v>
      </c>
      <c r="AW219" s="380">
        <v>0</v>
      </c>
      <c r="AX219" s="381">
        <v>845469.36949524959</v>
      </c>
      <c r="AZ219" s="365">
        <v>0</v>
      </c>
      <c r="BA219" s="370">
        <v>0</v>
      </c>
      <c r="BB219" s="370">
        <v>0</v>
      </c>
      <c r="BC219" s="375">
        <v>845469.36949524959</v>
      </c>
      <c r="BE219" s="365">
        <v>0</v>
      </c>
      <c r="BF219" s="370">
        <v>0</v>
      </c>
      <c r="BG219" s="370">
        <v>0</v>
      </c>
      <c r="BH219" s="375">
        <v>845469.36949524959</v>
      </c>
      <c r="BJ219" s="365">
        <v>0</v>
      </c>
      <c r="BK219" s="370">
        <v>0</v>
      </c>
      <c r="BL219" s="370">
        <v>0</v>
      </c>
      <c r="BM219" s="375">
        <v>845469.36949524959</v>
      </c>
      <c r="BO219" s="365">
        <v>0</v>
      </c>
      <c r="BP219" s="370">
        <v>0</v>
      </c>
      <c r="BQ219" s="370">
        <v>0</v>
      </c>
      <c r="BR219" s="375">
        <v>845469.36949524959</v>
      </c>
      <c r="BT219" s="365">
        <v>0</v>
      </c>
      <c r="BU219" s="370">
        <v>0</v>
      </c>
      <c r="BV219" s="370">
        <v>0</v>
      </c>
      <c r="BW219" s="375">
        <v>845469.36949524959</v>
      </c>
      <c r="BY219" s="365">
        <v>718648.96407096216</v>
      </c>
      <c r="BZ219" s="373">
        <v>266868384.36971328</v>
      </c>
      <c r="CA219" s="375">
        <v>126820.40542428743</v>
      </c>
      <c r="CC219" s="365">
        <v>0</v>
      </c>
      <c r="CD219" s="375">
        <v>0</v>
      </c>
      <c r="CF219" s="365">
        <v>0</v>
      </c>
      <c r="CG219" s="375">
        <v>0</v>
      </c>
      <c r="CI219" s="365">
        <v>126820.40542428743</v>
      </c>
      <c r="CJ219" s="375">
        <v>718648.96407096216</v>
      </c>
    </row>
    <row r="220" spans="5:88">
      <c r="G220" s="417">
        <v>216</v>
      </c>
      <c r="H220" s="251">
        <v>11</v>
      </c>
      <c r="I220" s="377">
        <v>1</v>
      </c>
      <c r="J220" s="368">
        <v>8279999.9999999981</v>
      </c>
      <c r="K220" s="368">
        <v>1316891.6761753003</v>
      </c>
      <c r="L220" s="369">
        <v>849299.09237400838</v>
      </c>
      <c r="N220" s="367">
        <v>8747592.58380129</v>
      </c>
      <c r="O220" s="370">
        <v>0</v>
      </c>
      <c r="P220" s="370">
        <v>0</v>
      </c>
      <c r="Q220" s="370">
        <v>0</v>
      </c>
      <c r="R220" s="370">
        <v>0</v>
      </c>
      <c r="S220" s="370">
        <v>0</v>
      </c>
      <c r="T220" s="379">
        <v>17789400</v>
      </c>
      <c r="U220" s="371">
        <v>0</v>
      </c>
      <c r="V220" s="371">
        <v>0</v>
      </c>
      <c r="W220" s="372">
        <v>8747592.58380129</v>
      </c>
      <c r="X220" s="41"/>
      <c r="Y220" s="365">
        <v>0</v>
      </c>
      <c r="Z220" s="370">
        <v>0</v>
      </c>
      <c r="AA220" s="370">
        <v>0</v>
      </c>
      <c r="AB220" s="375">
        <v>8747592.58380129</v>
      </c>
      <c r="AC220" s="41"/>
      <c r="AD220" s="449">
        <v>0</v>
      </c>
      <c r="AE220" s="365">
        <v>0</v>
      </c>
      <c r="AF220" s="375">
        <v>8747592.58380129</v>
      </c>
      <c r="AH220" s="365">
        <v>0</v>
      </c>
      <c r="AI220" s="370">
        <v>0</v>
      </c>
      <c r="AJ220" s="370">
        <v>0</v>
      </c>
      <c r="AK220" s="375">
        <v>8747592.58380129</v>
      </c>
      <c r="AM220" s="365">
        <v>0</v>
      </c>
      <c r="AN220" s="370">
        <v>0</v>
      </c>
      <c r="AO220" s="370">
        <v>0</v>
      </c>
      <c r="AP220" s="375">
        <v>8747592.58380129</v>
      </c>
      <c r="AR220" s="365">
        <v>0</v>
      </c>
      <c r="AS220" s="375">
        <v>8747592.58380129</v>
      </c>
      <c r="AU220" s="378">
        <v>0</v>
      </c>
      <c r="AV220" s="379">
        <v>0</v>
      </c>
      <c r="AW220" s="380">
        <v>0</v>
      </c>
      <c r="AX220" s="381">
        <v>8747592.58380129</v>
      </c>
      <c r="AZ220" s="365">
        <v>0</v>
      </c>
      <c r="BA220" s="370">
        <v>0</v>
      </c>
      <c r="BB220" s="370">
        <v>0</v>
      </c>
      <c r="BC220" s="375">
        <v>8747592.58380129</v>
      </c>
      <c r="BE220" s="365">
        <v>0</v>
      </c>
      <c r="BF220" s="370">
        <v>0</v>
      </c>
      <c r="BG220" s="370">
        <v>0</v>
      </c>
      <c r="BH220" s="375">
        <v>8747592.58380129</v>
      </c>
      <c r="BJ220" s="365">
        <v>0</v>
      </c>
      <c r="BK220" s="370">
        <v>0</v>
      </c>
      <c r="BL220" s="370">
        <v>0</v>
      </c>
      <c r="BM220" s="375">
        <v>8747592.58380129</v>
      </c>
      <c r="BO220" s="365">
        <v>0</v>
      </c>
      <c r="BP220" s="370">
        <v>0</v>
      </c>
      <c r="BQ220" s="370">
        <v>0</v>
      </c>
      <c r="BR220" s="375">
        <v>8747592.58380129</v>
      </c>
      <c r="BT220" s="365">
        <v>0</v>
      </c>
      <c r="BU220" s="370">
        <v>0</v>
      </c>
      <c r="BV220" s="370">
        <v>0</v>
      </c>
      <c r="BW220" s="375">
        <v>8747592.58380129</v>
      </c>
      <c r="BY220" s="365">
        <v>7435453.6962310961</v>
      </c>
      <c r="BZ220" s="373">
        <v>274303838.06594437</v>
      </c>
      <c r="CA220" s="375">
        <v>1312138.887570194</v>
      </c>
      <c r="CC220" s="365">
        <v>0</v>
      </c>
      <c r="CD220" s="375">
        <v>0</v>
      </c>
      <c r="CF220" s="365">
        <v>0</v>
      </c>
      <c r="CG220" s="375">
        <v>0</v>
      </c>
      <c r="CI220" s="365">
        <v>1312138.8875701935</v>
      </c>
      <c r="CJ220" s="375">
        <v>7435453.6962310961</v>
      </c>
    </row>
    <row r="221" spans="5:88">
      <c r="G221" s="417">
        <v>217</v>
      </c>
      <c r="H221" s="251">
        <v>11</v>
      </c>
      <c r="I221" s="377">
        <v>0</v>
      </c>
      <c r="J221" s="368">
        <v>0</v>
      </c>
      <c r="K221" s="368">
        <v>1674102.7031675105</v>
      </c>
      <c r="L221" s="369">
        <v>849772.41822558502</v>
      </c>
      <c r="N221" s="367">
        <v>824330.28494192543</v>
      </c>
      <c r="O221" s="370">
        <v>0</v>
      </c>
      <c r="P221" s="370">
        <v>0</v>
      </c>
      <c r="Q221" s="370">
        <v>0</v>
      </c>
      <c r="R221" s="370">
        <v>0</v>
      </c>
      <c r="S221" s="370">
        <v>0</v>
      </c>
      <c r="T221" s="379">
        <v>17789400</v>
      </c>
      <c r="U221" s="371">
        <v>0</v>
      </c>
      <c r="V221" s="371">
        <v>0</v>
      </c>
      <c r="W221" s="372">
        <v>824330.28494192543</v>
      </c>
      <c r="X221" s="41"/>
      <c r="Y221" s="365">
        <v>0</v>
      </c>
      <c r="Z221" s="370">
        <v>0</v>
      </c>
      <c r="AA221" s="370">
        <v>0</v>
      </c>
      <c r="AB221" s="375">
        <v>824330.28494192543</v>
      </c>
      <c r="AC221" s="41"/>
      <c r="AD221" s="449">
        <v>0</v>
      </c>
      <c r="AE221" s="365">
        <v>0</v>
      </c>
      <c r="AF221" s="375">
        <v>824330.28494192543</v>
      </c>
      <c r="AH221" s="365">
        <v>0</v>
      </c>
      <c r="AI221" s="370">
        <v>0</v>
      </c>
      <c r="AJ221" s="370">
        <v>0</v>
      </c>
      <c r="AK221" s="375">
        <v>824330.28494192543</v>
      </c>
      <c r="AM221" s="365">
        <v>0</v>
      </c>
      <c r="AN221" s="370">
        <v>0</v>
      </c>
      <c r="AO221" s="370">
        <v>0</v>
      </c>
      <c r="AP221" s="375">
        <v>824330.28494192543</v>
      </c>
      <c r="AR221" s="365">
        <v>0</v>
      </c>
      <c r="AS221" s="375">
        <v>824330.28494192543</v>
      </c>
      <c r="AU221" s="378">
        <v>0</v>
      </c>
      <c r="AV221" s="379">
        <v>0</v>
      </c>
      <c r="AW221" s="380">
        <v>0</v>
      </c>
      <c r="AX221" s="381">
        <v>824330.28494192543</v>
      </c>
      <c r="AZ221" s="365">
        <v>0</v>
      </c>
      <c r="BA221" s="370">
        <v>0</v>
      </c>
      <c r="BB221" s="370">
        <v>0</v>
      </c>
      <c r="BC221" s="375">
        <v>824330.28494192543</v>
      </c>
      <c r="BE221" s="365">
        <v>0</v>
      </c>
      <c r="BF221" s="370">
        <v>0</v>
      </c>
      <c r="BG221" s="370">
        <v>0</v>
      </c>
      <c r="BH221" s="375">
        <v>824330.28494192543</v>
      </c>
      <c r="BJ221" s="365">
        <v>0</v>
      </c>
      <c r="BK221" s="370">
        <v>0</v>
      </c>
      <c r="BL221" s="370">
        <v>0</v>
      </c>
      <c r="BM221" s="375">
        <v>824330.28494192543</v>
      </c>
      <c r="BO221" s="365">
        <v>0</v>
      </c>
      <c r="BP221" s="370">
        <v>0</v>
      </c>
      <c r="BQ221" s="370">
        <v>0</v>
      </c>
      <c r="BR221" s="375">
        <v>824330.28494192543</v>
      </c>
      <c r="BT221" s="365">
        <v>0</v>
      </c>
      <c r="BU221" s="370">
        <v>0</v>
      </c>
      <c r="BV221" s="370">
        <v>0</v>
      </c>
      <c r="BW221" s="375">
        <v>824330.28494192543</v>
      </c>
      <c r="BY221" s="365">
        <v>700680.74220063665</v>
      </c>
      <c r="BZ221" s="373">
        <v>275004518.80814499</v>
      </c>
      <c r="CA221" s="375">
        <v>123649.54274128878</v>
      </c>
      <c r="CC221" s="365">
        <v>0</v>
      </c>
      <c r="CD221" s="375">
        <v>0</v>
      </c>
      <c r="CF221" s="365">
        <v>0</v>
      </c>
      <c r="CG221" s="375">
        <v>0</v>
      </c>
      <c r="CI221" s="365">
        <v>123649.54274128881</v>
      </c>
      <c r="CJ221" s="375">
        <v>700680.74220063665</v>
      </c>
    </row>
    <row r="222" spans="5:88">
      <c r="G222" s="417">
        <v>218</v>
      </c>
      <c r="H222" s="251">
        <v>11</v>
      </c>
      <c r="I222" s="377">
        <v>0</v>
      </c>
      <c r="J222" s="368">
        <v>0</v>
      </c>
      <c r="K222" s="368">
        <v>1674102.7031675105</v>
      </c>
      <c r="L222" s="369">
        <v>850246.00786804978</v>
      </c>
      <c r="N222" s="367">
        <v>823856.69529946067</v>
      </c>
      <c r="O222" s="370">
        <v>0</v>
      </c>
      <c r="P222" s="370">
        <v>0</v>
      </c>
      <c r="Q222" s="370">
        <v>0</v>
      </c>
      <c r="R222" s="370">
        <v>0</v>
      </c>
      <c r="S222" s="370">
        <v>0</v>
      </c>
      <c r="T222" s="379">
        <v>17789400</v>
      </c>
      <c r="U222" s="371">
        <v>0</v>
      </c>
      <c r="V222" s="371">
        <v>0</v>
      </c>
      <c r="W222" s="372">
        <v>823856.69529946067</v>
      </c>
      <c r="X222" s="41"/>
      <c r="Y222" s="365">
        <v>0</v>
      </c>
      <c r="Z222" s="370">
        <v>0</v>
      </c>
      <c r="AA222" s="370">
        <v>0</v>
      </c>
      <c r="AB222" s="375">
        <v>823856.69529946067</v>
      </c>
      <c r="AC222" s="41"/>
      <c r="AD222" s="449">
        <v>0</v>
      </c>
      <c r="AE222" s="365">
        <v>0</v>
      </c>
      <c r="AF222" s="375">
        <v>823856.69529946067</v>
      </c>
      <c r="AH222" s="365">
        <v>0</v>
      </c>
      <c r="AI222" s="370">
        <v>0</v>
      </c>
      <c r="AJ222" s="370">
        <v>0</v>
      </c>
      <c r="AK222" s="375">
        <v>823856.69529946067</v>
      </c>
      <c r="AM222" s="365">
        <v>0</v>
      </c>
      <c r="AN222" s="370">
        <v>0</v>
      </c>
      <c r="AO222" s="370">
        <v>0</v>
      </c>
      <c r="AP222" s="375">
        <v>823856.69529946067</v>
      </c>
      <c r="AR222" s="365">
        <v>0</v>
      </c>
      <c r="AS222" s="375">
        <v>823856.69529946067</v>
      </c>
      <c r="AU222" s="378">
        <v>0</v>
      </c>
      <c r="AV222" s="379">
        <v>0</v>
      </c>
      <c r="AW222" s="380">
        <v>0</v>
      </c>
      <c r="AX222" s="381">
        <v>823856.69529946067</v>
      </c>
      <c r="AZ222" s="365">
        <v>0</v>
      </c>
      <c r="BA222" s="370">
        <v>0</v>
      </c>
      <c r="BB222" s="370">
        <v>0</v>
      </c>
      <c r="BC222" s="375">
        <v>823856.69529946067</v>
      </c>
      <c r="BE222" s="365">
        <v>0</v>
      </c>
      <c r="BF222" s="370">
        <v>0</v>
      </c>
      <c r="BG222" s="370">
        <v>0</v>
      </c>
      <c r="BH222" s="375">
        <v>823856.69529946067</v>
      </c>
      <c r="BJ222" s="365">
        <v>0</v>
      </c>
      <c r="BK222" s="370">
        <v>0</v>
      </c>
      <c r="BL222" s="370">
        <v>0</v>
      </c>
      <c r="BM222" s="375">
        <v>823856.69529946067</v>
      </c>
      <c r="BO222" s="365">
        <v>0</v>
      </c>
      <c r="BP222" s="370">
        <v>0</v>
      </c>
      <c r="BQ222" s="370">
        <v>0</v>
      </c>
      <c r="BR222" s="375">
        <v>823856.69529946067</v>
      </c>
      <c r="BT222" s="365">
        <v>0</v>
      </c>
      <c r="BU222" s="370">
        <v>0</v>
      </c>
      <c r="BV222" s="370">
        <v>0</v>
      </c>
      <c r="BW222" s="375">
        <v>823856.69529946067</v>
      </c>
      <c r="BY222" s="365">
        <v>700278.19100454159</v>
      </c>
      <c r="BZ222" s="373">
        <v>275704796.9991495</v>
      </c>
      <c r="CA222" s="375">
        <v>123578.50429491908</v>
      </c>
      <c r="CC222" s="365">
        <v>0</v>
      </c>
      <c r="CD222" s="375">
        <v>0</v>
      </c>
      <c r="CF222" s="365">
        <v>0</v>
      </c>
      <c r="CG222" s="375">
        <v>0</v>
      </c>
      <c r="CI222" s="365">
        <v>123578.5042949191</v>
      </c>
      <c r="CJ222" s="375">
        <v>700278.19100454159</v>
      </c>
    </row>
    <row r="223" spans="5:88">
      <c r="G223" s="417">
        <v>219</v>
      </c>
      <c r="H223" s="251">
        <v>11</v>
      </c>
      <c r="I223" s="377">
        <v>0</v>
      </c>
      <c r="J223" s="368">
        <v>0</v>
      </c>
      <c r="K223" s="368">
        <v>1674102.7031675105</v>
      </c>
      <c r="L223" s="369">
        <v>850719.86144841684</v>
      </c>
      <c r="N223" s="367">
        <v>823382.84171909362</v>
      </c>
      <c r="O223" s="370">
        <v>0</v>
      </c>
      <c r="P223" s="370">
        <v>0</v>
      </c>
      <c r="Q223" s="370">
        <v>0</v>
      </c>
      <c r="R223" s="370">
        <v>0</v>
      </c>
      <c r="S223" s="370">
        <v>0</v>
      </c>
      <c r="T223" s="379">
        <v>17789400</v>
      </c>
      <c r="U223" s="371">
        <v>0</v>
      </c>
      <c r="V223" s="371">
        <v>0</v>
      </c>
      <c r="W223" s="372">
        <v>823382.84171909362</v>
      </c>
      <c r="X223" s="41"/>
      <c r="Y223" s="365">
        <v>0</v>
      </c>
      <c r="Z223" s="370">
        <v>0</v>
      </c>
      <c r="AA223" s="370">
        <v>0</v>
      </c>
      <c r="AB223" s="375">
        <v>823382.84171909362</v>
      </c>
      <c r="AC223" s="41"/>
      <c r="AD223" s="449">
        <v>0</v>
      </c>
      <c r="AE223" s="365">
        <v>0</v>
      </c>
      <c r="AF223" s="375">
        <v>823382.84171909362</v>
      </c>
      <c r="AH223" s="365">
        <v>0</v>
      </c>
      <c r="AI223" s="370">
        <v>0</v>
      </c>
      <c r="AJ223" s="370">
        <v>0</v>
      </c>
      <c r="AK223" s="375">
        <v>823382.84171909362</v>
      </c>
      <c r="AM223" s="365">
        <v>0</v>
      </c>
      <c r="AN223" s="370">
        <v>0</v>
      </c>
      <c r="AO223" s="370">
        <v>0</v>
      </c>
      <c r="AP223" s="375">
        <v>823382.84171909362</v>
      </c>
      <c r="AR223" s="365">
        <v>0</v>
      </c>
      <c r="AS223" s="375">
        <v>823382.84171909362</v>
      </c>
      <c r="AU223" s="378">
        <v>0</v>
      </c>
      <c r="AV223" s="379">
        <v>0</v>
      </c>
      <c r="AW223" s="380">
        <v>0</v>
      </c>
      <c r="AX223" s="381">
        <v>823382.84171909362</v>
      </c>
      <c r="AZ223" s="365">
        <v>0</v>
      </c>
      <c r="BA223" s="370">
        <v>0</v>
      </c>
      <c r="BB223" s="370">
        <v>0</v>
      </c>
      <c r="BC223" s="375">
        <v>823382.84171909362</v>
      </c>
      <c r="BE223" s="365">
        <v>0</v>
      </c>
      <c r="BF223" s="370">
        <v>0</v>
      </c>
      <c r="BG223" s="370">
        <v>0</v>
      </c>
      <c r="BH223" s="375">
        <v>823382.84171909362</v>
      </c>
      <c r="BJ223" s="365">
        <v>0</v>
      </c>
      <c r="BK223" s="370">
        <v>0</v>
      </c>
      <c r="BL223" s="370">
        <v>0</v>
      </c>
      <c r="BM223" s="375">
        <v>823382.84171909362</v>
      </c>
      <c r="BO223" s="365">
        <v>0</v>
      </c>
      <c r="BP223" s="370">
        <v>0</v>
      </c>
      <c r="BQ223" s="370">
        <v>0</v>
      </c>
      <c r="BR223" s="375">
        <v>823382.84171909362</v>
      </c>
      <c r="BT223" s="365">
        <v>0</v>
      </c>
      <c r="BU223" s="370">
        <v>0</v>
      </c>
      <c r="BV223" s="370">
        <v>0</v>
      </c>
      <c r="BW223" s="375">
        <v>823382.84171909362</v>
      </c>
      <c r="BY223" s="365">
        <v>699875.41546122951</v>
      </c>
      <c r="BZ223" s="373">
        <v>276404672.41461074</v>
      </c>
      <c r="CA223" s="375">
        <v>123507.42625786411</v>
      </c>
      <c r="CC223" s="365">
        <v>0</v>
      </c>
      <c r="CD223" s="375">
        <v>0</v>
      </c>
      <c r="CF223" s="365">
        <v>0</v>
      </c>
      <c r="CG223" s="375">
        <v>0</v>
      </c>
      <c r="CI223" s="365">
        <v>123507.42625786403</v>
      </c>
      <c r="CJ223" s="375">
        <v>699875.41546122951</v>
      </c>
    </row>
    <row r="224" spans="5:88">
      <c r="G224" s="417">
        <v>220</v>
      </c>
      <c r="H224" s="251">
        <v>11</v>
      </c>
      <c r="I224" s="377">
        <v>0</v>
      </c>
      <c r="J224" s="368">
        <v>0</v>
      </c>
      <c r="K224" s="368">
        <v>1674102.7031675105</v>
      </c>
      <c r="L224" s="369">
        <v>851193.97911378206</v>
      </c>
      <c r="N224" s="367">
        <v>822908.72405372839</v>
      </c>
      <c r="O224" s="370">
        <v>0</v>
      </c>
      <c r="P224" s="370">
        <v>0</v>
      </c>
      <c r="Q224" s="370">
        <v>0</v>
      </c>
      <c r="R224" s="370">
        <v>0</v>
      </c>
      <c r="S224" s="370">
        <v>0</v>
      </c>
      <c r="T224" s="379">
        <v>17789400</v>
      </c>
      <c r="U224" s="371">
        <v>0</v>
      </c>
      <c r="V224" s="371">
        <v>0</v>
      </c>
      <c r="W224" s="372">
        <v>822908.72405372839</v>
      </c>
      <c r="X224" s="41"/>
      <c r="Y224" s="365">
        <v>0</v>
      </c>
      <c r="Z224" s="370">
        <v>0</v>
      </c>
      <c r="AA224" s="370">
        <v>0</v>
      </c>
      <c r="AB224" s="375">
        <v>822908.72405372839</v>
      </c>
      <c r="AC224" s="41"/>
      <c r="AD224" s="449">
        <v>0</v>
      </c>
      <c r="AE224" s="365">
        <v>0</v>
      </c>
      <c r="AF224" s="375">
        <v>822908.72405372839</v>
      </c>
      <c r="AH224" s="365">
        <v>0</v>
      </c>
      <c r="AI224" s="370">
        <v>0</v>
      </c>
      <c r="AJ224" s="370">
        <v>0</v>
      </c>
      <c r="AK224" s="375">
        <v>822908.72405372839</v>
      </c>
      <c r="AM224" s="365">
        <v>0</v>
      </c>
      <c r="AN224" s="370">
        <v>0</v>
      </c>
      <c r="AO224" s="370">
        <v>0</v>
      </c>
      <c r="AP224" s="375">
        <v>822908.72405372839</v>
      </c>
      <c r="AR224" s="365">
        <v>0</v>
      </c>
      <c r="AS224" s="375">
        <v>822908.72405372839</v>
      </c>
      <c r="AU224" s="378">
        <v>0</v>
      </c>
      <c r="AV224" s="379">
        <v>0</v>
      </c>
      <c r="AW224" s="380">
        <v>0</v>
      </c>
      <c r="AX224" s="381">
        <v>822908.72405372839</v>
      </c>
      <c r="AZ224" s="365">
        <v>0</v>
      </c>
      <c r="BA224" s="370">
        <v>0</v>
      </c>
      <c r="BB224" s="370">
        <v>0</v>
      </c>
      <c r="BC224" s="375">
        <v>822908.72405372839</v>
      </c>
      <c r="BE224" s="365">
        <v>0</v>
      </c>
      <c r="BF224" s="370">
        <v>0</v>
      </c>
      <c r="BG224" s="370">
        <v>0</v>
      </c>
      <c r="BH224" s="375">
        <v>822908.72405372839</v>
      </c>
      <c r="BJ224" s="365">
        <v>0</v>
      </c>
      <c r="BK224" s="370">
        <v>0</v>
      </c>
      <c r="BL224" s="370">
        <v>0</v>
      </c>
      <c r="BM224" s="375">
        <v>822908.72405372839</v>
      </c>
      <c r="BO224" s="365">
        <v>0</v>
      </c>
      <c r="BP224" s="370">
        <v>0</v>
      </c>
      <c r="BQ224" s="370">
        <v>0</v>
      </c>
      <c r="BR224" s="375">
        <v>822908.72405372839</v>
      </c>
      <c r="BT224" s="365">
        <v>0</v>
      </c>
      <c r="BU224" s="370">
        <v>0</v>
      </c>
      <c r="BV224" s="370">
        <v>0</v>
      </c>
      <c r="BW224" s="375">
        <v>822908.72405372839</v>
      </c>
      <c r="BY224" s="365">
        <v>699472.41544566909</v>
      </c>
      <c r="BZ224" s="373">
        <v>277104144.83005643</v>
      </c>
      <c r="CA224" s="375">
        <v>123436.30860805931</v>
      </c>
      <c r="CC224" s="365">
        <v>0</v>
      </c>
      <c r="CD224" s="375">
        <v>0</v>
      </c>
      <c r="CF224" s="365">
        <v>0</v>
      </c>
      <c r="CG224" s="375">
        <v>0</v>
      </c>
      <c r="CI224" s="365">
        <v>123436.30860805925</v>
      </c>
      <c r="CJ224" s="375">
        <v>699472.41544566909</v>
      </c>
    </row>
    <row r="225" spans="5:88">
      <c r="G225" s="417">
        <v>221</v>
      </c>
      <c r="H225" s="251">
        <v>11</v>
      </c>
      <c r="I225" s="377">
        <v>0</v>
      </c>
      <c r="J225" s="368">
        <v>0</v>
      </c>
      <c r="K225" s="368">
        <v>1674102.7031675105</v>
      </c>
      <c r="L225" s="369">
        <v>851668.36101132398</v>
      </c>
      <c r="N225" s="367">
        <v>822434.34215618647</v>
      </c>
      <c r="O225" s="370">
        <v>0</v>
      </c>
      <c r="P225" s="370">
        <v>0</v>
      </c>
      <c r="Q225" s="370">
        <v>0</v>
      </c>
      <c r="R225" s="370">
        <v>0</v>
      </c>
      <c r="S225" s="370">
        <v>0</v>
      </c>
      <c r="T225" s="379">
        <v>17789400</v>
      </c>
      <c r="U225" s="371">
        <v>0</v>
      </c>
      <c r="V225" s="371">
        <v>0</v>
      </c>
      <c r="W225" s="372">
        <v>822434.34215618647</v>
      </c>
      <c r="X225" s="41"/>
      <c r="Y225" s="365">
        <v>0</v>
      </c>
      <c r="Z225" s="370">
        <v>0</v>
      </c>
      <c r="AA225" s="370">
        <v>0</v>
      </c>
      <c r="AB225" s="375">
        <v>822434.34215618647</v>
      </c>
      <c r="AC225" s="41"/>
      <c r="AD225" s="449">
        <v>0</v>
      </c>
      <c r="AE225" s="365">
        <v>0</v>
      </c>
      <c r="AF225" s="375">
        <v>822434.34215618647</v>
      </c>
      <c r="AH225" s="365">
        <v>0</v>
      </c>
      <c r="AI225" s="370">
        <v>0</v>
      </c>
      <c r="AJ225" s="370">
        <v>0</v>
      </c>
      <c r="AK225" s="375">
        <v>822434.34215618647</v>
      </c>
      <c r="AM225" s="365">
        <v>0</v>
      </c>
      <c r="AN225" s="370">
        <v>0</v>
      </c>
      <c r="AO225" s="370">
        <v>0</v>
      </c>
      <c r="AP225" s="375">
        <v>822434.34215618647</v>
      </c>
      <c r="AR225" s="365">
        <v>0</v>
      </c>
      <c r="AS225" s="375">
        <v>822434.34215618647</v>
      </c>
      <c r="AU225" s="378">
        <v>0</v>
      </c>
      <c r="AV225" s="379">
        <v>0</v>
      </c>
      <c r="AW225" s="380">
        <v>0</v>
      </c>
      <c r="AX225" s="381">
        <v>822434.34215618647</v>
      </c>
      <c r="AZ225" s="365">
        <v>0</v>
      </c>
      <c r="BA225" s="370">
        <v>0</v>
      </c>
      <c r="BB225" s="370">
        <v>0</v>
      </c>
      <c r="BC225" s="375">
        <v>822434.34215618647</v>
      </c>
      <c r="BE225" s="365">
        <v>0</v>
      </c>
      <c r="BF225" s="370">
        <v>0</v>
      </c>
      <c r="BG225" s="370">
        <v>0</v>
      </c>
      <c r="BH225" s="375">
        <v>822434.34215618647</v>
      </c>
      <c r="BJ225" s="365">
        <v>0</v>
      </c>
      <c r="BK225" s="370">
        <v>0</v>
      </c>
      <c r="BL225" s="370">
        <v>0</v>
      </c>
      <c r="BM225" s="375">
        <v>822434.34215618647</v>
      </c>
      <c r="BO225" s="365">
        <v>0</v>
      </c>
      <c r="BP225" s="370">
        <v>0</v>
      </c>
      <c r="BQ225" s="370">
        <v>0</v>
      </c>
      <c r="BR225" s="375">
        <v>822434.34215618647</v>
      </c>
      <c r="BT225" s="365">
        <v>0</v>
      </c>
      <c r="BU225" s="370">
        <v>0</v>
      </c>
      <c r="BV225" s="370">
        <v>0</v>
      </c>
      <c r="BW225" s="375">
        <v>822434.34215618647</v>
      </c>
      <c r="BY225" s="365">
        <v>699069.19083275844</v>
      </c>
      <c r="BZ225" s="373">
        <v>277803214.02088916</v>
      </c>
      <c r="CA225" s="375">
        <v>123365.15132342803</v>
      </c>
      <c r="CC225" s="365">
        <v>0</v>
      </c>
      <c r="CD225" s="375">
        <v>0</v>
      </c>
      <c r="CF225" s="365">
        <v>0</v>
      </c>
      <c r="CG225" s="375">
        <v>0</v>
      </c>
      <c r="CI225" s="365">
        <v>123365.15132342797</v>
      </c>
      <c r="CJ225" s="375">
        <v>699069.19083275844</v>
      </c>
    </row>
    <row r="226" spans="5:88">
      <c r="G226" s="417">
        <v>222</v>
      </c>
      <c r="H226" s="251">
        <v>11</v>
      </c>
      <c r="I226" s="377">
        <v>1</v>
      </c>
      <c r="J226" s="368">
        <v>0</v>
      </c>
      <c r="K226" s="368">
        <v>1402265.8475530713</v>
      </c>
      <c r="L226" s="369">
        <v>852143.00728830264</v>
      </c>
      <c r="N226" s="367">
        <v>550122.84026476869</v>
      </c>
      <c r="O226" s="370">
        <v>0</v>
      </c>
      <c r="P226" s="370">
        <v>0</v>
      </c>
      <c r="Q226" s="370">
        <v>0</v>
      </c>
      <c r="R226" s="370">
        <v>0</v>
      </c>
      <c r="S226" s="370">
        <v>0</v>
      </c>
      <c r="T226" s="379">
        <v>17789400</v>
      </c>
      <c r="U226" s="371">
        <v>0</v>
      </c>
      <c r="V226" s="371">
        <v>0</v>
      </c>
      <c r="W226" s="372">
        <v>550122.84026476869</v>
      </c>
      <c r="X226" s="41"/>
      <c r="Y226" s="365">
        <v>0</v>
      </c>
      <c r="Z226" s="370">
        <v>0</v>
      </c>
      <c r="AA226" s="370">
        <v>0</v>
      </c>
      <c r="AB226" s="375">
        <v>550122.84026476869</v>
      </c>
      <c r="AC226" s="41"/>
      <c r="AD226" s="449">
        <v>0</v>
      </c>
      <c r="AE226" s="365">
        <v>0</v>
      </c>
      <c r="AF226" s="375">
        <v>550122.84026476869</v>
      </c>
      <c r="AH226" s="365">
        <v>0</v>
      </c>
      <c r="AI226" s="370">
        <v>0</v>
      </c>
      <c r="AJ226" s="370">
        <v>0</v>
      </c>
      <c r="AK226" s="375">
        <v>550122.84026476869</v>
      </c>
      <c r="AM226" s="365">
        <v>0</v>
      </c>
      <c r="AN226" s="370">
        <v>0</v>
      </c>
      <c r="AO226" s="370">
        <v>0</v>
      </c>
      <c r="AP226" s="375">
        <v>550122.84026476869</v>
      </c>
      <c r="AR226" s="365">
        <v>0</v>
      </c>
      <c r="AS226" s="375">
        <v>550122.84026476869</v>
      </c>
      <c r="AU226" s="378">
        <v>0</v>
      </c>
      <c r="AV226" s="379">
        <v>0</v>
      </c>
      <c r="AW226" s="380">
        <v>0</v>
      </c>
      <c r="AX226" s="381">
        <v>550122.84026476869</v>
      </c>
      <c r="AZ226" s="365">
        <v>0</v>
      </c>
      <c r="BA226" s="370">
        <v>0</v>
      </c>
      <c r="BB226" s="370">
        <v>0</v>
      </c>
      <c r="BC226" s="375">
        <v>550122.84026476869</v>
      </c>
      <c r="BE226" s="365">
        <v>0</v>
      </c>
      <c r="BF226" s="370">
        <v>0</v>
      </c>
      <c r="BG226" s="370">
        <v>0</v>
      </c>
      <c r="BH226" s="375">
        <v>550122.84026476869</v>
      </c>
      <c r="BJ226" s="365">
        <v>0</v>
      </c>
      <c r="BK226" s="370">
        <v>0</v>
      </c>
      <c r="BL226" s="370">
        <v>0</v>
      </c>
      <c r="BM226" s="375">
        <v>550122.84026476869</v>
      </c>
      <c r="BO226" s="365">
        <v>0</v>
      </c>
      <c r="BP226" s="370">
        <v>0</v>
      </c>
      <c r="BQ226" s="370">
        <v>0</v>
      </c>
      <c r="BR226" s="375">
        <v>550122.84026476869</v>
      </c>
      <c r="BT226" s="365">
        <v>0</v>
      </c>
      <c r="BU226" s="370">
        <v>0</v>
      </c>
      <c r="BV226" s="370">
        <v>0</v>
      </c>
      <c r="BW226" s="375">
        <v>550122.84026476869</v>
      </c>
      <c r="BY226" s="365">
        <v>467604.41422505339</v>
      </c>
      <c r="BZ226" s="373">
        <v>278270818.4351142</v>
      </c>
      <c r="CA226" s="375">
        <v>82518.426039715298</v>
      </c>
      <c r="CC226" s="365">
        <v>0</v>
      </c>
      <c r="CD226" s="375">
        <v>0</v>
      </c>
      <c r="CF226" s="365">
        <v>0</v>
      </c>
      <c r="CG226" s="375">
        <v>0</v>
      </c>
      <c r="CI226" s="365">
        <v>82518.426039715298</v>
      </c>
      <c r="CJ226" s="375">
        <v>467604.41422505339</v>
      </c>
    </row>
    <row r="227" spans="5:88">
      <c r="G227" s="417">
        <v>223</v>
      </c>
      <c r="H227" s="251">
        <v>11</v>
      </c>
      <c r="I227" s="377">
        <v>0</v>
      </c>
      <c r="J227" s="368">
        <v>0</v>
      </c>
      <c r="K227" s="368">
        <v>1675515.0486447772</v>
      </c>
      <c r="L227" s="369">
        <v>852617.91809206014</v>
      </c>
      <c r="N227" s="367">
        <v>822897.13055271702</v>
      </c>
      <c r="O227" s="370">
        <v>0</v>
      </c>
      <c r="P227" s="370">
        <v>0</v>
      </c>
      <c r="Q227" s="370">
        <v>0</v>
      </c>
      <c r="R227" s="370">
        <v>0</v>
      </c>
      <c r="S227" s="370">
        <v>0</v>
      </c>
      <c r="T227" s="379">
        <v>17789400</v>
      </c>
      <c r="U227" s="371">
        <v>0</v>
      </c>
      <c r="V227" s="371">
        <v>0</v>
      </c>
      <c r="W227" s="372">
        <v>822897.13055271702</v>
      </c>
      <c r="X227" s="41"/>
      <c r="Y227" s="365">
        <v>0</v>
      </c>
      <c r="Z227" s="370">
        <v>0</v>
      </c>
      <c r="AA227" s="370">
        <v>0</v>
      </c>
      <c r="AB227" s="375">
        <v>822897.13055271702</v>
      </c>
      <c r="AC227" s="41"/>
      <c r="AD227" s="449">
        <v>0</v>
      </c>
      <c r="AE227" s="365">
        <v>0</v>
      </c>
      <c r="AF227" s="375">
        <v>822897.13055271702</v>
      </c>
      <c r="AH227" s="365">
        <v>0</v>
      </c>
      <c r="AI227" s="370">
        <v>0</v>
      </c>
      <c r="AJ227" s="370">
        <v>0</v>
      </c>
      <c r="AK227" s="375">
        <v>822897.13055271702</v>
      </c>
      <c r="AM227" s="365">
        <v>0</v>
      </c>
      <c r="AN227" s="370">
        <v>0</v>
      </c>
      <c r="AO227" s="370">
        <v>0</v>
      </c>
      <c r="AP227" s="375">
        <v>822897.13055271702</v>
      </c>
      <c r="AR227" s="365">
        <v>0</v>
      </c>
      <c r="AS227" s="375">
        <v>822897.13055271702</v>
      </c>
      <c r="AU227" s="378">
        <v>0</v>
      </c>
      <c r="AV227" s="379">
        <v>0</v>
      </c>
      <c r="AW227" s="380">
        <v>0</v>
      </c>
      <c r="AX227" s="381">
        <v>822897.13055271702</v>
      </c>
      <c r="AZ227" s="365">
        <v>0</v>
      </c>
      <c r="BA227" s="370">
        <v>0</v>
      </c>
      <c r="BB227" s="370">
        <v>0</v>
      </c>
      <c r="BC227" s="375">
        <v>822897.13055271702</v>
      </c>
      <c r="BE227" s="365">
        <v>0</v>
      </c>
      <c r="BF227" s="370">
        <v>0</v>
      </c>
      <c r="BG227" s="370">
        <v>0</v>
      </c>
      <c r="BH227" s="375">
        <v>822897.13055271702</v>
      </c>
      <c r="BJ227" s="365">
        <v>0</v>
      </c>
      <c r="BK227" s="370">
        <v>0</v>
      </c>
      <c r="BL227" s="370">
        <v>0</v>
      </c>
      <c r="BM227" s="375">
        <v>822897.13055271702</v>
      </c>
      <c r="BO227" s="365">
        <v>0</v>
      </c>
      <c r="BP227" s="370">
        <v>0</v>
      </c>
      <c r="BQ227" s="370">
        <v>0</v>
      </c>
      <c r="BR227" s="375">
        <v>822897.13055271702</v>
      </c>
      <c r="BT227" s="365">
        <v>0</v>
      </c>
      <c r="BU227" s="370">
        <v>0</v>
      </c>
      <c r="BV227" s="370">
        <v>0</v>
      </c>
      <c r="BW227" s="375">
        <v>822897.13055271702</v>
      </c>
      <c r="BY227" s="365">
        <v>699462.56096980942</v>
      </c>
      <c r="BZ227" s="373">
        <v>278970280.99608403</v>
      </c>
      <c r="CA227" s="375">
        <v>123434.5695829076</v>
      </c>
      <c r="CC227" s="365">
        <v>0</v>
      </c>
      <c r="CD227" s="375">
        <v>0</v>
      </c>
      <c r="CF227" s="365">
        <v>0</v>
      </c>
      <c r="CG227" s="375">
        <v>0</v>
      </c>
      <c r="CI227" s="365">
        <v>123434.56958290754</v>
      </c>
      <c r="CJ227" s="375">
        <v>699462.56096980942</v>
      </c>
    </row>
    <row r="228" spans="5:88">
      <c r="G228" s="417">
        <v>224</v>
      </c>
      <c r="H228" s="251">
        <v>11</v>
      </c>
      <c r="I228" s="377">
        <v>1</v>
      </c>
      <c r="J228" s="368">
        <v>0</v>
      </c>
      <c r="K228" s="368">
        <v>1294280.4340635519</v>
      </c>
      <c r="L228" s="369">
        <v>853093.09357002086</v>
      </c>
      <c r="N228" s="367">
        <v>441187.34049353108</v>
      </c>
      <c r="O228" s="370">
        <v>0</v>
      </c>
      <c r="P228" s="370">
        <v>0</v>
      </c>
      <c r="Q228" s="370">
        <v>0</v>
      </c>
      <c r="R228" s="370">
        <v>0</v>
      </c>
      <c r="S228" s="370">
        <v>0</v>
      </c>
      <c r="T228" s="379">
        <v>17789400</v>
      </c>
      <c r="U228" s="371">
        <v>0</v>
      </c>
      <c r="V228" s="371">
        <v>0</v>
      </c>
      <c r="W228" s="372">
        <v>441187.34049353108</v>
      </c>
      <c r="X228" s="41"/>
      <c r="Y228" s="365">
        <v>0</v>
      </c>
      <c r="Z228" s="370">
        <v>0</v>
      </c>
      <c r="AA228" s="370">
        <v>0</v>
      </c>
      <c r="AB228" s="375">
        <v>441187.34049353108</v>
      </c>
      <c r="AC228" s="41"/>
      <c r="AD228" s="449">
        <v>0</v>
      </c>
      <c r="AE228" s="365">
        <v>0</v>
      </c>
      <c r="AF228" s="375">
        <v>441187.34049353108</v>
      </c>
      <c r="AH228" s="365">
        <v>0</v>
      </c>
      <c r="AI228" s="370">
        <v>0</v>
      </c>
      <c r="AJ228" s="370">
        <v>0</v>
      </c>
      <c r="AK228" s="375">
        <v>441187.34049353108</v>
      </c>
      <c r="AM228" s="365">
        <v>0</v>
      </c>
      <c r="AN228" s="370">
        <v>0</v>
      </c>
      <c r="AO228" s="370">
        <v>0</v>
      </c>
      <c r="AP228" s="375">
        <v>441187.34049353108</v>
      </c>
      <c r="AR228" s="365">
        <v>0</v>
      </c>
      <c r="AS228" s="375">
        <v>441187.34049353108</v>
      </c>
      <c r="AU228" s="378">
        <v>0</v>
      </c>
      <c r="AV228" s="379">
        <v>0</v>
      </c>
      <c r="AW228" s="380">
        <v>0</v>
      </c>
      <c r="AX228" s="381">
        <v>441187.34049353108</v>
      </c>
      <c r="AZ228" s="365">
        <v>0</v>
      </c>
      <c r="BA228" s="370">
        <v>0</v>
      </c>
      <c r="BB228" s="370">
        <v>0</v>
      </c>
      <c r="BC228" s="375">
        <v>441187.34049353108</v>
      </c>
      <c r="BE228" s="365">
        <v>0</v>
      </c>
      <c r="BF228" s="370">
        <v>0</v>
      </c>
      <c r="BG228" s="370">
        <v>0</v>
      </c>
      <c r="BH228" s="375">
        <v>441187.34049353108</v>
      </c>
      <c r="BJ228" s="365">
        <v>0</v>
      </c>
      <c r="BK228" s="370">
        <v>0</v>
      </c>
      <c r="BL228" s="370">
        <v>0</v>
      </c>
      <c r="BM228" s="375">
        <v>441187.34049353108</v>
      </c>
      <c r="BO228" s="365">
        <v>0</v>
      </c>
      <c r="BP228" s="370">
        <v>0</v>
      </c>
      <c r="BQ228" s="370">
        <v>0</v>
      </c>
      <c r="BR228" s="375">
        <v>441187.34049353108</v>
      </c>
      <c r="BT228" s="365">
        <v>0</v>
      </c>
      <c r="BU228" s="370">
        <v>0</v>
      </c>
      <c r="BV228" s="370">
        <v>0</v>
      </c>
      <c r="BW228" s="375">
        <v>441187.34049353108</v>
      </c>
      <c r="BY228" s="365">
        <v>375009.23941950139</v>
      </c>
      <c r="BZ228" s="373">
        <v>279345290.23550355</v>
      </c>
      <c r="CA228" s="375">
        <v>66178.101074029692</v>
      </c>
      <c r="CC228" s="365">
        <v>0</v>
      </c>
      <c r="CD228" s="375">
        <v>0</v>
      </c>
      <c r="CF228" s="365">
        <v>0</v>
      </c>
      <c r="CG228" s="375">
        <v>0</v>
      </c>
      <c r="CI228" s="365">
        <v>66178.101074029662</v>
      </c>
      <c r="CJ228" s="375">
        <v>375009.23941950139</v>
      </c>
    </row>
    <row r="229" spans="5:88">
      <c r="G229" s="417">
        <v>225</v>
      </c>
      <c r="H229" s="251">
        <v>11</v>
      </c>
      <c r="I229" s="377">
        <v>1</v>
      </c>
      <c r="J229" s="368">
        <v>0</v>
      </c>
      <c r="K229" s="368">
        <v>1362775.4910522369</v>
      </c>
      <c r="L229" s="369">
        <v>853568.53386969143</v>
      </c>
      <c r="N229" s="367">
        <v>509206.95718254545</v>
      </c>
      <c r="O229" s="370">
        <v>0</v>
      </c>
      <c r="P229" s="370">
        <v>0</v>
      </c>
      <c r="Q229" s="370">
        <v>0</v>
      </c>
      <c r="R229" s="370">
        <v>0</v>
      </c>
      <c r="S229" s="370">
        <v>0</v>
      </c>
      <c r="T229" s="379">
        <v>17789400</v>
      </c>
      <c r="U229" s="371">
        <v>0</v>
      </c>
      <c r="V229" s="371">
        <v>0</v>
      </c>
      <c r="W229" s="372">
        <v>509206.95718254545</v>
      </c>
      <c r="X229" s="41"/>
      <c r="Y229" s="365">
        <v>0</v>
      </c>
      <c r="Z229" s="370">
        <v>0</v>
      </c>
      <c r="AA229" s="370">
        <v>0</v>
      </c>
      <c r="AB229" s="375">
        <v>509206.95718254545</v>
      </c>
      <c r="AC229" s="41"/>
      <c r="AD229" s="449">
        <v>0</v>
      </c>
      <c r="AE229" s="365">
        <v>0</v>
      </c>
      <c r="AF229" s="375">
        <v>509206.95718254545</v>
      </c>
      <c r="AH229" s="365">
        <v>0</v>
      </c>
      <c r="AI229" s="370">
        <v>0</v>
      </c>
      <c r="AJ229" s="370">
        <v>0</v>
      </c>
      <c r="AK229" s="375">
        <v>509206.95718254545</v>
      </c>
      <c r="AM229" s="365">
        <v>0</v>
      </c>
      <c r="AN229" s="370">
        <v>0</v>
      </c>
      <c r="AO229" s="370">
        <v>0</v>
      </c>
      <c r="AP229" s="375">
        <v>509206.95718254545</v>
      </c>
      <c r="AR229" s="365">
        <v>0</v>
      </c>
      <c r="AS229" s="375">
        <v>509206.95718254545</v>
      </c>
      <c r="AU229" s="378">
        <v>0</v>
      </c>
      <c r="AV229" s="379">
        <v>0</v>
      </c>
      <c r="AW229" s="380">
        <v>0</v>
      </c>
      <c r="AX229" s="381">
        <v>509206.95718254545</v>
      </c>
      <c r="AZ229" s="365">
        <v>0</v>
      </c>
      <c r="BA229" s="370">
        <v>0</v>
      </c>
      <c r="BB229" s="370">
        <v>0</v>
      </c>
      <c r="BC229" s="375">
        <v>509206.95718254545</v>
      </c>
      <c r="BE229" s="365">
        <v>0</v>
      </c>
      <c r="BF229" s="370">
        <v>0</v>
      </c>
      <c r="BG229" s="370">
        <v>0</v>
      </c>
      <c r="BH229" s="375">
        <v>509206.95718254545</v>
      </c>
      <c r="BJ229" s="365">
        <v>0</v>
      </c>
      <c r="BK229" s="370">
        <v>0</v>
      </c>
      <c r="BL229" s="370">
        <v>0</v>
      </c>
      <c r="BM229" s="375">
        <v>509206.95718254545</v>
      </c>
      <c r="BO229" s="365">
        <v>0</v>
      </c>
      <c r="BP229" s="370">
        <v>0</v>
      </c>
      <c r="BQ229" s="370">
        <v>0</v>
      </c>
      <c r="BR229" s="375">
        <v>509206.95718254545</v>
      </c>
      <c r="BT229" s="365">
        <v>0</v>
      </c>
      <c r="BU229" s="370">
        <v>0</v>
      </c>
      <c r="BV229" s="370">
        <v>0</v>
      </c>
      <c r="BW229" s="375">
        <v>509206.95718254545</v>
      </c>
      <c r="BY229" s="365">
        <v>432825.91360516363</v>
      </c>
      <c r="BZ229" s="373">
        <v>279778116.14910871</v>
      </c>
      <c r="CA229" s="375">
        <v>76381.043577381817</v>
      </c>
      <c r="CC229" s="365">
        <v>0</v>
      </c>
      <c r="CD229" s="375">
        <v>0</v>
      </c>
      <c r="CF229" s="365">
        <v>0</v>
      </c>
      <c r="CG229" s="375">
        <v>0</v>
      </c>
      <c r="CI229" s="365">
        <v>76381.043577381817</v>
      </c>
      <c r="CJ229" s="375">
        <v>432825.91360516363</v>
      </c>
    </row>
    <row r="230" spans="5:88">
      <c r="G230" s="417">
        <v>226</v>
      </c>
      <c r="H230" s="251">
        <v>11</v>
      </c>
      <c r="I230" s="377">
        <v>0</v>
      </c>
      <c r="J230" s="368">
        <v>0</v>
      </c>
      <c r="K230" s="368">
        <v>1679791.8551008939</v>
      </c>
      <c r="L230" s="369">
        <v>854044.23913866049</v>
      </c>
      <c r="N230" s="367">
        <v>825747.61596223339</v>
      </c>
      <c r="O230" s="370">
        <v>0</v>
      </c>
      <c r="P230" s="370">
        <v>0</v>
      </c>
      <c r="Q230" s="370">
        <v>0</v>
      </c>
      <c r="R230" s="370">
        <v>0</v>
      </c>
      <c r="S230" s="370">
        <v>0</v>
      </c>
      <c r="T230" s="379">
        <v>17789400</v>
      </c>
      <c r="U230" s="371">
        <v>0</v>
      </c>
      <c r="V230" s="371">
        <v>0</v>
      </c>
      <c r="W230" s="372">
        <v>825747.61596223339</v>
      </c>
      <c r="X230" s="41"/>
      <c r="Y230" s="365">
        <v>0</v>
      </c>
      <c r="Z230" s="370">
        <v>0</v>
      </c>
      <c r="AA230" s="370">
        <v>0</v>
      </c>
      <c r="AB230" s="375">
        <v>825747.61596223339</v>
      </c>
      <c r="AC230" s="41"/>
      <c r="AD230" s="449">
        <v>0</v>
      </c>
      <c r="AE230" s="365">
        <v>0</v>
      </c>
      <c r="AF230" s="375">
        <v>825747.61596223339</v>
      </c>
      <c r="AH230" s="365">
        <v>0</v>
      </c>
      <c r="AI230" s="370">
        <v>0</v>
      </c>
      <c r="AJ230" s="370">
        <v>0</v>
      </c>
      <c r="AK230" s="375">
        <v>825747.61596223339</v>
      </c>
      <c r="AM230" s="365">
        <v>0</v>
      </c>
      <c r="AN230" s="370">
        <v>0</v>
      </c>
      <c r="AO230" s="370">
        <v>0</v>
      </c>
      <c r="AP230" s="375">
        <v>825747.61596223339</v>
      </c>
      <c r="AR230" s="365">
        <v>0</v>
      </c>
      <c r="AS230" s="375">
        <v>825747.61596223339</v>
      </c>
      <c r="AU230" s="378">
        <v>0</v>
      </c>
      <c r="AV230" s="379">
        <v>0</v>
      </c>
      <c r="AW230" s="380">
        <v>0</v>
      </c>
      <c r="AX230" s="381">
        <v>825747.61596223339</v>
      </c>
      <c r="AZ230" s="365">
        <v>0</v>
      </c>
      <c r="BA230" s="370">
        <v>0</v>
      </c>
      <c r="BB230" s="370">
        <v>0</v>
      </c>
      <c r="BC230" s="375">
        <v>825747.61596223339</v>
      </c>
      <c r="BE230" s="365">
        <v>0</v>
      </c>
      <c r="BF230" s="370">
        <v>0</v>
      </c>
      <c r="BG230" s="370">
        <v>0</v>
      </c>
      <c r="BH230" s="375">
        <v>825747.61596223339</v>
      </c>
      <c r="BJ230" s="365">
        <v>0</v>
      </c>
      <c r="BK230" s="370">
        <v>0</v>
      </c>
      <c r="BL230" s="370">
        <v>0</v>
      </c>
      <c r="BM230" s="375">
        <v>825747.61596223339</v>
      </c>
      <c r="BO230" s="365">
        <v>0</v>
      </c>
      <c r="BP230" s="370">
        <v>0</v>
      </c>
      <c r="BQ230" s="370">
        <v>0</v>
      </c>
      <c r="BR230" s="375">
        <v>825747.61596223339</v>
      </c>
      <c r="BT230" s="365">
        <v>0</v>
      </c>
      <c r="BU230" s="370">
        <v>0</v>
      </c>
      <c r="BV230" s="370">
        <v>0</v>
      </c>
      <c r="BW230" s="375">
        <v>825747.61596223339</v>
      </c>
      <c r="BY230" s="365">
        <v>701885.47356789839</v>
      </c>
      <c r="BZ230" s="373">
        <v>280480001.62267661</v>
      </c>
      <c r="CA230" s="375">
        <v>123862.14239433501</v>
      </c>
      <c r="CC230" s="365">
        <v>0</v>
      </c>
      <c r="CD230" s="375">
        <v>0</v>
      </c>
      <c r="CF230" s="365">
        <v>0</v>
      </c>
      <c r="CG230" s="375">
        <v>0</v>
      </c>
      <c r="CI230" s="365">
        <v>123862.14239433501</v>
      </c>
      <c r="CJ230" s="375">
        <v>701885.47356789839</v>
      </c>
    </row>
    <row r="231" spans="5:88">
      <c r="G231" s="417">
        <v>227</v>
      </c>
      <c r="H231" s="251">
        <v>11</v>
      </c>
      <c r="I231" s="377">
        <v>0</v>
      </c>
      <c r="J231" s="368">
        <v>0</v>
      </c>
      <c r="K231" s="368">
        <v>1679791.8551008939</v>
      </c>
      <c r="L231" s="369">
        <v>854520.20952459914</v>
      </c>
      <c r="N231" s="367">
        <v>825271.64557629474</v>
      </c>
      <c r="O231" s="370">
        <v>0</v>
      </c>
      <c r="P231" s="370">
        <v>0</v>
      </c>
      <c r="Q231" s="370">
        <v>0</v>
      </c>
      <c r="R231" s="370">
        <v>0</v>
      </c>
      <c r="S231" s="370">
        <v>0</v>
      </c>
      <c r="T231" s="379">
        <v>17789400</v>
      </c>
      <c r="U231" s="371">
        <v>0</v>
      </c>
      <c r="V231" s="371">
        <v>0</v>
      </c>
      <c r="W231" s="372">
        <v>825271.64557629474</v>
      </c>
      <c r="X231" s="41"/>
      <c r="Y231" s="365">
        <v>0</v>
      </c>
      <c r="Z231" s="370">
        <v>0</v>
      </c>
      <c r="AA231" s="370">
        <v>0</v>
      </c>
      <c r="AB231" s="375">
        <v>825271.64557629474</v>
      </c>
      <c r="AC231" s="41"/>
      <c r="AD231" s="449">
        <v>0</v>
      </c>
      <c r="AE231" s="365">
        <v>0</v>
      </c>
      <c r="AF231" s="375">
        <v>825271.64557629474</v>
      </c>
      <c r="AH231" s="365">
        <v>0</v>
      </c>
      <c r="AI231" s="370">
        <v>0</v>
      </c>
      <c r="AJ231" s="370">
        <v>0</v>
      </c>
      <c r="AK231" s="375">
        <v>825271.64557629474</v>
      </c>
      <c r="AM231" s="365">
        <v>0</v>
      </c>
      <c r="AN231" s="370">
        <v>0</v>
      </c>
      <c r="AO231" s="370">
        <v>0</v>
      </c>
      <c r="AP231" s="375">
        <v>825271.64557629474</v>
      </c>
      <c r="AR231" s="365">
        <v>0</v>
      </c>
      <c r="AS231" s="375">
        <v>825271.64557629474</v>
      </c>
      <c r="AU231" s="378">
        <v>0</v>
      </c>
      <c r="AV231" s="379">
        <v>0</v>
      </c>
      <c r="AW231" s="380">
        <v>0</v>
      </c>
      <c r="AX231" s="381">
        <v>825271.64557629474</v>
      </c>
      <c r="AZ231" s="365">
        <v>0</v>
      </c>
      <c r="BA231" s="370">
        <v>0</v>
      </c>
      <c r="BB231" s="370">
        <v>0</v>
      </c>
      <c r="BC231" s="375">
        <v>825271.64557629474</v>
      </c>
      <c r="BE231" s="365">
        <v>0</v>
      </c>
      <c r="BF231" s="370">
        <v>0</v>
      </c>
      <c r="BG231" s="370">
        <v>0</v>
      </c>
      <c r="BH231" s="375">
        <v>825271.64557629474</v>
      </c>
      <c r="BJ231" s="365">
        <v>0</v>
      </c>
      <c r="BK231" s="370">
        <v>0</v>
      </c>
      <c r="BL231" s="370">
        <v>0</v>
      </c>
      <c r="BM231" s="375">
        <v>825271.64557629474</v>
      </c>
      <c r="BO231" s="365">
        <v>0</v>
      </c>
      <c r="BP231" s="370">
        <v>0</v>
      </c>
      <c r="BQ231" s="370">
        <v>0</v>
      </c>
      <c r="BR231" s="375">
        <v>825271.64557629474</v>
      </c>
      <c r="BT231" s="365">
        <v>0</v>
      </c>
      <c r="BU231" s="370">
        <v>0</v>
      </c>
      <c r="BV231" s="370">
        <v>0</v>
      </c>
      <c r="BW231" s="375">
        <v>825271.64557629474</v>
      </c>
      <c r="BY231" s="365">
        <v>701480.8987398505</v>
      </c>
      <c r="BZ231" s="373">
        <v>281181482.52141649</v>
      </c>
      <c r="CA231" s="375">
        <v>123790.74683644425</v>
      </c>
      <c r="CC231" s="365">
        <v>0</v>
      </c>
      <c r="CD231" s="375">
        <v>0</v>
      </c>
      <c r="CF231" s="365">
        <v>0</v>
      </c>
      <c r="CG231" s="375">
        <v>0</v>
      </c>
      <c r="CI231" s="365">
        <v>123790.7468364442</v>
      </c>
      <c r="CJ231" s="375">
        <v>701480.8987398505</v>
      </c>
    </row>
    <row r="232" spans="5:88">
      <c r="G232" s="417">
        <v>228</v>
      </c>
      <c r="H232" s="251">
        <v>14</v>
      </c>
      <c r="I232" s="377">
        <v>0</v>
      </c>
      <c r="J232" s="368">
        <v>10602720</v>
      </c>
      <c r="K232" s="368">
        <v>740787.24213489541</v>
      </c>
      <c r="L232" s="369">
        <v>340636.03393436666</v>
      </c>
      <c r="N232" s="367">
        <v>11002871.208200529</v>
      </c>
      <c r="O232" s="370">
        <v>0</v>
      </c>
      <c r="P232" s="370">
        <v>0</v>
      </c>
      <c r="Q232" s="370">
        <v>0</v>
      </c>
      <c r="R232" s="370">
        <v>0</v>
      </c>
      <c r="S232" s="370">
        <v>0</v>
      </c>
      <c r="T232" s="379">
        <v>7186680</v>
      </c>
      <c r="U232" s="371">
        <v>0</v>
      </c>
      <c r="V232" s="371">
        <v>0</v>
      </c>
      <c r="W232" s="372">
        <v>11002871.208200529</v>
      </c>
      <c r="X232" s="41"/>
      <c r="Y232" s="365">
        <v>0</v>
      </c>
      <c r="Z232" s="370">
        <v>0</v>
      </c>
      <c r="AA232" s="370">
        <v>0</v>
      </c>
      <c r="AB232" s="375">
        <v>11002871.208200529</v>
      </c>
      <c r="AC232" s="41"/>
      <c r="AD232" s="449">
        <v>0</v>
      </c>
      <c r="AE232" s="365">
        <v>0</v>
      </c>
      <c r="AF232" s="375">
        <v>11002871.208200529</v>
      </c>
      <c r="AH232" s="365">
        <v>0</v>
      </c>
      <c r="AI232" s="370">
        <v>0</v>
      </c>
      <c r="AJ232" s="370">
        <v>0</v>
      </c>
      <c r="AK232" s="375">
        <v>11002871.208200529</v>
      </c>
      <c r="AM232" s="365">
        <v>0</v>
      </c>
      <c r="AN232" s="370">
        <v>0</v>
      </c>
      <c r="AO232" s="370">
        <v>0</v>
      </c>
      <c r="AP232" s="375">
        <v>11002871.208200529</v>
      </c>
      <c r="AR232" s="365">
        <v>0</v>
      </c>
      <c r="AS232" s="375">
        <v>11002871.208200529</v>
      </c>
      <c r="AU232" s="378">
        <v>0</v>
      </c>
      <c r="AV232" s="379">
        <v>0</v>
      </c>
      <c r="AW232" s="380">
        <v>0</v>
      </c>
      <c r="AX232" s="381">
        <v>11002871.208200529</v>
      </c>
      <c r="AZ232" s="365">
        <v>0</v>
      </c>
      <c r="BA232" s="370">
        <v>0</v>
      </c>
      <c r="BB232" s="370">
        <v>0</v>
      </c>
      <c r="BC232" s="375">
        <v>11002871.208200529</v>
      </c>
      <c r="BE232" s="365">
        <v>0</v>
      </c>
      <c r="BF232" s="370">
        <v>0</v>
      </c>
      <c r="BG232" s="370">
        <v>0</v>
      </c>
      <c r="BH232" s="375">
        <v>11002871.208200529</v>
      </c>
      <c r="BJ232" s="365">
        <v>0</v>
      </c>
      <c r="BK232" s="370">
        <v>0</v>
      </c>
      <c r="BL232" s="370">
        <v>0</v>
      </c>
      <c r="BM232" s="375">
        <v>11002871.208200529</v>
      </c>
      <c r="BO232" s="365">
        <v>0</v>
      </c>
      <c r="BP232" s="370">
        <v>0</v>
      </c>
      <c r="BQ232" s="370">
        <v>0</v>
      </c>
      <c r="BR232" s="375">
        <v>11002871.208200529</v>
      </c>
      <c r="BT232" s="365">
        <v>0</v>
      </c>
      <c r="BU232" s="370">
        <v>0</v>
      </c>
      <c r="BV232" s="370">
        <v>0</v>
      </c>
      <c r="BW232" s="375">
        <v>11002871.208200529</v>
      </c>
      <c r="BY232" s="365">
        <v>9352440.5269704498</v>
      </c>
      <c r="BZ232" s="373">
        <v>290533923.04838693</v>
      </c>
      <c r="CA232" s="375">
        <v>1650430.6812300794</v>
      </c>
      <c r="CC232" s="365">
        <v>0</v>
      </c>
      <c r="CD232" s="375">
        <v>0</v>
      </c>
      <c r="CF232" s="365">
        <v>0</v>
      </c>
      <c r="CG232" s="375">
        <v>0</v>
      </c>
      <c r="CI232" s="365">
        <v>1650430.6812300794</v>
      </c>
      <c r="CJ232" s="375">
        <v>9352440.5269704498</v>
      </c>
    </row>
    <row r="233" spans="5:88">
      <c r="E233" s="96"/>
      <c r="F233" s="404"/>
      <c r="G233" s="417">
        <v>229</v>
      </c>
      <c r="H233" s="251">
        <v>14</v>
      </c>
      <c r="I233" s="377">
        <v>0</v>
      </c>
      <c r="J233" s="368">
        <v>0</v>
      </c>
      <c r="K233" s="368">
        <v>740787.24213489541</v>
      </c>
      <c r="L233" s="369">
        <v>340825.87499541033</v>
      </c>
      <c r="N233" s="367">
        <v>399961.36713948508</v>
      </c>
      <c r="O233" s="370">
        <v>0</v>
      </c>
      <c r="P233" s="370">
        <v>0</v>
      </c>
      <c r="Q233" s="370">
        <v>0</v>
      </c>
      <c r="R233" s="370">
        <v>0</v>
      </c>
      <c r="S233" s="370">
        <v>0</v>
      </c>
      <c r="T233" s="379">
        <v>7186680</v>
      </c>
      <c r="U233" s="371">
        <v>0</v>
      </c>
      <c r="V233" s="371">
        <v>0</v>
      </c>
      <c r="W233" s="372">
        <v>399961.36713948508</v>
      </c>
      <c r="X233" s="41"/>
      <c r="Y233" s="365">
        <v>0</v>
      </c>
      <c r="Z233" s="370">
        <v>0</v>
      </c>
      <c r="AA233" s="370">
        <v>0</v>
      </c>
      <c r="AB233" s="375">
        <v>399961.36713948508</v>
      </c>
      <c r="AC233" s="41"/>
      <c r="AD233" s="449">
        <v>0</v>
      </c>
      <c r="AE233" s="365">
        <v>0</v>
      </c>
      <c r="AF233" s="375">
        <v>399961.36713948508</v>
      </c>
      <c r="AH233" s="365">
        <v>0</v>
      </c>
      <c r="AI233" s="370">
        <v>0</v>
      </c>
      <c r="AJ233" s="370">
        <v>0</v>
      </c>
      <c r="AK233" s="375">
        <v>399961.36713948508</v>
      </c>
      <c r="AM233" s="365">
        <v>0</v>
      </c>
      <c r="AN233" s="370">
        <v>0</v>
      </c>
      <c r="AO233" s="370">
        <v>0</v>
      </c>
      <c r="AP233" s="375">
        <v>399961.36713948508</v>
      </c>
      <c r="AR233" s="365">
        <v>0</v>
      </c>
      <c r="AS233" s="375">
        <v>399961.36713948508</v>
      </c>
      <c r="AU233" s="378">
        <v>0</v>
      </c>
      <c r="AV233" s="379">
        <v>0</v>
      </c>
      <c r="AW233" s="380">
        <v>0</v>
      </c>
      <c r="AX233" s="381">
        <v>399961.36713948508</v>
      </c>
      <c r="AZ233" s="365">
        <v>0</v>
      </c>
      <c r="BA233" s="370">
        <v>0</v>
      </c>
      <c r="BB233" s="370">
        <v>0</v>
      </c>
      <c r="BC233" s="375">
        <v>399961.36713948508</v>
      </c>
      <c r="BE233" s="365">
        <v>0</v>
      </c>
      <c r="BF233" s="370">
        <v>0</v>
      </c>
      <c r="BG233" s="370">
        <v>0</v>
      </c>
      <c r="BH233" s="375">
        <v>399961.36713948508</v>
      </c>
      <c r="BJ233" s="365">
        <v>0</v>
      </c>
      <c r="BK233" s="370">
        <v>0</v>
      </c>
      <c r="BL233" s="370">
        <v>0</v>
      </c>
      <c r="BM233" s="375">
        <v>399961.36713948508</v>
      </c>
      <c r="BO233" s="365">
        <v>0</v>
      </c>
      <c r="BP233" s="370">
        <v>0</v>
      </c>
      <c r="BQ233" s="370">
        <v>0</v>
      </c>
      <c r="BR233" s="375">
        <v>399961.36713948508</v>
      </c>
      <c r="BT233" s="365">
        <v>0</v>
      </c>
      <c r="BU233" s="370">
        <v>0</v>
      </c>
      <c r="BV233" s="370">
        <v>0</v>
      </c>
      <c r="BW233" s="375">
        <v>399961.36713948508</v>
      </c>
      <c r="BY233" s="365">
        <v>339967.16206856229</v>
      </c>
      <c r="BZ233" s="373">
        <v>290873890.21045548</v>
      </c>
      <c r="CA233" s="375">
        <v>59994.205070922791</v>
      </c>
      <c r="CC233" s="365">
        <v>0</v>
      </c>
      <c r="CD233" s="375">
        <v>0</v>
      </c>
      <c r="CF233" s="365">
        <v>0</v>
      </c>
      <c r="CG233" s="375">
        <v>0</v>
      </c>
      <c r="CI233" s="365">
        <v>59994.205070922762</v>
      </c>
      <c r="CJ233" s="375">
        <v>339967.16206856229</v>
      </c>
    </row>
    <row r="234" spans="5:88">
      <c r="G234" s="417">
        <v>230</v>
      </c>
      <c r="H234" s="251">
        <v>14</v>
      </c>
      <c r="I234" s="377">
        <v>0</v>
      </c>
      <c r="J234" s="368">
        <v>0</v>
      </c>
      <c r="K234" s="368">
        <v>740787.24213489541</v>
      </c>
      <c r="L234" s="369">
        <v>341015.82185744058</v>
      </c>
      <c r="N234" s="367">
        <v>399771.42027745483</v>
      </c>
      <c r="O234" s="370">
        <v>0</v>
      </c>
      <c r="P234" s="370">
        <v>0</v>
      </c>
      <c r="Q234" s="370">
        <v>0</v>
      </c>
      <c r="R234" s="370">
        <v>0</v>
      </c>
      <c r="S234" s="370">
        <v>0</v>
      </c>
      <c r="T234" s="379">
        <v>7186680</v>
      </c>
      <c r="U234" s="371">
        <v>0</v>
      </c>
      <c r="V234" s="371">
        <v>0</v>
      </c>
      <c r="W234" s="372">
        <v>399771.42027745483</v>
      </c>
      <c r="X234" s="41"/>
      <c r="Y234" s="365">
        <v>0</v>
      </c>
      <c r="Z234" s="370">
        <v>0</v>
      </c>
      <c r="AA234" s="370">
        <v>0</v>
      </c>
      <c r="AB234" s="375">
        <v>399771.42027745483</v>
      </c>
      <c r="AC234" s="41"/>
      <c r="AD234" s="449">
        <v>0</v>
      </c>
      <c r="AE234" s="365">
        <v>0</v>
      </c>
      <c r="AF234" s="375">
        <v>399771.42027745483</v>
      </c>
      <c r="AH234" s="365">
        <v>0</v>
      </c>
      <c r="AI234" s="370">
        <v>0</v>
      </c>
      <c r="AJ234" s="370">
        <v>0</v>
      </c>
      <c r="AK234" s="375">
        <v>399771.42027745483</v>
      </c>
      <c r="AM234" s="365">
        <v>0</v>
      </c>
      <c r="AN234" s="370">
        <v>0</v>
      </c>
      <c r="AO234" s="370">
        <v>0</v>
      </c>
      <c r="AP234" s="375">
        <v>399771.42027745483</v>
      </c>
      <c r="AR234" s="365">
        <v>0</v>
      </c>
      <c r="AS234" s="375">
        <v>399771.42027745483</v>
      </c>
      <c r="AU234" s="378">
        <v>0</v>
      </c>
      <c r="AV234" s="379">
        <v>0</v>
      </c>
      <c r="AW234" s="380">
        <v>0</v>
      </c>
      <c r="AX234" s="381">
        <v>399771.42027745483</v>
      </c>
      <c r="AZ234" s="365">
        <v>0</v>
      </c>
      <c r="BA234" s="370">
        <v>0</v>
      </c>
      <c r="BB234" s="370">
        <v>0</v>
      </c>
      <c r="BC234" s="375">
        <v>399771.42027745483</v>
      </c>
      <c r="BE234" s="365">
        <v>0</v>
      </c>
      <c r="BF234" s="370">
        <v>0</v>
      </c>
      <c r="BG234" s="370">
        <v>0</v>
      </c>
      <c r="BH234" s="375">
        <v>399771.42027745483</v>
      </c>
      <c r="BJ234" s="365">
        <v>0</v>
      </c>
      <c r="BK234" s="370">
        <v>0</v>
      </c>
      <c r="BL234" s="370">
        <v>0</v>
      </c>
      <c r="BM234" s="375">
        <v>399771.42027745483</v>
      </c>
      <c r="BO234" s="365">
        <v>0</v>
      </c>
      <c r="BP234" s="370">
        <v>0</v>
      </c>
      <c r="BQ234" s="370">
        <v>0</v>
      </c>
      <c r="BR234" s="375">
        <v>399771.42027745483</v>
      </c>
      <c r="BT234" s="365">
        <v>0</v>
      </c>
      <c r="BU234" s="370">
        <v>0</v>
      </c>
      <c r="BV234" s="370">
        <v>0</v>
      </c>
      <c r="BW234" s="375">
        <v>399771.42027745483</v>
      </c>
      <c r="BY234" s="365">
        <v>339805.7072358366</v>
      </c>
      <c r="BZ234" s="373">
        <v>291213695.91769129</v>
      </c>
      <c r="CA234" s="375">
        <v>59965.713041618234</v>
      </c>
      <c r="CC234" s="365">
        <v>0</v>
      </c>
      <c r="CD234" s="375">
        <v>0</v>
      </c>
      <c r="CF234" s="365">
        <v>0</v>
      </c>
      <c r="CG234" s="375">
        <v>0</v>
      </c>
      <c r="CI234" s="365">
        <v>59965.713041618219</v>
      </c>
      <c r="CJ234" s="375">
        <v>339805.7072358366</v>
      </c>
    </row>
    <row r="235" spans="5:88">
      <c r="G235" s="417">
        <v>231</v>
      </c>
      <c r="H235" s="251">
        <v>14</v>
      </c>
      <c r="I235" s="377">
        <v>0</v>
      </c>
      <c r="J235" s="368">
        <v>0</v>
      </c>
      <c r="K235" s="368">
        <v>740787.24213489541</v>
      </c>
      <c r="L235" s="369">
        <v>341205.87457942171</v>
      </c>
      <c r="N235" s="367">
        <v>399581.3675554737</v>
      </c>
      <c r="O235" s="370">
        <v>0</v>
      </c>
      <c r="P235" s="370">
        <v>0</v>
      </c>
      <c r="Q235" s="370">
        <v>0</v>
      </c>
      <c r="R235" s="370">
        <v>0</v>
      </c>
      <c r="S235" s="370">
        <v>0</v>
      </c>
      <c r="T235" s="379">
        <v>7186680</v>
      </c>
      <c r="U235" s="371">
        <v>0</v>
      </c>
      <c r="V235" s="371">
        <v>0</v>
      </c>
      <c r="W235" s="372">
        <v>399581.3675554737</v>
      </c>
      <c r="X235" s="41"/>
      <c r="Y235" s="365">
        <v>0</v>
      </c>
      <c r="Z235" s="370">
        <v>0</v>
      </c>
      <c r="AA235" s="370">
        <v>0</v>
      </c>
      <c r="AB235" s="375">
        <v>399581.3675554737</v>
      </c>
      <c r="AC235" s="41"/>
      <c r="AD235" s="449">
        <v>0</v>
      </c>
      <c r="AE235" s="365">
        <v>0</v>
      </c>
      <c r="AF235" s="375">
        <v>399581.3675554737</v>
      </c>
      <c r="AH235" s="365">
        <v>0</v>
      </c>
      <c r="AI235" s="370">
        <v>0</v>
      </c>
      <c r="AJ235" s="370">
        <v>0</v>
      </c>
      <c r="AK235" s="375">
        <v>399581.3675554737</v>
      </c>
      <c r="AM235" s="365">
        <v>0</v>
      </c>
      <c r="AN235" s="370">
        <v>0</v>
      </c>
      <c r="AO235" s="370">
        <v>0</v>
      </c>
      <c r="AP235" s="375">
        <v>399581.3675554737</v>
      </c>
      <c r="AR235" s="365">
        <v>0</v>
      </c>
      <c r="AS235" s="375">
        <v>399581.3675554737</v>
      </c>
      <c r="AU235" s="378">
        <v>0</v>
      </c>
      <c r="AV235" s="379">
        <v>0</v>
      </c>
      <c r="AW235" s="380">
        <v>0</v>
      </c>
      <c r="AX235" s="381">
        <v>399581.3675554737</v>
      </c>
      <c r="AZ235" s="365">
        <v>0</v>
      </c>
      <c r="BA235" s="370">
        <v>0</v>
      </c>
      <c r="BB235" s="370">
        <v>0</v>
      </c>
      <c r="BC235" s="375">
        <v>399581.3675554737</v>
      </c>
      <c r="BE235" s="365">
        <v>0</v>
      </c>
      <c r="BF235" s="370">
        <v>0</v>
      </c>
      <c r="BG235" s="370">
        <v>0</v>
      </c>
      <c r="BH235" s="375">
        <v>399581.3675554737</v>
      </c>
      <c r="BJ235" s="365">
        <v>0</v>
      </c>
      <c r="BK235" s="370">
        <v>0</v>
      </c>
      <c r="BL235" s="370">
        <v>0</v>
      </c>
      <c r="BM235" s="375">
        <v>399581.3675554737</v>
      </c>
      <c r="BO235" s="365">
        <v>0</v>
      </c>
      <c r="BP235" s="370">
        <v>0</v>
      </c>
      <c r="BQ235" s="370">
        <v>0</v>
      </c>
      <c r="BR235" s="375">
        <v>399581.3675554737</v>
      </c>
      <c r="BT235" s="365">
        <v>0</v>
      </c>
      <c r="BU235" s="370">
        <v>0</v>
      </c>
      <c r="BV235" s="370">
        <v>0</v>
      </c>
      <c r="BW235" s="375">
        <v>399581.3675554737</v>
      </c>
      <c r="BY235" s="365">
        <v>339644.16242215264</v>
      </c>
      <c r="BZ235" s="373">
        <v>291553340.08011347</v>
      </c>
      <c r="CA235" s="375">
        <v>59937.205133321055</v>
      </c>
      <c r="CC235" s="365">
        <v>0</v>
      </c>
      <c r="CD235" s="375">
        <v>0</v>
      </c>
      <c r="CF235" s="365">
        <v>0</v>
      </c>
      <c r="CG235" s="375">
        <v>0</v>
      </c>
      <c r="CI235" s="365">
        <v>59937.205133321055</v>
      </c>
      <c r="CJ235" s="375">
        <v>339644.16242215264</v>
      </c>
    </row>
    <row r="236" spans="5:88">
      <c r="G236" s="417">
        <v>232</v>
      </c>
      <c r="H236" s="251">
        <v>14</v>
      </c>
      <c r="I236" s="377">
        <v>0</v>
      </c>
      <c r="J236" s="368">
        <v>0</v>
      </c>
      <c r="K236" s="368">
        <v>740787.24213489541</v>
      </c>
      <c r="L236" s="369">
        <v>341396.03322035098</v>
      </c>
      <c r="N236" s="367">
        <v>399391.20891454443</v>
      </c>
      <c r="O236" s="370">
        <v>0</v>
      </c>
      <c r="P236" s="370">
        <v>0</v>
      </c>
      <c r="Q236" s="370">
        <v>0</v>
      </c>
      <c r="R236" s="370">
        <v>0</v>
      </c>
      <c r="S236" s="370">
        <v>0</v>
      </c>
      <c r="T236" s="379">
        <v>7186680</v>
      </c>
      <c r="U236" s="371">
        <v>0</v>
      </c>
      <c r="V236" s="371">
        <v>0</v>
      </c>
      <c r="W236" s="372">
        <v>399391.20891454443</v>
      </c>
      <c r="X236" s="41"/>
      <c r="Y236" s="365">
        <v>0</v>
      </c>
      <c r="Z236" s="370">
        <v>0</v>
      </c>
      <c r="AA236" s="370">
        <v>0</v>
      </c>
      <c r="AB236" s="375">
        <v>399391.20891454443</v>
      </c>
      <c r="AC236" s="41"/>
      <c r="AD236" s="449">
        <v>0</v>
      </c>
      <c r="AE236" s="365">
        <v>0</v>
      </c>
      <c r="AF236" s="375">
        <v>399391.20891454443</v>
      </c>
      <c r="AH236" s="365">
        <v>0</v>
      </c>
      <c r="AI236" s="370">
        <v>0</v>
      </c>
      <c r="AJ236" s="370">
        <v>0</v>
      </c>
      <c r="AK236" s="375">
        <v>399391.20891454443</v>
      </c>
      <c r="AM236" s="365">
        <v>0</v>
      </c>
      <c r="AN236" s="370">
        <v>0</v>
      </c>
      <c r="AO236" s="370">
        <v>0</v>
      </c>
      <c r="AP236" s="375">
        <v>399391.20891454443</v>
      </c>
      <c r="AR236" s="365">
        <v>0</v>
      </c>
      <c r="AS236" s="375">
        <v>399391.20891454443</v>
      </c>
      <c r="AU236" s="378">
        <v>0</v>
      </c>
      <c r="AV236" s="379">
        <v>0</v>
      </c>
      <c r="AW236" s="380">
        <v>0</v>
      </c>
      <c r="AX236" s="381">
        <v>399391.20891454443</v>
      </c>
      <c r="AZ236" s="365">
        <v>0</v>
      </c>
      <c r="BA236" s="370">
        <v>0</v>
      </c>
      <c r="BB236" s="370">
        <v>0</v>
      </c>
      <c r="BC236" s="375">
        <v>399391.20891454443</v>
      </c>
      <c r="BE236" s="365">
        <v>0</v>
      </c>
      <c r="BF236" s="370">
        <v>0</v>
      </c>
      <c r="BG236" s="370">
        <v>0</v>
      </c>
      <c r="BH236" s="375">
        <v>399391.20891454443</v>
      </c>
      <c r="BJ236" s="365">
        <v>0</v>
      </c>
      <c r="BK236" s="370">
        <v>0</v>
      </c>
      <c r="BL236" s="370">
        <v>0</v>
      </c>
      <c r="BM236" s="375">
        <v>399391.20891454443</v>
      </c>
      <c r="BO236" s="365">
        <v>0</v>
      </c>
      <c r="BP236" s="370">
        <v>0</v>
      </c>
      <c r="BQ236" s="370">
        <v>0</v>
      </c>
      <c r="BR236" s="375">
        <v>399391.20891454443</v>
      </c>
      <c r="BT236" s="365">
        <v>0</v>
      </c>
      <c r="BU236" s="370">
        <v>0</v>
      </c>
      <c r="BV236" s="370">
        <v>0</v>
      </c>
      <c r="BW236" s="375">
        <v>399391.20891454443</v>
      </c>
      <c r="BY236" s="365">
        <v>339482.52757736278</v>
      </c>
      <c r="BZ236" s="373">
        <v>291892822.60769081</v>
      </c>
      <c r="CA236" s="375">
        <v>59908.681337181653</v>
      </c>
      <c r="CC236" s="365">
        <v>0</v>
      </c>
      <c r="CD236" s="375">
        <v>0</v>
      </c>
      <c r="CF236" s="365">
        <v>0</v>
      </c>
      <c r="CG236" s="375">
        <v>0</v>
      </c>
      <c r="CI236" s="365">
        <v>59908.681337181661</v>
      </c>
      <c r="CJ236" s="375">
        <v>339482.52757736278</v>
      </c>
    </row>
    <row r="237" spans="5:88">
      <c r="G237" s="417">
        <v>233</v>
      </c>
      <c r="H237" s="251">
        <v>14</v>
      </c>
      <c r="I237" s="377">
        <v>0</v>
      </c>
      <c r="J237" s="368">
        <v>0</v>
      </c>
      <c r="K237" s="368">
        <v>740787.24213489541</v>
      </c>
      <c r="L237" s="369">
        <v>341586.29783925833</v>
      </c>
      <c r="N237" s="367">
        <v>399200.94429563708</v>
      </c>
      <c r="O237" s="370">
        <v>0</v>
      </c>
      <c r="P237" s="370">
        <v>0</v>
      </c>
      <c r="Q237" s="370">
        <v>0</v>
      </c>
      <c r="R237" s="370">
        <v>0</v>
      </c>
      <c r="S237" s="370">
        <v>0</v>
      </c>
      <c r="T237" s="379">
        <v>7186680</v>
      </c>
      <c r="U237" s="371">
        <v>0</v>
      </c>
      <c r="V237" s="371">
        <v>0</v>
      </c>
      <c r="W237" s="372">
        <v>399200.94429563708</v>
      </c>
      <c r="X237" s="41"/>
      <c r="Y237" s="365">
        <v>0</v>
      </c>
      <c r="Z237" s="370">
        <v>0</v>
      </c>
      <c r="AA237" s="370">
        <v>0</v>
      </c>
      <c r="AB237" s="375">
        <v>399200.94429563708</v>
      </c>
      <c r="AC237" s="41"/>
      <c r="AD237" s="449">
        <v>0</v>
      </c>
      <c r="AE237" s="365">
        <v>0</v>
      </c>
      <c r="AF237" s="375">
        <v>399200.94429563708</v>
      </c>
      <c r="AH237" s="365">
        <v>0</v>
      </c>
      <c r="AI237" s="370">
        <v>0</v>
      </c>
      <c r="AJ237" s="370">
        <v>0</v>
      </c>
      <c r="AK237" s="375">
        <v>399200.94429563708</v>
      </c>
      <c r="AM237" s="365">
        <v>0</v>
      </c>
      <c r="AN237" s="370">
        <v>0</v>
      </c>
      <c r="AO237" s="370">
        <v>0</v>
      </c>
      <c r="AP237" s="375">
        <v>399200.94429563708</v>
      </c>
      <c r="AR237" s="365">
        <v>0</v>
      </c>
      <c r="AS237" s="375">
        <v>399200.94429563708</v>
      </c>
      <c r="AU237" s="378">
        <v>0</v>
      </c>
      <c r="AV237" s="379">
        <v>0</v>
      </c>
      <c r="AW237" s="380">
        <v>0</v>
      </c>
      <c r="AX237" s="381">
        <v>399200.94429563708</v>
      </c>
      <c r="AZ237" s="365">
        <v>0</v>
      </c>
      <c r="BA237" s="370">
        <v>0</v>
      </c>
      <c r="BB237" s="370">
        <v>0</v>
      </c>
      <c r="BC237" s="375">
        <v>399200.94429563708</v>
      </c>
      <c r="BE237" s="365">
        <v>0</v>
      </c>
      <c r="BF237" s="370">
        <v>0</v>
      </c>
      <c r="BG237" s="370">
        <v>0</v>
      </c>
      <c r="BH237" s="375">
        <v>399200.94429563708</v>
      </c>
      <c r="BJ237" s="365">
        <v>0</v>
      </c>
      <c r="BK237" s="370">
        <v>0</v>
      </c>
      <c r="BL237" s="370">
        <v>0</v>
      </c>
      <c r="BM237" s="375">
        <v>399200.94429563708</v>
      </c>
      <c r="BO237" s="365">
        <v>0</v>
      </c>
      <c r="BP237" s="370">
        <v>0</v>
      </c>
      <c r="BQ237" s="370">
        <v>0</v>
      </c>
      <c r="BR237" s="375">
        <v>399200.94429563708</v>
      </c>
      <c r="BT237" s="365">
        <v>0</v>
      </c>
      <c r="BU237" s="370">
        <v>0</v>
      </c>
      <c r="BV237" s="370">
        <v>0</v>
      </c>
      <c r="BW237" s="375">
        <v>399200.94429563708</v>
      </c>
      <c r="BY237" s="365">
        <v>339320.80265129148</v>
      </c>
      <c r="BZ237" s="373">
        <v>292232143.4103421</v>
      </c>
      <c r="CA237" s="375">
        <v>59880.141644345596</v>
      </c>
      <c r="CC237" s="365">
        <v>0</v>
      </c>
      <c r="CD237" s="375">
        <v>0</v>
      </c>
      <c r="CF237" s="365">
        <v>0</v>
      </c>
      <c r="CG237" s="375">
        <v>0</v>
      </c>
      <c r="CI237" s="365">
        <v>59880.14164434556</v>
      </c>
      <c r="CJ237" s="375">
        <v>339320.80265129148</v>
      </c>
    </row>
    <row r="238" spans="5:88">
      <c r="E238" s="96"/>
      <c r="F238" s="404"/>
      <c r="G238" s="417">
        <v>234</v>
      </c>
      <c r="H238" s="251">
        <v>14</v>
      </c>
      <c r="I238" s="377">
        <v>0</v>
      </c>
      <c r="J238" s="368">
        <v>0</v>
      </c>
      <c r="K238" s="368">
        <v>740787.24213489541</v>
      </c>
      <c r="L238" s="369">
        <v>341776.6684952068</v>
      </c>
      <c r="N238" s="367">
        <v>399010.57363968861</v>
      </c>
      <c r="O238" s="370">
        <v>0</v>
      </c>
      <c r="P238" s="370">
        <v>0</v>
      </c>
      <c r="Q238" s="370">
        <v>0</v>
      </c>
      <c r="R238" s="370">
        <v>0</v>
      </c>
      <c r="S238" s="370">
        <v>0</v>
      </c>
      <c r="T238" s="379">
        <v>7186680</v>
      </c>
      <c r="U238" s="371">
        <v>0</v>
      </c>
      <c r="V238" s="371">
        <v>0</v>
      </c>
      <c r="W238" s="372">
        <v>399010.57363968861</v>
      </c>
      <c r="X238" s="41"/>
      <c r="Y238" s="365">
        <v>0</v>
      </c>
      <c r="Z238" s="370">
        <v>0</v>
      </c>
      <c r="AA238" s="370">
        <v>0</v>
      </c>
      <c r="AB238" s="375">
        <v>399010.57363968861</v>
      </c>
      <c r="AC238" s="41"/>
      <c r="AD238" s="449">
        <v>0</v>
      </c>
      <c r="AE238" s="365">
        <v>0</v>
      </c>
      <c r="AF238" s="375">
        <v>399010.57363968861</v>
      </c>
      <c r="AH238" s="365">
        <v>0</v>
      </c>
      <c r="AI238" s="370">
        <v>0</v>
      </c>
      <c r="AJ238" s="370">
        <v>0</v>
      </c>
      <c r="AK238" s="375">
        <v>399010.57363968861</v>
      </c>
      <c r="AM238" s="365">
        <v>0</v>
      </c>
      <c r="AN238" s="370">
        <v>0</v>
      </c>
      <c r="AO238" s="370">
        <v>0</v>
      </c>
      <c r="AP238" s="375">
        <v>399010.57363968861</v>
      </c>
      <c r="AR238" s="365">
        <v>0</v>
      </c>
      <c r="AS238" s="375">
        <v>399010.57363968861</v>
      </c>
      <c r="AU238" s="378">
        <v>0</v>
      </c>
      <c r="AV238" s="379">
        <v>0</v>
      </c>
      <c r="AW238" s="380">
        <v>0</v>
      </c>
      <c r="AX238" s="381">
        <v>399010.57363968861</v>
      </c>
      <c r="AZ238" s="365">
        <v>0</v>
      </c>
      <c r="BA238" s="370">
        <v>0</v>
      </c>
      <c r="BB238" s="370">
        <v>0</v>
      </c>
      <c r="BC238" s="375">
        <v>399010.57363968861</v>
      </c>
      <c r="BE238" s="365">
        <v>0</v>
      </c>
      <c r="BF238" s="370">
        <v>0</v>
      </c>
      <c r="BG238" s="370">
        <v>0</v>
      </c>
      <c r="BH238" s="375">
        <v>399010.57363968861</v>
      </c>
      <c r="BJ238" s="365">
        <v>0</v>
      </c>
      <c r="BK238" s="370">
        <v>0</v>
      </c>
      <c r="BL238" s="370">
        <v>0</v>
      </c>
      <c r="BM238" s="375">
        <v>399010.57363968861</v>
      </c>
      <c r="BO238" s="365">
        <v>0</v>
      </c>
      <c r="BP238" s="370">
        <v>0</v>
      </c>
      <c r="BQ238" s="370">
        <v>0</v>
      </c>
      <c r="BR238" s="375">
        <v>399010.57363968861</v>
      </c>
      <c r="BT238" s="365">
        <v>0</v>
      </c>
      <c r="BU238" s="370">
        <v>0</v>
      </c>
      <c r="BV238" s="370">
        <v>0</v>
      </c>
      <c r="BW238" s="375">
        <v>399010.57363968861</v>
      </c>
      <c r="BY238" s="365">
        <v>339158.98759373528</v>
      </c>
      <c r="BZ238" s="373">
        <v>292571302.39793581</v>
      </c>
      <c r="CA238" s="375">
        <v>59851.586045953329</v>
      </c>
      <c r="CC238" s="365">
        <v>0</v>
      </c>
      <c r="CD238" s="375">
        <v>0</v>
      </c>
      <c r="CF238" s="365">
        <v>0</v>
      </c>
      <c r="CG238" s="375">
        <v>0</v>
      </c>
      <c r="CI238" s="365">
        <v>59851.586045953285</v>
      </c>
      <c r="CJ238" s="375">
        <v>339158.98759373528</v>
      </c>
    </row>
    <row r="239" spans="5:88">
      <c r="G239" s="417">
        <v>235</v>
      </c>
      <c r="H239" s="251">
        <v>14</v>
      </c>
      <c r="I239" s="377">
        <v>0</v>
      </c>
      <c r="J239" s="368">
        <v>0</v>
      </c>
      <c r="K239" s="368">
        <v>740787.24213489541</v>
      </c>
      <c r="L239" s="369">
        <v>341967.1452472923</v>
      </c>
      <c r="N239" s="367">
        <v>398820.09688760311</v>
      </c>
      <c r="O239" s="370">
        <v>0</v>
      </c>
      <c r="P239" s="370">
        <v>0</v>
      </c>
      <c r="Q239" s="370">
        <v>0</v>
      </c>
      <c r="R239" s="370">
        <v>0</v>
      </c>
      <c r="S239" s="370">
        <v>0</v>
      </c>
      <c r="T239" s="379">
        <v>7186680</v>
      </c>
      <c r="U239" s="371">
        <v>0</v>
      </c>
      <c r="V239" s="371">
        <v>0</v>
      </c>
      <c r="W239" s="372">
        <v>398820.09688760311</v>
      </c>
      <c r="X239" s="41"/>
      <c r="Y239" s="365">
        <v>0</v>
      </c>
      <c r="Z239" s="370">
        <v>0</v>
      </c>
      <c r="AA239" s="370">
        <v>0</v>
      </c>
      <c r="AB239" s="375">
        <v>398820.09688760311</v>
      </c>
      <c r="AC239" s="41"/>
      <c r="AD239" s="449">
        <v>0</v>
      </c>
      <c r="AE239" s="365">
        <v>0</v>
      </c>
      <c r="AF239" s="375">
        <v>398820.09688760311</v>
      </c>
      <c r="AH239" s="365">
        <v>0</v>
      </c>
      <c r="AI239" s="370">
        <v>0</v>
      </c>
      <c r="AJ239" s="370">
        <v>0</v>
      </c>
      <c r="AK239" s="375">
        <v>398820.09688760311</v>
      </c>
      <c r="AM239" s="365">
        <v>0</v>
      </c>
      <c r="AN239" s="370">
        <v>0</v>
      </c>
      <c r="AO239" s="370">
        <v>0</v>
      </c>
      <c r="AP239" s="375">
        <v>398820.09688760311</v>
      </c>
      <c r="AR239" s="365">
        <v>0</v>
      </c>
      <c r="AS239" s="375">
        <v>398820.09688760311</v>
      </c>
      <c r="AU239" s="378">
        <v>0</v>
      </c>
      <c r="AV239" s="379">
        <v>0</v>
      </c>
      <c r="AW239" s="380">
        <v>0</v>
      </c>
      <c r="AX239" s="381">
        <v>398820.09688760311</v>
      </c>
      <c r="AZ239" s="365">
        <v>0</v>
      </c>
      <c r="BA239" s="370">
        <v>0</v>
      </c>
      <c r="BB239" s="370">
        <v>0</v>
      </c>
      <c r="BC239" s="375">
        <v>398820.09688760311</v>
      </c>
      <c r="BE239" s="365">
        <v>0</v>
      </c>
      <c r="BF239" s="370">
        <v>0</v>
      </c>
      <c r="BG239" s="370">
        <v>0</v>
      </c>
      <c r="BH239" s="375">
        <v>398820.09688760311</v>
      </c>
      <c r="BJ239" s="365">
        <v>0</v>
      </c>
      <c r="BK239" s="370">
        <v>0</v>
      </c>
      <c r="BL239" s="370">
        <v>0</v>
      </c>
      <c r="BM239" s="375">
        <v>398820.09688760311</v>
      </c>
      <c r="BO239" s="365">
        <v>0</v>
      </c>
      <c r="BP239" s="370">
        <v>0</v>
      </c>
      <c r="BQ239" s="370">
        <v>0</v>
      </c>
      <c r="BR239" s="375">
        <v>398820.09688760311</v>
      </c>
      <c r="BT239" s="365">
        <v>0</v>
      </c>
      <c r="BU239" s="370">
        <v>0</v>
      </c>
      <c r="BV239" s="370">
        <v>0</v>
      </c>
      <c r="BW239" s="375">
        <v>398820.09688760311</v>
      </c>
      <c r="BY239" s="365">
        <v>338997.08235446265</v>
      </c>
      <c r="BZ239" s="373">
        <v>292910299.48029029</v>
      </c>
      <c r="CA239" s="375">
        <v>59823.014533140464</v>
      </c>
      <c r="CC239" s="365">
        <v>0</v>
      </c>
      <c r="CD239" s="375">
        <v>0</v>
      </c>
      <c r="CF239" s="365">
        <v>0</v>
      </c>
      <c r="CG239" s="375">
        <v>0</v>
      </c>
      <c r="CI239" s="365">
        <v>59823.014533140464</v>
      </c>
      <c r="CJ239" s="375">
        <v>338997.08235446265</v>
      </c>
    </row>
    <row r="240" spans="5:88">
      <c r="G240" s="417">
        <v>236</v>
      </c>
      <c r="H240" s="251">
        <v>14</v>
      </c>
      <c r="I240" s="377">
        <v>0</v>
      </c>
      <c r="J240" s="368">
        <v>0</v>
      </c>
      <c r="K240" s="368">
        <v>740787.24213489541</v>
      </c>
      <c r="L240" s="369">
        <v>342157.72815464356</v>
      </c>
      <c r="N240" s="367">
        <v>398629.51398025185</v>
      </c>
      <c r="O240" s="370">
        <v>0</v>
      </c>
      <c r="P240" s="370">
        <v>0</v>
      </c>
      <c r="Q240" s="370">
        <v>0</v>
      </c>
      <c r="R240" s="370">
        <v>0</v>
      </c>
      <c r="S240" s="370">
        <v>0</v>
      </c>
      <c r="T240" s="379">
        <v>7186680</v>
      </c>
      <c r="U240" s="371">
        <v>0</v>
      </c>
      <c r="V240" s="371">
        <v>0</v>
      </c>
      <c r="W240" s="372">
        <v>398629.51398025185</v>
      </c>
      <c r="X240" s="41"/>
      <c r="Y240" s="365">
        <v>0</v>
      </c>
      <c r="Z240" s="370">
        <v>0</v>
      </c>
      <c r="AA240" s="370">
        <v>0</v>
      </c>
      <c r="AB240" s="375">
        <v>398629.51398025185</v>
      </c>
      <c r="AC240" s="41"/>
      <c r="AD240" s="449">
        <v>0</v>
      </c>
      <c r="AE240" s="365">
        <v>0</v>
      </c>
      <c r="AF240" s="375">
        <v>398629.51398025185</v>
      </c>
      <c r="AH240" s="365">
        <v>0</v>
      </c>
      <c r="AI240" s="370">
        <v>0</v>
      </c>
      <c r="AJ240" s="370">
        <v>0</v>
      </c>
      <c r="AK240" s="375">
        <v>398629.51398025185</v>
      </c>
      <c r="AM240" s="365">
        <v>0</v>
      </c>
      <c r="AN240" s="370">
        <v>0</v>
      </c>
      <c r="AO240" s="370">
        <v>0</v>
      </c>
      <c r="AP240" s="375">
        <v>398629.51398025185</v>
      </c>
      <c r="AR240" s="365">
        <v>0</v>
      </c>
      <c r="AS240" s="375">
        <v>398629.51398025185</v>
      </c>
      <c r="AU240" s="378">
        <v>0</v>
      </c>
      <c r="AV240" s="379">
        <v>0</v>
      </c>
      <c r="AW240" s="380">
        <v>0</v>
      </c>
      <c r="AX240" s="381">
        <v>398629.51398025185</v>
      </c>
      <c r="AZ240" s="365">
        <v>0</v>
      </c>
      <c r="BA240" s="370">
        <v>0</v>
      </c>
      <c r="BB240" s="370">
        <v>0</v>
      </c>
      <c r="BC240" s="375">
        <v>398629.51398025185</v>
      </c>
      <c r="BE240" s="365">
        <v>0</v>
      </c>
      <c r="BF240" s="370">
        <v>0</v>
      </c>
      <c r="BG240" s="370">
        <v>0</v>
      </c>
      <c r="BH240" s="375">
        <v>398629.51398025185</v>
      </c>
      <c r="BJ240" s="365">
        <v>0</v>
      </c>
      <c r="BK240" s="370">
        <v>0</v>
      </c>
      <c r="BL240" s="370">
        <v>0</v>
      </c>
      <c r="BM240" s="375">
        <v>398629.51398025185</v>
      </c>
      <c r="BO240" s="365">
        <v>0</v>
      </c>
      <c r="BP240" s="370">
        <v>0</v>
      </c>
      <c r="BQ240" s="370">
        <v>0</v>
      </c>
      <c r="BR240" s="375">
        <v>398629.51398025185</v>
      </c>
      <c r="BT240" s="365">
        <v>0</v>
      </c>
      <c r="BU240" s="370">
        <v>0</v>
      </c>
      <c r="BV240" s="370">
        <v>0</v>
      </c>
      <c r="BW240" s="375">
        <v>398629.51398025185</v>
      </c>
      <c r="BY240" s="365">
        <v>338835.08688321407</v>
      </c>
      <c r="BZ240" s="373">
        <v>293249134.56717348</v>
      </c>
      <c r="CA240" s="375">
        <v>59794.427097037784</v>
      </c>
      <c r="CC240" s="365">
        <v>0</v>
      </c>
      <c r="CD240" s="375">
        <v>0</v>
      </c>
      <c r="CF240" s="365">
        <v>0</v>
      </c>
      <c r="CG240" s="375">
        <v>0</v>
      </c>
      <c r="CI240" s="365">
        <v>59794.427097037777</v>
      </c>
      <c r="CJ240" s="375">
        <v>338835.08688321407</v>
      </c>
    </row>
    <row r="241" spans="5:88">
      <c r="G241" s="417">
        <v>237</v>
      </c>
      <c r="H241" s="251">
        <v>14</v>
      </c>
      <c r="I241" s="377">
        <v>1</v>
      </c>
      <c r="J241" s="368">
        <v>0</v>
      </c>
      <c r="K241" s="368">
        <v>357211.02699220995</v>
      </c>
      <c r="L241" s="369">
        <v>342348.41727642238</v>
      </c>
      <c r="N241" s="367">
        <v>14862.609715787577</v>
      </c>
      <c r="O241" s="370">
        <v>0</v>
      </c>
      <c r="P241" s="370">
        <v>0</v>
      </c>
      <c r="Q241" s="370">
        <v>0</v>
      </c>
      <c r="R241" s="370">
        <v>0</v>
      </c>
      <c r="S241" s="370">
        <v>0</v>
      </c>
      <c r="T241" s="379">
        <v>7186680</v>
      </c>
      <c r="U241" s="371">
        <v>0</v>
      </c>
      <c r="V241" s="371">
        <v>0</v>
      </c>
      <c r="W241" s="372">
        <v>14862.609715787577</v>
      </c>
      <c r="X241" s="41"/>
      <c r="Y241" s="365">
        <v>0</v>
      </c>
      <c r="Z241" s="370">
        <v>0</v>
      </c>
      <c r="AA241" s="370">
        <v>0</v>
      </c>
      <c r="AB241" s="375">
        <v>14862.609715787577</v>
      </c>
      <c r="AC241" s="41"/>
      <c r="AD241" s="449">
        <v>0</v>
      </c>
      <c r="AE241" s="365">
        <v>0</v>
      </c>
      <c r="AF241" s="375">
        <v>14862.609715787577</v>
      </c>
      <c r="AH241" s="365">
        <v>0</v>
      </c>
      <c r="AI241" s="370">
        <v>0</v>
      </c>
      <c r="AJ241" s="370">
        <v>0</v>
      </c>
      <c r="AK241" s="375">
        <v>14862.609715787577</v>
      </c>
      <c r="AM241" s="365">
        <v>0</v>
      </c>
      <c r="AN241" s="370">
        <v>0</v>
      </c>
      <c r="AO241" s="370">
        <v>0</v>
      </c>
      <c r="AP241" s="375">
        <v>14862.609715787577</v>
      </c>
      <c r="AR241" s="365">
        <v>0</v>
      </c>
      <c r="AS241" s="375">
        <v>14862.609715787577</v>
      </c>
      <c r="AU241" s="378">
        <v>0</v>
      </c>
      <c r="AV241" s="379">
        <v>0</v>
      </c>
      <c r="AW241" s="380">
        <v>0</v>
      </c>
      <c r="AX241" s="381">
        <v>14862.609715787577</v>
      </c>
      <c r="AZ241" s="365">
        <v>0</v>
      </c>
      <c r="BA241" s="370">
        <v>0</v>
      </c>
      <c r="BB241" s="370">
        <v>0</v>
      </c>
      <c r="BC241" s="375">
        <v>14862.609715787577</v>
      </c>
      <c r="BE241" s="365">
        <v>0</v>
      </c>
      <c r="BF241" s="370">
        <v>0</v>
      </c>
      <c r="BG241" s="370">
        <v>0</v>
      </c>
      <c r="BH241" s="375">
        <v>14862.609715787577</v>
      </c>
      <c r="BJ241" s="365">
        <v>0</v>
      </c>
      <c r="BK241" s="370">
        <v>0</v>
      </c>
      <c r="BL241" s="370">
        <v>0</v>
      </c>
      <c r="BM241" s="375">
        <v>14862.609715787577</v>
      </c>
      <c r="BO241" s="365">
        <v>0</v>
      </c>
      <c r="BP241" s="370">
        <v>0</v>
      </c>
      <c r="BQ241" s="370">
        <v>0</v>
      </c>
      <c r="BR241" s="375">
        <v>14862.609715787577</v>
      </c>
      <c r="BT241" s="365">
        <v>0</v>
      </c>
      <c r="BU241" s="370">
        <v>0</v>
      </c>
      <c r="BV241" s="370">
        <v>0</v>
      </c>
      <c r="BW241" s="375">
        <v>14862.609715787577</v>
      </c>
      <c r="BY241" s="365">
        <v>12633.21825841944</v>
      </c>
      <c r="BZ241" s="373">
        <v>293261767.78543192</v>
      </c>
      <c r="CA241" s="375">
        <v>2229.3914573681377</v>
      </c>
      <c r="CC241" s="365">
        <v>0</v>
      </c>
      <c r="CD241" s="375">
        <v>0</v>
      </c>
      <c r="CF241" s="365">
        <v>0</v>
      </c>
      <c r="CG241" s="375">
        <v>0</v>
      </c>
      <c r="CI241" s="365">
        <v>2229.3914573681363</v>
      </c>
      <c r="CJ241" s="375">
        <v>12633.21825841944</v>
      </c>
    </row>
    <row r="242" spans="5:88">
      <c r="G242" s="417">
        <v>238</v>
      </c>
      <c r="H242" s="251">
        <v>14</v>
      </c>
      <c r="I242" s="377">
        <v>0</v>
      </c>
      <c r="J242" s="368">
        <v>0</v>
      </c>
      <c r="K242" s="368">
        <v>743143.13976121834</v>
      </c>
      <c r="L242" s="369">
        <v>342539.21267182351</v>
      </c>
      <c r="N242" s="367">
        <v>400603.92708939483</v>
      </c>
      <c r="O242" s="370">
        <v>0</v>
      </c>
      <c r="P242" s="370">
        <v>0</v>
      </c>
      <c r="Q242" s="370">
        <v>0</v>
      </c>
      <c r="R242" s="370">
        <v>0</v>
      </c>
      <c r="S242" s="370">
        <v>0</v>
      </c>
      <c r="T242" s="379">
        <v>7186680</v>
      </c>
      <c r="U242" s="371">
        <v>0</v>
      </c>
      <c r="V242" s="371">
        <v>0</v>
      </c>
      <c r="W242" s="372">
        <v>400603.92708939483</v>
      </c>
      <c r="X242" s="41"/>
      <c r="Y242" s="365">
        <v>0</v>
      </c>
      <c r="Z242" s="370">
        <v>0</v>
      </c>
      <c r="AA242" s="370">
        <v>0</v>
      </c>
      <c r="AB242" s="375">
        <v>400603.92708939483</v>
      </c>
      <c r="AC242" s="41"/>
      <c r="AD242" s="449">
        <v>0</v>
      </c>
      <c r="AE242" s="365">
        <v>0</v>
      </c>
      <c r="AF242" s="375">
        <v>400603.92708939483</v>
      </c>
      <c r="AH242" s="365">
        <v>0</v>
      </c>
      <c r="AI242" s="370">
        <v>0</v>
      </c>
      <c r="AJ242" s="370">
        <v>0</v>
      </c>
      <c r="AK242" s="375">
        <v>400603.92708939483</v>
      </c>
      <c r="AM242" s="365">
        <v>0</v>
      </c>
      <c r="AN242" s="370">
        <v>0</v>
      </c>
      <c r="AO242" s="370">
        <v>0</v>
      </c>
      <c r="AP242" s="375">
        <v>400603.92708939483</v>
      </c>
      <c r="AR242" s="365">
        <v>0</v>
      </c>
      <c r="AS242" s="375">
        <v>400603.92708939483</v>
      </c>
      <c r="AU242" s="378">
        <v>0</v>
      </c>
      <c r="AV242" s="379">
        <v>0</v>
      </c>
      <c r="AW242" s="380">
        <v>0</v>
      </c>
      <c r="AX242" s="381">
        <v>400603.92708939483</v>
      </c>
      <c r="AZ242" s="365">
        <v>0</v>
      </c>
      <c r="BA242" s="370">
        <v>0</v>
      </c>
      <c r="BB242" s="370">
        <v>0</v>
      </c>
      <c r="BC242" s="375">
        <v>400603.92708939483</v>
      </c>
      <c r="BE242" s="365">
        <v>0</v>
      </c>
      <c r="BF242" s="370">
        <v>0</v>
      </c>
      <c r="BG242" s="370">
        <v>0</v>
      </c>
      <c r="BH242" s="375">
        <v>400603.92708939483</v>
      </c>
      <c r="BJ242" s="365">
        <v>0</v>
      </c>
      <c r="BK242" s="370">
        <v>0</v>
      </c>
      <c r="BL242" s="370">
        <v>0</v>
      </c>
      <c r="BM242" s="375">
        <v>400603.92708939483</v>
      </c>
      <c r="BO242" s="365">
        <v>0</v>
      </c>
      <c r="BP242" s="370">
        <v>0</v>
      </c>
      <c r="BQ242" s="370">
        <v>0</v>
      </c>
      <c r="BR242" s="375">
        <v>400603.92708939483</v>
      </c>
      <c r="BT242" s="365">
        <v>0</v>
      </c>
      <c r="BU242" s="370">
        <v>0</v>
      </c>
      <c r="BV242" s="370">
        <v>0</v>
      </c>
      <c r="BW242" s="375">
        <v>400603.92708939483</v>
      </c>
      <c r="BY242" s="365">
        <v>340513.33802598558</v>
      </c>
      <c r="BZ242" s="373">
        <v>293602281.12345791</v>
      </c>
      <c r="CA242" s="375">
        <v>60090.58906340925</v>
      </c>
      <c r="CC242" s="365">
        <v>0</v>
      </c>
      <c r="CD242" s="375">
        <v>0</v>
      </c>
      <c r="CF242" s="365">
        <v>0</v>
      </c>
      <c r="CG242" s="375">
        <v>0</v>
      </c>
      <c r="CI242" s="365">
        <v>60090.589063409221</v>
      </c>
      <c r="CJ242" s="375">
        <v>340513.33802598558</v>
      </c>
    </row>
    <row r="243" spans="5:88">
      <c r="G243" s="417">
        <v>239</v>
      </c>
      <c r="H243" s="251">
        <v>14</v>
      </c>
      <c r="I243" s="377">
        <v>0</v>
      </c>
      <c r="J243" s="368">
        <v>0</v>
      </c>
      <c r="K243" s="368">
        <v>743143.13976121834</v>
      </c>
      <c r="L243" s="369">
        <v>342730.11440007464</v>
      </c>
      <c r="N243" s="367">
        <v>400413.02536114369</v>
      </c>
      <c r="O243" s="370">
        <v>0</v>
      </c>
      <c r="P243" s="370">
        <v>0</v>
      </c>
      <c r="Q243" s="370">
        <v>0</v>
      </c>
      <c r="R243" s="370">
        <v>0</v>
      </c>
      <c r="S243" s="370">
        <v>0</v>
      </c>
      <c r="T243" s="379">
        <v>7186680</v>
      </c>
      <c r="U243" s="371">
        <v>0</v>
      </c>
      <c r="V243" s="371">
        <v>0</v>
      </c>
      <c r="W243" s="372">
        <v>400413.02536114369</v>
      </c>
      <c r="X243" s="41"/>
      <c r="Y243" s="365">
        <v>0</v>
      </c>
      <c r="Z243" s="370">
        <v>0</v>
      </c>
      <c r="AA243" s="370">
        <v>0</v>
      </c>
      <c r="AB243" s="375">
        <v>400413.02536114369</v>
      </c>
      <c r="AC243" s="41"/>
      <c r="AD243" s="449">
        <v>0</v>
      </c>
      <c r="AE243" s="365">
        <v>0</v>
      </c>
      <c r="AF243" s="375">
        <v>400413.02536114369</v>
      </c>
      <c r="AH243" s="365">
        <v>0</v>
      </c>
      <c r="AI243" s="370">
        <v>0</v>
      </c>
      <c r="AJ243" s="370">
        <v>0</v>
      </c>
      <c r="AK243" s="375">
        <v>400413.02536114369</v>
      </c>
      <c r="AM243" s="365">
        <v>0</v>
      </c>
      <c r="AN243" s="370">
        <v>0</v>
      </c>
      <c r="AO243" s="370">
        <v>0</v>
      </c>
      <c r="AP243" s="375">
        <v>400413.02536114369</v>
      </c>
      <c r="AR243" s="365">
        <v>0</v>
      </c>
      <c r="AS243" s="375">
        <v>400413.02536114369</v>
      </c>
      <c r="AU243" s="378">
        <v>0</v>
      </c>
      <c r="AV243" s="379">
        <v>0</v>
      </c>
      <c r="AW243" s="380">
        <v>0</v>
      </c>
      <c r="AX243" s="381">
        <v>400413.02536114369</v>
      </c>
      <c r="AZ243" s="365">
        <v>0</v>
      </c>
      <c r="BA243" s="370">
        <v>0</v>
      </c>
      <c r="BB243" s="370">
        <v>0</v>
      </c>
      <c r="BC243" s="375">
        <v>400413.02536114369</v>
      </c>
      <c r="BE243" s="365">
        <v>0</v>
      </c>
      <c r="BF243" s="370">
        <v>0</v>
      </c>
      <c r="BG243" s="370">
        <v>0</v>
      </c>
      <c r="BH243" s="375">
        <v>400413.02536114369</v>
      </c>
      <c r="BJ243" s="365">
        <v>0</v>
      </c>
      <c r="BK243" s="370">
        <v>0</v>
      </c>
      <c r="BL243" s="370">
        <v>0</v>
      </c>
      <c r="BM243" s="375">
        <v>400413.02536114369</v>
      </c>
      <c r="BO243" s="365">
        <v>0</v>
      </c>
      <c r="BP243" s="370">
        <v>0</v>
      </c>
      <c r="BQ243" s="370">
        <v>0</v>
      </c>
      <c r="BR243" s="375">
        <v>400413.02536114369</v>
      </c>
      <c r="BT243" s="365">
        <v>0</v>
      </c>
      <c r="BU243" s="370">
        <v>0</v>
      </c>
      <c r="BV243" s="370">
        <v>0</v>
      </c>
      <c r="BW243" s="375">
        <v>400413.02536114369</v>
      </c>
      <c r="BY243" s="365">
        <v>340351.07155697211</v>
      </c>
      <c r="BZ243" s="373">
        <v>293942632.19501489</v>
      </c>
      <c r="CA243" s="375">
        <v>60061.953804171586</v>
      </c>
      <c r="CC243" s="365">
        <v>0</v>
      </c>
      <c r="CD243" s="375">
        <v>0</v>
      </c>
      <c r="CF243" s="365">
        <v>0</v>
      </c>
      <c r="CG243" s="375">
        <v>0</v>
      </c>
      <c r="CI243" s="365">
        <v>60061.95380417155</v>
      </c>
      <c r="CJ243" s="375">
        <v>340351.07155697211</v>
      </c>
    </row>
    <row r="244" spans="5:88">
      <c r="E244" s="96"/>
      <c r="F244" s="404"/>
      <c r="G244" s="417">
        <v>240</v>
      </c>
      <c r="H244" s="251">
        <v>16</v>
      </c>
      <c r="I244" s="377">
        <v>0</v>
      </c>
      <c r="J244" s="368">
        <v>7186680</v>
      </c>
      <c r="K244" s="368">
        <v>0</v>
      </c>
      <c r="L244" s="369">
        <v>0</v>
      </c>
      <c r="N244" s="367">
        <v>7186680</v>
      </c>
      <c r="O244" s="370">
        <v>0</v>
      </c>
      <c r="P244" s="370">
        <v>0</v>
      </c>
      <c r="Q244" s="370">
        <v>0</v>
      </c>
      <c r="R244" s="370">
        <v>0</v>
      </c>
      <c r="S244" s="370">
        <v>0</v>
      </c>
      <c r="T244" s="379">
        <v>0</v>
      </c>
      <c r="U244" s="371">
        <v>0</v>
      </c>
      <c r="V244" s="371">
        <v>0</v>
      </c>
      <c r="W244" s="372">
        <v>7186680</v>
      </c>
      <c r="X244" s="41"/>
      <c r="Y244" s="365">
        <v>0</v>
      </c>
      <c r="Z244" s="370">
        <v>0</v>
      </c>
      <c r="AA244" s="370">
        <v>0</v>
      </c>
      <c r="AB244" s="375">
        <v>7186680</v>
      </c>
      <c r="AC244" s="41"/>
      <c r="AD244" s="449">
        <v>0</v>
      </c>
      <c r="AE244" s="365">
        <v>0</v>
      </c>
      <c r="AF244" s="375">
        <v>7186680</v>
      </c>
      <c r="AH244" s="365">
        <v>0</v>
      </c>
      <c r="AI244" s="370">
        <v>0</v>
      </c>
      <c r="AJ244" s="370">
        <v>0</v>
      </c>
      <c r="AK244" s="375">
        <v>7186680</v>
      </c>
      <c r="AM244" s="365">
        <v>0</v>
      </c>
      <c r="AN244" s="370">
        <v>0</v>
      </c>
      <c r="AO244" s="370">
        <v>0</v>
      </c>
      <c r="AP244" s="375">
        <v>7186680</v>
      </c>
      <c r="AR244" s="365">
        <v>0</v>
      </c>
      <c r="AS244" s="375">
        <v>7186680</v>
      </c>
      <c r="AU244" s="378">
        <v>0</v>
      </c>
      <c r="AV244" s="379">
        <v>0</v>
      </c>
      <c r="AW244" s="380">
        <v>0</v>
      </c>
      <c r="AX244" s="381">
        <v>7186680</v>
      </c>
      <c r="AZ244" s="365">
        <v>0</v>
      </c>
      <c r="BA244" s="370">
        <v>0</v>
      </c>
      <c r="BB244" s="370">
        <v>0</v>
      </c>
      <c r="BC244" s="375">
        <v>7186680</v>
      </c>
      <c r="BE244" s="365">
        <v>0</v>
      </c>
      <c r="BF244" s="370">
        <v>0</v>
      </c>
      <c r="BG244" s="370">
        <v>0</v>
      </c>
      <c r="BH244" s="375">
        <v>7186680</v>
      </c>
      <c r="BJ244" s="365">
        <v>0</v>
      </c>
      <c r="BK244" s="370">
        <v>0</v>
      </c>
      <c r="BL244" s="370">
        <v>0</v>
      </c>
      <c r="BM244" s="375">
        <v>7186680</v>
      </c>
      <c r="BO244" s="365">
        <v>0</v>
      </c>
      <c r="BP244" s="370">
        <v>0</v>
      </c>
      <c r="BQ244" s="370">
        <v>0</v>
      </c>
      <c r="BR244" s="375">
        <v>7186680</v>
      </c>
      <c r="BT244" s="365">
        <v>0</v>
      </c>
      <c r="BU244" s="370">
        <v>0</v>
      </c>
      <c r="BV244" s="370">
        <v>0</v>
      </c>
      <c r="BW244" s="375">
        <v>7186680</v>
      </c>
      <c r="BY244" s="365">
        <v>6108678</v>
      </c>
      <c r="BZ244" s="373">
        <v>300051310.19501489</v>
      </c>
      <c r="CA244" s="375">
        <v>1078002</v>
      </c>
      <c r="CC244" s="365">
        <v>0</v>
      </c>
      <c r="CD244" s="375">
        <v>0</v>
      </c>
      <c r="CF244" s="365">
        <v>0</v>
      </c>
      <c r="CG244" s="375">
        <v>0</v>
      </c>
      <c r="CI244" s="365">
        <v>1078002</v>
      </c>
      <c r="CJ244" s="375">
        <v>6108678</v>
      </c>
    </row>
    <row r="245" spans="5:88">
      <c r="G245" s="417">
        <v>241</v>
      </c>
      <c r="H245" s="251">
        <v>16</v>
      </c>
      <c r="I245" s="377">
        <v>0</v>
      </c>
      <c r="J245" s="368">
        <v>0</v>
      </c>
      <c r="K245" s="368">
        <v>0</v>
      </c>
      <c r="L245" s="369">
        <v>0</v>
      </c>
      <c r="N245" s="367">
        <v>0</v>
      </c>
      <c r="O245" s="370">
        <v>0</v>
      </c>
      <c r="P245" s="370">
        <v>0</v>
      </c>
      <c r="Q245" s="370">
        <v>0</v>
      </c>
      <c r="R245" s="370">
        <v>0</v>
      </c>
      <c r="S245" s="370">
        <v>0</v>
      </c>
      <c r="T245" s="379">
        <v>0</v>
      </c>
      <c r="U245" s="371">
        <v>0</v>
      </c>
      <c r="V245" s="371">
        <v>0</v>
      </c>
      <c r="W245" s="372">
        <v>0</v>
      </c>
      <c r="X245" s="41"/>
      <c r="Y245" s="365">
        <v>0</v>
      </c>
      <c r="Z245" s="370">
        <v>0</v>
      </c>
      <c r="AA245" s="370">
        <v>0</v>
      </c>
      <c r="AB245" s="375">
        <v>0</v>
      </c>
      <c r="AC245" s="41"/>
      <c r="AD245" s="449">
        <v>0</v>
      </c>
      <c r="AE245" s="365">
        <v>0</v>
      </c>
      <c r="AF245" s="375">
        <v>0</v>
      </c>
      <c r="AH245" s="365">
        <v>0</v>
      </c>
      <c r="AI245" s="370">
        <v>0</v>
      </c>
      <c r="AJ245" s="370">
        <v>0</v>
      </c>
      <c r="AK245" s="375">
        <v>0</v>
      </c>
      <c r="AM245" s="365">
        <v>0</v>
      </c>
      <c r="AN245" s="370">
        <v>0</v>
      </c>
      <c r="AO245" s="370">
        <v>0</v>
      </c>
      <c r="AP245" s="375">
        <v>0</v>
      </c>
      <c r="AR245" s="365">
        <v>0</v>
      </c>
      <c r="AS245" s="375">
        <v>0</v>
      </c>
      <c r="AU245" s="378">
        <v>0</v>
      </c>
      <c r="AV245" s="379">
        <v>0</v>
      </c>
      <c r="AW245" s="380">
        <v>0</v>
      </c>
      <c r="AX245" s="381">
        <v>0</v>
      </c>
      <c r="AZ245" s="365">
        <v>0</v>
      </c>
      <c r="BA245" s="370">
        <v>0</v>
      </c>
      <c r="BB245" s="370">
        <v>0</v>
      </c>
      <c r="BC245" s="375">
        <v>0</v>
      </c>
      <c r="BE245" s="365">
        <v>0</v>
      </c>
      <c r="BF245" s="370">
        <v>0</v>
      </c>
      <c r="BG245" s="370">
        <v>0</v>
      </c>
      <c r="BH245" s="375">
        <v>0</v>
      </c>
      <c r="BJ245" s="365">
        <v>0</v>
      </c>
      <c r="BK245" s="370">
        <v>0</v>
      </c>
      <c r="BL245" s="370">
        <v>0</v>
      </c>
      <c r="BM245" s="375">
        <v>0</v>
      </c>
      <c r="BO245" s="365">
        <v>0</v>
      </c>
      <c r="BP245" s="370">
        <v>0</v>
      </c>
      <c r="BQ245" s="370">
        <v>0</v>
      </c>
      <c r="BR245" s="375">
        <v>0</v>
      </c>
      <c r="BT245" s="365">
        <v>0</v>
      </c>
      <c r="BU245" s="370">
        <v>0</v>
      </c>
      <c r="BV245" s="370">
        <v>0</v>
      </c>
      <c r="BW245" s="375">
        <v>0</v>
      </c>
      <c r="BY245" s="365">
        <v>0</v>
      </c>
      <c r="BZ245" s="373">
        <v>300051310.19501489</v>
      </c>
      <c r="CA245" s="375">
        <v>0</v>
      </c>
      <c r="CC245" s="365">
        <v>0</v>
      </c>
      <c r="CD245" s="375">
        <v>0</v>
      </c>
      <c r="CF245" s="365">
        <v>0</v>
      </c>
      <c r="CG245" s="375">
        <v>0</v>
      </c>
      <c r="CI245" s="365">
        <v>0</v>
      </c>
      <c r="CJ245" s="375">
        <v>0</v>
      </c>
    </row>
    <row r="246" spans="5:88">
      <c r="G246" s="417">
        <v>242</v>
      </c>
      <c r="H246" s="251">
        <v>16</v>
      </c>
      <c r="I246" s="377">
        <v>0</v>
      </c>
      <c r="J246" s="368">
        <v>0</v>
      </c>
      <c r="K246" s="368">
        <v>0</v>
      </c>
      <c r="L246" s="369">
        <v>0</v>
      </c>
      <c r="N246" s="367">
        <v>0</v>
      </c>
      <c r="O246" s="370">
        <v>0</v>
      </c>
      <c r="P246" s="370">
        <v>0</v>
      </c>
      <c r="Q246" s="370">
        <v>0</v>
      </c>
      <c r="R246" s="370">
        <v>0</v>
      </c>
      <c r="S246" s="370">
        <v>0</v>
      </c>
      <c r="T246" s="379">
        <v>0</v>
      </c>
      <c r="U246" s="371">
        <v>0</v>
      </c>
      <c r="V246" s="371">
        <v>0</v>
      </c>
      <c r="W246" s="372">
        <v>0</v>
      </c>
      <c r="X246" s="41"/>
      <c r="Y246" s="365">
        <v>0</v>
      </c>
      <c r="Z246" s="370">
        <v>0</v>
      </c>
      <c r="AA246" s="370">
        <v>0</v>
      </c>
      <c r="AB246" s="375">
        <v>0</v>
      </c>
      <c r="AC246" s="41"/>
      <c r="AD246" s="449">
        <v>0</v>
      </c>
      <c r="AE246" s="365">
        <v>0</v>
      </c>
      <c r="AF246" s="375">
        <v>0</v>
      </c>
      <c r="AH246" s="365">
        <v>0</v>
      </c>
      <c r="AI246" s="370">
        <v>0</v>
      </c>
      <c r="AJ246" s="370">
        <v>0</v>
      </c>
      <c r="AK246" s="375">
        <v>0</v>
      </c>
      <c r="AM246" s="365">
        <v>0</v>
      </c>
      <c r="AN246" s="370">
        <v>0</v>
      </c>
      <c r="AO246" s="370">
        <v>0</v>
      </c>
      <c r="AP246" s="375">
        <v>0</v>
      </c>
      <c r="AR246" s="365">
        <v>0</v>
      </c>
      <c r="AS246" s="375">
        <v>0</v>
      </c>
      <c r="AU246" s="378">
        <v>0</v>
      </c>
      <c r="AV246" s="379">
        <v>0</v>
      </c>
      <c r="AW246" s="380">
        <v>0</v>
      </c>
      <c r="AX246" s="381">
        <v>0</v>
      </c>
      <c r="AZ246" s="365">
        <v>0</v>
      </c>
      <c r="BA246" s="370">
        <v>0</v>
      </c>
      <c r="BB246" s="370">
        <v>0</v>
      </c>
      <c r="BC246" s="375">
        <v>0</v>
      </c>
      <c r="BE246" s="365">
        <v>0</v>
      </c>
      <c r="BF246" s="370">
        <v>0</v>
      </c>
      <c r="BG246" s="370">
        <v>0</v>
      </c>
      <c r="BH246" s="375">
        <v>0</v>
      </c>
      <c r="BJ246" s="365">
        <v>0</v>
      </c>
      <c r="BK246" s="370">
        <v>0</v>
      </c>
      <c r="BL246" s="370">
        <v>0</v>
      </c>
      <c r="BM246" s="375">
        <v>0</v>
      </c>
      <c r="BO246" s="365">
        <v>0</v>
      </c>
      <c r="BP246" s="370">
        <v>0</v>
      </c>
      <c r="BQ246" s="370">
        <v>0</v>
      </c>
      <c r="BR246" s="375">
        <v>0</v>
      </c>
      <c r="BT246" s="365">
        <v>0</v>
      </c>
      <c r="BU246" s="370">
        <v>0</v>
      </c>
      <c r="BV246" s="370">
        <v>0</v>
      </c>
      <c r="BW246" s="375">
        <v>0</v>
      </c>
      <c r="BY246" s="365">
        <v>0</v>
      </c>
      <c r="BZ246" s="373">
        <v>300051310.19501489</v>
      </c>
      <c r="CA246" s="375">
        <v>0</v>
      </c>
      <c r="CC246" s="365">
        <v>0</v>
      </c>
      <c r="CD246" s="375">
        <v>0</v>
      </c>
      <c r="CF246" s="365">
        <v>0</v>
      </c>
      <c r="CG246" s="375">
        <v>0</v>
      </c>
      <c r="CI246" s="365">
        <v>0</v>
      </c>
      <c r="CJ246" s="375">
        <v>0</v>
      </c>
    </row>
    <row r="247" spans="5:88">
      <c r="G247" s="417">
        <v>243</v>
      </c>
      <c r="H247" s="251">
        <v>16</v>
      </c>
      <c r="I247" s="377">
        <v>0</v>
      </c>
      <c r="J247" s="368">
        <v>0</v>
      </c>
      <c r="K247" s="368">
        <v>0</v>
      </c>
      <c r="L247" s="369">
        <v>0</v>
      </c>
      <c r="N247" s="367">
        <v>0</v>
      </c>
      <c r="O247" s="370">
        <v>0</v>
      </c>
      <c r="P247" s="370">
        <v>0</v>
      </c>
      <c r="Q247" s="370">
        <v>0</v>
      </c>
      <c r="R247" s="370">
        <v>0</v>
      </c>
      <c r="S247" s="370">
        <v>0</v>
      </c>
      <c r="T247" s="379">
        <v>0</v>
      </c>
      <c r="U247" s="371">
        <v>0</v>
      </c>
      <c r="V247" s="371">
        <v>0</v>
      </c>
      <c r="W247" s="372">
        <v>0</v>
      </c>
      <c r="X247" s="41"/>
      <c r="Y247" s="365">
        <v>0</v>
      </c>
      <c r="Z247" s="370">
        <v>0</v>
      </c>
      <c r="AA247" s="370">
        <v>0</v>
      </c>
      <c r="AB247" s="375">
        <v>0</v>
      </c>
      <c r="AC247" s="41"/>
      <c r="AD247" s="449">
        <v>0</v>
      </c>
      <c r="AE247" s="365">
        <v>0</v>
      </c>
      <c r="AF247" s="375">
        <v>0</v>
      </c>
      <c r="AH247" s="365">
        <v>0</v>
      </c>
      <c r="AI247" s="370">
        <v>0</v>
      </c>
      <c r="AJ247" s="370">
        <v>0</v>
      </c>
      <c r="AK247" s="375">
        <v>0</v>
      </c>
      <c r="AM247" s="365">
        <v>0</v>
      </c>
      <c r="AN247" s="370">
        <v>0</v>
      </c>
      <c r="AO247" s="370">
        <v>0</v>
      </c>
      <c r="AP247" s="375">
        <v>0</v>
      </c>
      <c r="AR247" s="365">
        <v>0</v>
      </c>
      <c r="AS247" s="375">
        <v>0</v>
      </c>
      <c r="AU247" s="378">
        <v>0</v>
      </c>
      <c r="AV247" s="379">
        <v>0</v>
      </c>
      <c r="AW247" s="380">
        <v>0</v>
      </c>
      <c r="AX247" s="381">
        <v>0</v>
      </c>
      <c r="AZ247" s="365">
        <v>0</v>
      </c>
      <c r="BA247" s="370">
        <v>0</v>
      </c>
      <c r="BB247" s="370">
        <v>0</v>
      </c>
      <c r="BC247" s="375">
        <v>0</v>
      </c>
      <c r="BE247" s="365">
        <v>0</v>
      </c>
      <c r="BF247" s="370">
        <v>0</v>
      </c>
      <c r="BG247" s="370">
        <v>0</v>
      </c>
      <c r="BH247" s="375">
        <v>0</v>
      </c>
      <c r="BJ247" s="365">
        <v>0</v>
      </c>
      <c r="BK247" s="370">
        <v>0</v>
      </c>
      <c r="BL247" s="370">
        <v>0</v>
      </c>
      <c r="BM247" s="375">
        <v>0</v>
      </c>
      <c r="BO247" s="365">
        <v>0</v>
      </c>
      <c r="BP247" s="370">
        <v>0</v>
      </c>
      <c r="BQ247" s="370">
        <v>0</v>
      </c>
      <c r="BR247" s="375">
        <v>0</v>
      </c>
      <c r="BT247" s="365">
        <v>0</v>
      </c>
      <c r="BU247" s="370">
        <v>0</v>
      </c>
      <c r="BV247" s="370">
        <v>0</v>
      </c>
      <c r="BW247" s="375">
        <v>0</v>
      </c>
      <c r="BY247" s="365">
        <v>0</v>
      </c>
      <c r="BZ247" s="373">
        <v>300051310.19501489</v>
      </c>
      <c r="CA247" s="375">
        <v>0</v>
      </c>
      <c r="CC247" s="365">
        <v>0</v>
      </c>
      <c r="CD247" s="375">
        <v>0</v>
      </c>
      <c r="CF247" s="365">
        <v>0</v>
      </c>
      <c r="CG247" s="375">
        <v>0</v>
      </c>
      <c r="CI247" s="365">
        <v>0</v>
      </c>
      <c r="CJ247" s="375">
        <v>0</v>
      </c>
    </row>
    <row r="248" spans="5:88">
      <c r="G248" s="417">
        <v>244</v>
      </c>
      <c r="H248" s="251">
        <v>16</v>
      </c>
      <c r="I248" s="377">
        <v>0</v>
      </c>
      <c r="J248" s="368">
        <v>0</v>
      </c>
      <c r="K248" s="368">
        <v>0</v>
      </c>
      <c r="L248" s="369">
        <v>0</v>
      </c>
      <c r="N248" s="367">
        <v>0</v>
      </c>
      <c r="O248" s="370">
        <v>0</v>
      </c>
      <c r="P248" s="370">
        <v>0</v>
      </c>
      <c r="Q248" s="370">
        <v>0</v>
      </c>
      <c r="R248" s="370">
        <v>0</v>
      </c>
      <c r="S248" s="370">
        <v>0</v>
      </c>
      <c r="T248" s="379">
        <v>0</v>
      </c>
      <c r="U248" s="371">
        <v>0</v>
      </c>
      <c r="V248" s="371">
        <v>0</v>
      </c>
      <c r="W248" s="372">
        <v>0</v>
      </c>
      <c r="X248" s="41"/>
      <c r="Y248" s="365">
        <v>0</v>
      </c>
      <c r="Z248" s="370">
        <v>0</v>
      </c>
      <c r="AA248" s="370">
        <v>0</v>
      </c>
      <c r="AB248" s="375">
        <v>0</v>
      </c>
      <c r="AC248" s="41"/>
      <c r="AD248" s="449">
        <v>0</v>
      </c>
      <c r="AE248" s="365">
        <v>0</v>
      </c>
      <c r="AF248" s="375">
        <v>0</v>
      </c>
      <c r="AH248" s="365">
        <v>0</v>
      </c>
      <c r="AI248" s="370">
        <v>0</v>
      </c>
      <c r="AJ248" s="370">
        <v>0</v>
      </c>
      <c r="AK248" s="375">
        <v>0</v>
      </c>
      <c r="AM248" s="365">
        <v>0</v>
      </c>
      <c r="AN248" s="370">
        <v>0</v>
      </c>
      <c r="AO248" s="370">
        <v>0</v>
      </c>
      <c r="AP248" s="375">
        <v>0</v>
      </c>
      <c r="AR248" s="365">
        <v>0</v>
      </c>
      <c r="AS248" s="375">
        <v>0</v>
      </c>
      <c r="AU248" s="378">
        <v>0</v>
      </c>
      <c r="AV248" s="379">
        <v>0</v>
      </c>
      <c r="AW248" s="380">
        <v>0</v>
      </c>
      <c r="AX248" s="381">
        <v>0</v>
      </c>
      <c r="AZ248" s="365">
        <v>0</v>
      </c>
      <c r="BA248" s="370">
        <v>0</v>
      </c>
      <c r="BB248" s="370">
        <v>0</v>
      </c>
      <c r="BC248" s="375">
        <v>0</v>
      </c>
      <c r="BE248" s="365">
        <v>0</v>
      </c>
      <c r="BF248" s="370">
        <v>0</v>
      </c>
      <c r="BG248" s="370">
        <v>0</v>
      </c>
      <c r="BH248" s="375">
        <v>0</v>
      </c>
      <c r="BJ248" s="365">
        <v>0</v>
      </c>
      <c r="BK248" s="370">
        <v>0</v>
      </c>
      <c r="BL248" s="370">
        <v>0</v>
      </c>
      <c r="BM248" s="375">
        <v>0</v>
      </c>
      <c r="BO248" s="365">
        <v>0</v>
      </c>
      <c r="BP248" s="370">
        <v>0</v>
      </c>
      <c r="BQ248" s="370">
        <v>0</v>
      </c>
      <c r="BR248" s="375">
        <v>0</v>
      </c>
      <c r="BT248" s="365">
        <v>0</v>
      </c>
      <c r="BU248" s="370">
        <v>0</v>
      </c>
      <c r="BV248" s="370">
        <v>0</v>
      </c>
      <c r="BW248" s="375">
        <v>0</v>
      </c>
      <c r="BY248" s="365">
        <v>0</v>
      </c>
      <c r="BZ248" s="373">
        <v>300051310.19501489</v>
      </c>
      <c r="CA248" s="375">
        <v>0</v>
      </c>
      <c r="CC248" s="365">
        <v>0</v>
      </c>
      <c r="CD248" s="375">
        <v>0</v>
      </c>
      <c r="CF248" s="365">
        <v>0</v>
      </c>
      <c r="CG248" s="375">
        <v>0</v>
      </c>
      <c r="CI248" s="365">
        <v>0</v>
      </c>
      <c r="CJ248" s="375">
        <v>0</v>
      </c>
    </row>
    <row r="249" spans="5:88">
      <c r="G249" s="417">
        <v>245</v>
      </c>
      <c r="H249" s="251">
        <v>16</v>
      </c>
      <c r="I249" s="377">
        <v>0</v>
      </c>
      <c r="J249" s="368">
        <v>0</v>
      </c>
      <c r="K249" s="368">
        <v>0</v>
      </c>
      <c r="L249" s="369">
        <v>0</v>
      </c>
      <c r="N249" s="367">
        <v>0</v>
      </c>
      <c r="O249" s="370">
        <v>0</v>
      </c>
      <c r="P249" s="370">
        <v>0</v>
      </c>
      <c r="Q249" s="370">
        <v>0</v>
      </c>
      <c r="R249" s="370">
        <v>0</v>
      </c>
      <c r="S249" s="370">
        <v>0</v>
      </c>
      <c r="T249" s="379">
        <v>0</v>
      </c>
      <c r="U249" s="371">
        <v>0</v>
      </c>
      <c r="V249" s="371">
        <v>0</v>
      </c>
      <c r="W249" s="372">
        <v>0</v>
      </c>
      <c r="X249" s="41"/>
      <c r="Y249" s="365">
        <v>0</v>
      </c>
      <c r="Z249" s="370">
        <v>0</v>
      </c>
      <c r="AA249" s="370">
        <v>0</v>
      </c>
      <c r="AB249" s="375">
        <v>0</v>
      </c>
      <c r="AC249" s="41"/>
      <c r="AD249" s="449">
        <v>0</v>
      </c>
      <c r="AE249" s="365">
        <v>0</v>
      </c>
      <c r="AF249" s="375">
        <v>0</v>
      </c>
      <c r="AH249" s="365">
        <v>0</v>
      </c>
      <c r="AI249" s="370">
        <v>0</v>
      </c>
      <c r="AJ249" s="370">
        <v>0</v>
      </c>
      <c r="AK249" s="375">
        <v>0</v>
      </c>
      <c r="AM249" s="365">
        <v>0</v>
      </c>
      <c r="AN249" s="370">
        <v>0</v>
      </c>
      <c r="AO249" s="370">
        <v>0</v>
      </c>
      <c r="AP249" s="375">
        <v>0</v>
      </c>
      <c r="AR249" s="365">
        <v>0</v>
      </c>
      <c r="AS249" s="375">
        <v>0</v>
      </c>
      <c r="AU249" s="378">
        <v>0</v>
      </c>
      <c r="AV249" s="379">
        <v>0</v>
      </c>
      <c r="AW249" s="380">
        <v>0</v>
      </c>
      <c r="AX249" s="381">
        <v>0</v>
      </c>
      <c r="AZ249" s="365">
        <v>0</v>
      </c>
      <c r="BA249" s="370">
        <v>0</v>
      </c>
      <c r="BB249" s="370">
        <v>0</v>
      </c>
      <c r="BC249" s="375">
        <v>0</v>
      </c>
      <c r="BE249" s="365">
        <v>0</v>
      </c>
      <c r="BF249" s="370">
        <v>0</v>
      </c>
      <c r="BG249" s="370">
        <v>0</v>
      </c>
      <c r="BH249" s="375">
        <v>0</v>
      </c>
      <c r="BJ249" s="365">
        <v>0</v>
      </c>
      <c r="BK249" s="370">
        <v>0</v>
      </c>
      <c r="BL249" s="370">
        <v>0</v>
      </c>
      <c r="BM249" s="375">
        <v>0</v>
      </c>
      <c r="BO249" s="365">
        <v>0</v>
      </c>
      <c r="BP249" s="370">
        <v>0</v>
      </c>
      <c r="BQ249" s="370">
        <v>0</v>
      </c>
      <c r="BR249" s="375">
        <v>0</v>
      </c>
      <c r="BT249" s="365">
        <v>0</v>
      </c>
      <c r="BU249" s="370">
        <v>0</v>
      </c>
      <c r="BV249" s="370">
        <v>0</v>
      </c>
      <c r="BW249" s="375">
        <v>0</v>
      </c>
      <c r="BY249" s="365">
        <v>0</v>
      </c>
      <c r="BZ249" s="373">
        <v>300051310.19501489</v>
      </c>
      <c r="CA249" s="375">
        <v>0</v>
      </c>
      <c r="CC249" s="365">
        <v>0</v>
      </c>
      <c r="CD249" s="375">
        <v>0</v>
      </c>
      <c r="CF249" s="365">
        <v>0</v>
      </c>
      <c r="CG249" s="375">
        <v>0</v>
      </c>
      <c r="CI249" s="365">
        <v>0</v>
      </c>
      <c r="CJ249" s="375">
        <v>0</v>
      </c>
    </row>
    <row r="250" spans="5:88">
      <c r="G250" s="417">
        <v>246</v>
      </c>
      <c r="H250" s="251">
        <v>16</v>
      </c>
      <c r="I250" s="377">
        <v>0</v>
      </c>
      <c r="J250" s="368">
        <v>0</v>
      </c>
      <c r="K250" s="368">
        <v>0</v>
      </c>
      <c r="L250" s="369">
        <v>0</v>
      </c>
      <c r="N250" s="367">
        <v>0</v>
      </c>
      <c r="O250" s="370">
        <v>0</v>
      </c>
      <c r="P250" s="370">
        <v>0</v>
      </c>
      <c r="Q250" s="370">
        <v>0</v>
      </c>
      <c r="R250" s="370">
        <v>0</v>
      </c>
      <c r="S250" s="370">
        <v>0</v>
      </c>
      <c r="T250" s="379">
        <v>0</v>
      </c>
      <c r="U250" s="371">
        <v>0</v>
      </c>
      <c r="V250" s="371">
        <v>0</v>
      </c>
      <c r="W250" s="372">
        <v>0</v>
      </c>
      <c r="X250" s="41"/>
      <c r="Y250" s="365">
        <v>0</v>
      </c>
      <c r="Z250" s="370">
        <v>0</v>
      </c>
      <c r="AA250" s="370">
        <v>0</v>
      </c>
      <c r="AB250" s="375">
        <v>0</v>
      </c>
      <c r="AC250" s="41"/>
      <c r="AD250" s="449">
        <v>0</v>
      </c>
      <c r="AE250" s="365">
        <v>0</v>
      </c>
      <c r="AF250" s="375">
        <v>0</v>
      </c>
      <c r="AH250" s="365">
        <v>0</v>
      </c>
      <c r="AI250" s="370">
        <v>0</v>
      </c>
      <c r="AJ250" s="370">
        <v>0</v>
      </c>
      <c r="AK250" s="375">
        <v>0</v>
      </c>
      <c r="AM250" s="365">
        <v>0</v>
      </c>
      <c r="AN250" s="370">
        <v>0</v>
      </c>
      <c r="AO250" s="370">
        <v>0</v>
      </c>
      <c r="AP250" s="375">
        <v>0</v>
      </c>
      <c r="AR250" s="365">
        <v>0</v>
      </c>
      <c r="AS250" s="375">
        <v>0</v>
      </c>
      <c r="AU250" s="378">
        <v>0</v>
      </c>
      <c r="AV250" s="379">
        <v>0</v>
      </c>
      <c r="AW250" s="380">
        <v>0</v>
      </c>
      <c r="AX250" s="381">
        <v>0</v>
      </c>
      <c r="AZ250" s="365">
        <v>0</v>
      </c>
      <c r="BA250" s="370">
        <v>0</v>
      </c>
      <c r="BB250" s="370">
        <v>0</v>
      </c>
      <c r="BC250" s="375">
        <v>0</v>
      </c>
      <c r="BE250" s="365">
        <v>0</v>
      </c>
      <c r="BF250" s="370">
        <v>0</v>
      </c>
      <c r="BG250" s="370">
        <v>0</v>
      </c>
      <c r="BH250" s="375">
        <v>0</v>
      </c>
      <c r="BJ250" s="365">
        <v>0</v>
      </c>
      <c r="BK250" s="370">
        <v>0</v>
      </c>
      <c r="BL250" s="370">
        <v>0</v>
      </c>
      <c r="BM250" s="375">
        <v>0</v>
      </c>
      <c r="BO250" s="365">
        <v>0</v>
      </c>
      <c r="BP250" s="370">
        <v>0</v>
      </c>
      <c r="BQ250" s="370">
        <v>0</v>
      </c>
      <c r="BR250" s="375">
        <v>0</v>
      </c>
      <c r="BT250" s="365">
        <v>0</v>
      </c>
      <c r="BU250" s="370">
        <v>0</v>
      </c>
      <c r="BV250" s="370">
        <v>0</v>
      </c>
      <c r="BW250" s="375">
        <v>0</v>
      </c>
      <c r="BY250" s="365">
        <v>0</v>
      </c>
      <c r="BZ250" s="373">
        <v>300051310.19501489</v>
      </c>
      <c r="CA250" s="375">
        <v>0</v>
      </c>
      <c r="CC250" s="365">
        <v>0</v>
      </c>
      <c r="CD250" s="375">
        <v>0</v>
      </c>
      <c r="CF250" s="365">
        <v>0</v>
      </c>
      <c r="CG250" s="375">
        <v>0</v>
      </c>
      <c r="CI250" s="365">
        <v>0</v>
      </c>
      <c r="CJ250" s="375">
        <v>0</v>
      </c>
    </row>
    <row r="251" spans="5:88">
      <c r="G251" s="417">
        <v>247</v>
      </c>
      <c r="H251" s="251">
        <v>16</v>
      </c>
      <c r="I251" s="377">
        <v>0</v>
      </c>
      <c r="J251" s="368">
        <v>0</v>
      </c>
      <c r="K251" s="368">
        <v>0</v>
      </c>
      <c r="L251" s="369">
        <v>0</v>
      </c>
      <c r="N251" s="367">
        <v>0</v>
      </c>
      <c r="O251" s="370">
        <v>0</v>
      </c>
      <c r="P251" s="370">
        <v>0</v>
      </c>
      <c r="Q251" s="370">
        <v>0</v>
      </c>
      <c r="R251" s="370">
        <v>0</v>
      </c>
      <c r="S251" s="370">
        <v>0</v>
      </c>
      <c r="T251" s="379">
        <v>0</v>
      </c>
      <c r="U251" s="371">
        <v>0</v>
      </c>
      <c r="V251" s="371">
        <v>0</v>
      </c>
      <c r="W251" s="372">
        <v>0</v>
      </c>
      <c r="X251" s="41"/>
      <c r="Y251" s="365">
        <v>0</v>
      </c>
      <c r="Z251" s="370">
        <v>0</v>
      </c>
      <c r="AA251" s="370">
        <v>0</v>
      </c>
      <c r="AB251" s="375">
        <v>0</v>
      </c>
      <c r="AC251" s="41"/>
      <c r="AD251" s="449">
        <v>0</v>
      </c>
      <c r="AE251" s="365">
        <v>0</v>
      </c>
      <c r="AF251" s="375">
        <v>0</v>
      </c>
      <c r="AH251" s="365">
        <v>0</v>
      </c>
      <c r="AI251" s="370">
        <v>0</v>
      </c>
      <c r="AJ251" s="370">
        <v>0</v>
      </c>
      <c r="AK251" s="375">
        <v>0</v>
      </c>
      <c r="AM251" s="365">
        <v>0</v>
      </c>
      <c r="AN251" s="370">
        <v>0</v>
      </c>
      <c r="AO251" s="370">
        <v>0</v>
      </c>
      <c r="AP251" s="375">
        <v>0</v>
      </c>
      <c r="AR251" s="365">
        <v>0</v>
      </c>
      <c r="AS251" s="375">
        <v>0</v>
      </c>
      <c r="AU251" s="378">
        <v>0</v>
      </c>
      <c r="AV251" s="379">
        <v>0</v>
      </c>
      <c r="AW251" s="380">
        <v>0</v>
      </c>
      <c r="AX251" s="381">
        <v>0</v>
      </c>
      <c r="AZ251" s="365">
        <v>0</v>
      </c>
      <c r="BA251" s="370">
        <v>0</v>
      </c>
      <c r="BB251" s="370">
        <v>0</v>
      </c>
      <c r="BC251" s="375">
        <v>0</v>
      </c>
      <c r="BE251" s="365">
        <v>0</v>
      </c>
      <c r="BF251" s="370">
        <v>0</v>
      </c>
      <c r="BG251" s="370">
        <v>0</v>
      </c>
      <c r="BH251" s="375">
        <v>0</v>
      </c>
      <c r="BJ251" s="365">
        <v>0</v>
      </c>
      <c r="BK251" s="370">
        <v>0</v>
      </c>
      <c r="BL251" s="370">
        <v>0</v>
      </c>
      <c r="BM251" s="375">
        <v>0</v>
      </c>
      <c r="BO251" s="365">
        <v>0</v>
      </c>
      <c r="BP251" s="370">
        <v>0</v>
      </c>
      <c r="BQ251" s="370">
        <v>0</v>
      </c>
      <c r="BR251" s="375">
        <v>0</v>
      </c>
      <c r="BT251" s="365">
        <v>0</v>
      </c>
      <c r="BU251" s="370">
        <v>0</v>
      </c>
      <c r="BV251" s="370">
        <v>0</v>
      </c>
      <c r="BW251" s="375">
        <v>0</v>
      </c>
      <c r="BY251" s="365">
        <v>0</v>
      </c>
      <c r="BZ251" s="373">
        <v>300051310.19501489</v>
      </c>
      <c r="CA251" s="375">
        <v>0</v>
      </c>
      <c r="CC251" s="365">
        <v>0</v>
      </c>
      <c r="CD251" s="375">
        <v>0</v>
      </c>
      <c r="CF251" s="365">
        <v>0</v>
      </c>
      <c r="CG251" s="375">
        <v>0</v>
      </c>
      <c r="CI251" s="365">
        <v>0</v>
      </c>
      <c r="CJ251" s="375">
        <v>0</v>
      </c>
    </row>
    <row r="252" spans="5:88">
      <c r="G252" s="417">
        <v>248</v>
      </c>
      <c r="H252" s="251">
        <v>16</v>
      </c>
      <c r="I252" s="377">
        <v>0</v>
      </c>
      <c r="J252" s="368">
        <v>0</v>
      </c>
      <c r="K252" s="368">
        <v>0</v>
      </c>
      <c r="L252" s="369">
        <v>0</v>
      </c>
      <c r="N252" s="367">
        <v>0</v>
      </c>
      <c r="O252" s="370">
        <v>0</v>
      </c>
      <c r="P252" s="370">
        <v>0</v>
      </c>
      <c r="Q252" s="370">
        <v>0</v>
      </c>
      <c r="R252" s="370">
        <v>0</v>
      </c>
      <c r="S252" s="370">
        <v>0</v>
      </c>
      <c r="T252" s="379">
        <v>0</v>
      </c>
      <c r="U252" s="371">
        <v>0</v>
      </c>
      <c r="V252" s="371">
        <v>0</v>
      </c>
      <c r="W252" s="372">
        <v>0</v>
      </c>
      <c r="X252" s="41"/>
      <c r="Y252" s="365">
        <v>0</v>
      </c>
      <c r="Z252" s="370">
        <v>0</v>
      </c>
      <c r="AA252" s="370">
        <v>0</v>
      </c>
      <c r="AB252" s="375">
        <v>0</v>
      </c>
      <c r="AC252" s="41"/>
      <c r="AD252" s="449">
        <v>0</v>
      </c>
      <c r="AE252" s="365">
        <v>0</v>
      </c>
      <c r="AF252" s="375">
        <v>0</v>
      </c>
      <c r="AH252" s="365">
        <v>0</v>
      </c>
      <c r="AI252" s="370">
        <v>0</v>
      </c>
      <c r="AJ252" s="370">
        <v>0</v>
      </c>
      <c r="AK252" s="375">
        <v>0</v>
      </c>
      <c r="AM252" s="365">
        <v>0</v>
      </c>
      <c r="AN252" s="370">
        <v>0</v>
      </c>
      <c r="AO252" s="370">
        <v>0</v>
      </c>
      <c r="AP252" s="375">
        <v>0</v>
      </c>
      <c r="AR252" s="365">
        <v>0</v>
      </c>
      <c r="AS252" s="375">
        <v>0</v>
      </c>
      <c r="AU252" s="378">
        <v>0</v>
      </c>
      <c r="AV252" s="379">
        <v>0</v>
      </c>
      <c r="AW252" s="380">
        <v>0</v>
      </c>
      <c r="AX252" s="381">
        <v>0</v>
      </c>
      <c r="AZ252" s="365">
        <v>0</v>
      </c>
      <c r="BA252" s="370">
        <v>0</v>
      </c>
      <c r="BB252" s="370">
        <v>0</v>
      </c>
      <c r="BC252" s="375">
        <v>0</v>
      </c>
      <c r="BE252" s="365">
        <v>0</v>
      </c>
      <c r="BF252" s="370">
        <v>0</v>
      </c>
      <c r="BG252" s="370">
        <v>0</v>
      </c>
      <c r="BH252" s="375">
        <v>0</v>
      </c>
      <c r="BJ252" s="365">
        <v>0</v>
      </c>
      <c r="BK252" s="370">
        <v>0</v>
      </c>
      <c r="BL252" s="370">
        <v>0</v>
      </c>
      <c r="BM252" s="375">
        <v>0</v>
      </c>
      <c r="BO252" s="365">
        <v>0</v>
      </c>
      <c r="BP252" s="370">
        <v>0</v>
      </c>
      <c r="BQ252" s="370">
        <v>0</v>
      </c>
      <c r="BR252" s="375">
        <v>0</v>
      </c>
      <c r="BT252" s="365">
        <v>0</v>
      </c>
      <c r="BU252" s="370">
        <v>0</v>
      </c>
      <c r="BV252" s="370">
        <v>0</v>
      </c>
      <c r="BW252" s="375">
        <v>0</v>
      </c>
      <c r="BY252" s="365">
        <v>0</v>
      </c>
      <c r="BZ252" s="373">
        <v>300051310.19501489</v>
      </c>
      <c r="CA252" s="375">
        <v>0</v>
      </c>
      <c r="CC252" s="365">
        <v>0</v>
      </c>
      <c r="CD252" s="375">
        <v>0</v>
      </c>
      <c r="CF252" s="365">
        <v>0</v>
      </c>
      <c r="CG252" s="375">
        <v>0</v>
      </c>
      <c r="CI252" s="365">
        <v>0</v>
      </c>
      <c r="CJ252" s="375">
        <v>0</v>
      </c>
    </row>
    <row r="253" spans="5:88">
      <c r="G253" s="417">
        <v>249</v>
      </c>
      <c r="H253" s="251">
        <v>16</v>
      </c>
      <c r="I253" s="377">
        <v>0</v>
      </c>
      <c r="J253" s="368">
        <v>0</v>
      </c>
      <c r="K253" s="368">
        <v>0</v>
      </c>
      <c r="L253" s="369">
        <v>0</v>
      </c>
      <c r="N253" s="367">
        <v>0</v>
      </c>
      <c r="O253" s="370">
        <v>0</v>
      </c>
      <c r="P253" s="370">
        <v>0</v>
      </c>
      <c r="Q253" s="370">
        <v>0</v>
      </c>
      <c r="R253" s="370">
        <v>0</v>
      </c>
      <c r="S253" s="370">
        <v>0</v>
      </c>
      <c r="T253" s="379">
        <v>0</v>
      </c>
      <c r="U253" s="371">
        <v>0</v>
      </c>
      <c r="V253" s="371">
        <v>0</v>
      </c>
      <c r="W253" s="372">
        <v>0</v>
      </c>
      <c r="X253" s="41"/>
      <c r="Y253" s="365">
        <v>0</v>
      </c>
      <c r="Z253" s="370">
        <v>0</v>
      </c>
      <c r="AA253" s="370">
        <v>0</v>
      </c>
      <c r="AB253" s="375">
        <v>0</v>
      </c>
      <c r="AC253" s="41"/>
      <c r="AD253" s="449">
        <v>0</v>
      </c>
      <c r="AE253" s="365">
        <v>0</v>
      </c>
      <c r="AF253" s="375">
        <v>0</v>
      </c>
      <c r="AH253" s="365">
        <v>0</v>
      </c>
      <c r="AI253" s="370">
        <v>0</v>
      </c>
      <c r="AJ253" s="370">
        <v>0</v>
      </c>
      <c r="AK253" s="375">
        <v>0</v>
      </c>
      <c r="AM253" s="365">
        <v>0</v>
      </c>
      <c r="AN253" s="370">
        <v>0</v>
      </c>
      <c r="AO253" s="370">
        <v>0</v>
      </c>
      <c r="AP253" s="375">
        <v>0</v>
      </c>
      <c r="AR253" s="365">
        <v>0</v>
      </c>
      <c r="AS253" s="375">
        <v>0</v>
      </c>
      <c r="AU253" s="378">
        <v>0</v>
      </c>
      <c r="AV253" s="379">
        <v>0</v>
      </c>
      <c r="AW253" s="380">
        <v>0</v>
      </c>
      <c r="AX253" s="381">
        <v>0</v>
      </c>
      <c r="AZ253" s="365">
        <v>0</v>
      </c>
      <c r="BA253" s="370">
        <v>0</v>
      </c>
      <c r="BB253" s="370">
        <v>0</v>
      </c>
      <c r="BC253" s="375">
        <v>0</v>
      </c>
      <c r="BE253" s="365">
        <v>0</v>
      </c>
      <c r="BF253" s="370">
        <v>0</v>
      </c>
      <c r="BG253" s="370">
        <v>0</v>
      </c>
      <c r="BH253" s="375">
        <v>0</v>
      </c>
      <c r="BJ253" s="365">
        <v>0</v>
      </c>
      <c r="BK253" s="370">
        <v>0</v>
      </c>
      <c r="BL253" s="370">
        <v>0</v>
      </c>
      <c r="BM253" s="375">
        <v>0</v>
      </c>
      <c r="BO253" s="365">
        <v>0</v>
      </c>
      <c r="BP253" s="370">
        <v>0</v>
      </c>
      <c r="BQ253" s="370">
        <v>0</v>
      </c>
      <c r="BR253" s="375">
        <v>0</v>
      </c>
      <c r="BT253" s="365">
        <v>0</v>
      </c>
      <c r="BU253" s="370">
        <v>0</v>
      </c>
      <c r="BV253" s="370">
        <v>0</v>
      </c>
      <c r="BW253" s="375">
        <v>0</v>
      </c>
      <c r="BY253" s="365">
        <v>0</v>
      </c>
      <c r="BZ253" s="373">
        <v>300051310.19501489</v>
      </c>
      <c r="CA253" s="375">
        <v>0</v>
      </c>
      <c r="CC253" s="365">
        <v>0</v>
      </c>
      <c r="CD253" s="375">
        <v>0</v>
      </c>
      <c r="CF253" s="365">
        <v>0</v>
      </c>
      <c r="CG253" s="375">
        <v>0</v>
      </c>
      <c r="CI253" s="365">
        <v>0</v>
      </c>
      <c r="CJ253" s="375">
        <v>0</v>
      </c>
    </row>
    <row r="254" spans="5:88">
      <c r="G254" s="417">
        <v>250</v>
      </c>
      <c r="H254" s="251">
        <v>16</v>
      </c>
      <c r="I254" s="377">
        <v>0</v>
      </c>
      <c r="J254" s="368">
        <v>0</v>
      </c>
      <c r="K254" s="368">
        <v>0</v>
      </c>
      <c r="L254" s="369">
        <v>0</v>
      </c>
      <c r="N254" s="367">
        <v>0</v>
      </c>
      <c r="O254" s="370">
        <v>0</v>
      </c>
      <c r="P254" s="370">
        <v>0</v>
      </c>
      <c r="Q254" s="370">
        <v>0</v>
      </c>
      <c r="R254" s="370">
        <v>0</v>
      </c>
      <c r="S254" s="370">
        <v>0</v>
      </c>
      <c r="T254" s="379">
        <v>0</v>
      </c>
      <c r="U254" s="371">
        <v>0</v>
      </c>
      <c r="V254" s="371">
        <v>0</v>
      </c>
      <c r="W254" s="372">
        <v>0</v>
      </c>
      <c r="X254" s="41"/>
      <c r="Y254" s="365">
        <v>0</v>
      </c>
      <c r="Z254" s="370">
        <v>0</v>
      </c>
      <c r="AA254" s="370">
        <v>0</v>
      </c>
      <c r="AB254" s="375">
        <v>0</v>
      </c>
      <c r="AC254" s="41"/>
      <c r="AD254" s="449">
        <v>0</v>
      </c>
      <c r="AE254" s="365">
        <v>0</v>
      </c>
      <c r="AF254" s="375">
        <v>0</v>
      </c>
      <c r="AH254" s="365">
        <v>0</v>
      </c>
      <c r="AI254" s="370">
        <v>0</v>
      </c>
      <c r="AJ254" s="370">
        <v>0</v>
      </c>
      <c r="AK254" s="375">
        <v>0</v>
      </c>
      <c r="AM254" s="365">
        <v>0</v>
      </c>
      <c r="AN254" s="370">
        <v>0</v>
      </c>
      <c r="AO254" s="370">
        <v>0</v>
      </c>
      <c r="AP254" s="375">
        <v>0</v>
      </c>
      <c r="AR254" s="365">
        <v>0</v>
      </c>
      <c r="AS254" s="375">
        <v>0</v>
      </c>
      <c r="AU254" s="378">
        <v>0</v>
      </c>
      <c r="AV254" s="379">
        <v>0</v>
      </c>
      <c r="AW254" s="380">
        <v>0</v>
      </c>
      <c r="AX254" s="381">
        <v>0</v>
      </c>
      <c r="AZ254" s="365">
        <v>0</v>
      </c>
      <c r="BA254" s="370">
        <v>0</v>
      </c>
      <c r="BB254" s="370">
        <v>0</v>
      </c>
      <c r="BC254" s="375">
        <v>0</v>
      </c>
      <c r="BE254" s="365">
        <v>0</v>
      </c>
      <c r="BF254" s="370">
        <v>0</v>
      </c>
      <c r="BG254" s="370">
        <v>0</v>
      </c>
      <c r="BH254" s="375">
        <v>0</v>
      </c>
      <c r="BJ254" s="365">
        <v>0</v>
      </c>
      <c r="BK254" s="370">
        <v>0</v>
      </c>
      <c r="BL254" s="370">
        <v>0</v>
      </c>
      <c r="BM254" s="375">
        <v>0</v>
      </c>
      <c r="BO254" s="365">
        <v>0</v>
      </c>
      <c r="BP254" s="370">
        <v>0</v>
      </c>
      <c r="BQ254" s="370">
        <v>0</v>
      </c>
      <c r="BR254" s="375">
        <v>0</v>
      </c>
      <c r="BT254" s="365">
        <v>0</v>
      </c>
      <c r="BU254" s="370">
        <v>0</v>
      </c>
      <c r="BV254" s="370">
        <v>0</v>
      </c>
      <c r="BW254" s="375">
        <v>0</v>
      </c>
      <c r="BY254" s="365">
        <v>0</v>
      </c>
      <c r="BZ254" s="373">
        <v>300051310.19501489</v>
      </c>
      <c r="CA254" s="375">
        <v>0</v>
      </c>
      <c r="CC254" s="365">
        <v>0</v>
      </c>
      <c r="CD254" s="375">
        <v>0</v>
      </c>
      <c r="CF254" s="365">
        <v>0</v>
      </c>
      <c r="CG254" s="375">
        <v>0</v>
      </c>
      <c r="CI254" s="365">
        <v>0</v>
      </c>
      <c r="CJ254" s="375">
        <v>0</v>
      </c>
    </row>
    <row r="255" spans="5:88">
      <c r="G255" s="417">
        <v>251</v>
      </c>
      <c r="H255" s="251">
        <v>16</v>
      </c>
      <c r="I255" s="377">
        <v>0</v>
      </c>
      <c r="J255" s="368">
        <v>0</v>
      </c>
      <c r="K255" s="368">
        <v>0</v>
      </c>
      <c r="L255" s="369">
        <v>0</v>
      </c>
      <c r="N255" s="367">
        <v>0</v>
      </c>
      <c r="O255" s="370">
        <v>0</v>
      </c>
      <c r="P255" s="370">
        <v>0</v>
      </c>
      <c r="Q255" s="370">
        <v>0</v>
      </c>
      <c r="R255" s="370">
        <v>0</v>
      </c>
      <c r="S255" s="370">
        <v>0</v>
      </c>
      <c r="T255" s="379">
        <v>0</v>
      </c>
      <c r="U255" s="371">
        <v>0</v>
      </c>
      <c r="V255" s="371">
        <v>0</v>
      </c>
      <c r="W255" s="372">
        <v>0</v>
      </c>
      <c r="X255" s="41"/>
      <c r="Y255" s="365">
        <v>0</v>
      </c>
      <c r="Z255" s="370">
        <v>0</v>
      </c>
      <c r="AA255" s="370">
        <v>0</v>
      </c>
      <c r="AB255" s="375">
        <v>0</v>
      </c>
      <c r="AC255" s="41"/>
      <c r="AD255" s="449">
        <v>0</v>
      </c>
      <c r="AE255" s="365">
        <v>0</v>
      </c>
      <c r="AF255" s="375">
        <v>0</v>
      </c>
      <c r="AH255" s="365">
        <v>0</v>
      </c>
      <c r="AI255" s="370">
        <v>0</v>
      </c>
      <c r="AJ255" s="370">
        <v>0</v>
      </c>
      <c r="AK255" s="375">
        <v>0</v>
      </c>
      <c r="AM255" s="365">
        <v>0</v>
      </c>
      <c r="AN255" s="370">
        <v>0</v>
      </c>
      <c r="AO255" s="370">
        <v>0</v>
      </c>
      <c r="AP255" s="375">
        <v>0</v>
      </c>
      <c r="AR255" s="365">
        <v>0</v>
      </c>
      <c r="AS255" s="375">
        <v>0</v>
      </c>
      <c r="AU255" s="378">
        <v>0</v>
      </c>
      <c r="AV255" s="379">
        <v>0</v>
      </c>
      <c r="AW255" s="380">
        <v>0</v>
      </c>
      <c r="AX255" s="381">
        <v>0</v>
      </c>
      <c r="AZ255" s="365">
        <v>0</v>
      </c>
      <c r="BA255" s="370">
        <v>0</v>
      </c>
      <c r="BB255" s="370">
        <v>0</v>
      </c>
      <c r="BC255" s="375">
        <v>0</v>
      </c>
      <c r="BE255" s="365">
        <v>0</v>
      </c>
      <c r="BF255" s="370">
        <v>0</v>
      </c>
      <c r="BG255" s="370">
        <v>0</v>
      </c>
      <c r="BH255" s="375">
        <v>0</v>
      </c>
      <c r="BJ255" s="365">
        <v>0</v>
      </c>
      <c r="BK255" s="370">
        <v>0</v>
      </c>
      <c r="BL255" s="370">
        <v>0</v>
      </c>
      <c r="BM255" s="375">
        <v>0</v>
      </c>
      <c r="BO255" s="365">
        <v>0</v>
      </c>
      <c r="BP255" s="370">
        <v>0</v>
      </c>
      <c r="BQ255" s="370">
        <v>0</v>
      </c>
      <c r="BR255" s="375">
        <v>0</v>
      </c>
      <c r="BT255" s="365">
        <v>0</v>
      </c>
      <c r="BU255" s="370">
        <v>0</v>
      </c>
      <c r="BV255" s="370">
        <v>0</v>
      </c>
      <c r="BW255" s="375">
        <v>0</v>
      </c>
      <c r="BY255" s="365">
        <v>0</v>
      </c>
      <c r="BZ255" s="373">
        <v>300051310.19501489</v>
      </c>
      <c r="CA255" s="375">
        <v>0</v>
      </c>
      <c r="CC255" s="365">
        <v>0</v>
      </c>
      <c r="CD255" s="375">
        <v>0</v>
      </c>
      <c r="CF255" s="365">
        <v>0</v>
      </c>
      <c r="CG255" s="375">
        <v>0</v>
      </c>
      <c r="CI255" s="365">
        <v>0</v>
      </c>
      <c r="CJ255" s="375">
        <v>0</v>
      </c>
    </row>
    <row r="256" spans="5:88">
      <c r="G256" s="417">
        <v>252</v>
      </c>
      <c r="H256" s="251">
        <v>16</v>
      </c>
      <c r="I256" s="377">
        <v>0</v>
      </c>
      <c r="J256" s="368">
        <v>0</v>
      </c>
      <c r="K256" s="368">
        <v>0</v>
      </c>
      <c r="L256" s="369">
        <v>0</v>
      </c>
      <c r="N256" s="367">
        <v>0</v>
      </c>
      <c r="O256" s="370">
        <v>0</v>
      </c>
      <c r="P256" s="370">
        <v>0</v>
      </c>
      <c r="Q256" s="370">
        <v>0</v>
      </c>
      <c r="R256" s="370">
        <v>0</v>
      </c>
      <c r="S256" s="370">
        <v>0</v>
      </c>
      <c r="T256" s="379">
        <v>0</v>
      </c>
      <c r="U256" s="371">
        <v>0</v>
      </c>
      <c r="V256" s="371">
        <v>0</v>
      </c>
      <c r="W256" s="372">
        <v>0</v>
      </c>
      <c r="X256" s="41"/>
      <c r="Y256" s="365">
        <v>0</v>
      </c>
      <c r="Z256" s="370">
        <v>0</v>
      </c>
      <c r="AA256" s="370">
        <v>0</v>
      </c>
      <c r="AB256" s="375">
        <v>0</v>
      </c>
      <c r="AC256" s="41"/>
      <c r="AD256" s="449">
        <v>0</v>
      </c>
      <c r="AE256" s="365">
        <v>0</v>
      </c>
      <c r="AF256" s="375">
        <v>0</v>
      </c>
      <c r="AH256" s="365">
        <v>0</v>
      </c>
      <c r="AI256" s="370">
        <v>0</v>
      </c>
      <c r="AJ256" s="370">
        <v>0</v>
      </c>
      <c r="AK256" s="375">
        <v>0</v>
      </c>
      <c r="AM256" s="365">
        <v>0</v>
      </c>
      <c r="AN256" s="370">
        <v>0</v>
      </c>
      <c r="AO256" s="370">
        <v>0</v>
      </c>
      <c r="AP256" s="375">
        <v>0</v>
      </c>
      <c r="AR256" s="365">
        <v>0</v>
      </c>
      <c r="AS256" s="375">
        <v>0</v>
      </c>
      <c r="AU256" s="378">
        <v>0</v>
      </c>
      <c r="AV256" s="379">
        <v>0</v>
      </c>
      <c r="AW256" s="380">
        <v>0</v>
      </c>
      <c r="AX256" s="381">
        <v>0</v>
      </c>
      <c r="AZ256" s="365">
        <v>0</v>
      </c>
      <c r="BA256" s="370">
        <v>0</v>
      </c>
      <c r="BB256" s="370">
        <v>0</v>
      </c>
      <c r="BC256" s="375">
        <v>0</v>
      </c>
      <c r="BE256" s="365">
        <v>0</v>
      </c>
      <c r="BF256" s="370">
        <v>0</v>
      </c>
      <c r="BG256" s="370">
        <v>0</v>
      </c>
      <c r="BH256" s="375">
        <v>0</v>
      </c>
      <c r="BJ256" s="365">
        <v>0</v>
      </c>
      <c r="BK256" s="370">
        <v>0</v>
      </c>
      <c r="BL256" s="370">
        <v>0</v>
      </c>
      <c r="BM256" s="375">
        <v>0</v>
      </c>
      <c r="BO256" s="365">
        <v>0</v>
      </c>
      <c r="BP256" s="370">
        <v>0</v>
      </c>
      <c r="BQ256" s="370">
        <v>0</v>
      </c>
      <c r="BR256" s="375">
        <v>0</v>
      </c>
      <c r="BT256" s="365">
        <v>0</v>
      </c>
      <c r="BU256" s="370">
        <v>0</v>
      </c>
      <c r="BV256" s="370">
        <v>0</v>
      </c>
      <c r="BW256" s="375">
        <v>0</v>
      </c>
      <c r="BY256" s="365">
        <v>0</v>
      </c>
      <c r="BZ256" s="373">
        <v>300051310.19501489</v>
      </c>
      <c r="CA256" s="375">
        <v>0</v>
      </c>
      <c r="CC256" s="365">
        <v>0</v>
      </c>
      <c r="CD256" s="375">
        <v>0</v>
      </c>
      <c r="CF256" s="365">
        <v>0</v>
      </c>
      <c r="CG256" s="375">
        <v>0</v>
      </c>
      <c r="CI256" s="365">
        <v>0</v>
      </c>
      <c r="CJ256" s="375">
        <v>0</v>
      </c>
    </row>
    <row r="257" spans="7:88">
      <c r="G257" s="417">
        <v>253</v>
      </c>
      <c r="H257" s="251">
        <v>16</v>
      </c>
      <c r="I257" s="377">
        <v>0</v>
      </c>
      <c r="J257" s="368">
        <v>0</v>
      </c>
      <c r="K257" s="368">
        <v>0</v>
      </c>
      <c r="L257" s="369">
        <v>0</v>
      </c>
      <c r="N257" s="367">
        <v>0</v>
      </c>
      <c r="O257" s="370">
        <v>0</v>
      </c>
      <c r="P257" s="370">
        <v>0</v>
      </c>
      <c r="Q257" s="370">
        <v>0</v>
      </c>
      <c r="R257" s="370">
        <v>0</v>
      </c>
      <c r="S257" s="370">
        <v>0</v>
      </c>
      <c r="T257" s="379">
        <v>0</v>
      </c>
      <c r="U257" s="371">
        <v>0</v>
      </c>
      <c r="V257" s="371">
        <v>0</v>
      </c>
      <c r="W257" s="372">
        <v>0</v>
      </c>
      <c r="X257" s="41"/>
      <c r="Y257" s="365">
        <v>0</v>
      </c>
      <c r="Z257" s="370">
        <v>0</v>
      </c>
      <c r="AA257" s="370">
        <v>0</v>
      </c>
      <c r="AB257" s="375">
        <v>0</v>
      </c>
      <c r="AC257" s="41"/>
      <c r="AD257" s="449">
        <v>0</v>
      </c>
      <c r="AE257" s="365">
        <v>0</v>
      </c>
      <c r="AF257" s="375">
        <v>0</v>
      </c>
      <c r="AH257" s="365">
        <v>0</v>
      </c>
      <c r="AI257" s="370">
        <v>0</v>
      </c>
      <c r="AJ257" s="370">
        <v>0</v>
      </c>
      <c r="AK257" s="375">
        <v>0</v>
      </c>
      <c r="AM257" s="365">
        <v>0</v>
      </c>
      <c r="AN257" s="370">
        <v>0</v>
      </c>
      <c r="AO257" s="370">
        <v>0</v>
      </c>
      <c r="AP257" s="375">
        <v>0</v>
      </c>
      <c r="AR257" s="365">
        <v>0</v>
      </c>
      <c r="AS257" s="375">
        <v>0</v>
      </c>
      <c r="AU257" s="378">
        <v>0</v>
      </c>
      <c r="AV257" s="379">
        <v>0</v>
      </c>
      <c r="AW257" s="380">
        <v>0</v>
      </c>
      <c r="AX257" s="381">
        <v>0</v>
      </c>
      <c r="AZ257" s="365">
        <v>0</v>
      </c>
      <c r="BA257" s="370">
        <v>0</v>
      </c>
      <c r="BB257" s="370">
        <v>0</v>
      </c>
      <c r="BC257" s="375">
        <v>0</v>
      </c>
      <c r="BE257" s="365">
        <v>0</v>
      </c>
      <c r="BF257" s="370">
        <v>0</v>
      </c>
      <c r="BG257" s="370">
        <v>0</v>
      </c>
      <c r="BH257" s="375">
        <v>0</v>
      </c>
      <c r="BJ257" s="365">
        <v>0</v>
      </c>
      <c r="BK257" s="370">
        <v>0</v>
      </c>
      <c r="BL257" s="370">
        <v>0</v>
      </c>
      <c r="BM257" s="375">
        <v>0</v>
      </c>
      <c r="BO257" s="365">
        <v>0</v>
      </c>
      <c r="BP257" s="370">
        <v>0</v>
      </c>
      <c r="BQ257" s="370">
        <v>0</v>
      </c>
      <c r="BR257" s="375">
        <v>0</v>
      </c>
      <c r="BT257" s="365">
        <v>0</v>
      </c>
      <c r="BU257" s="370">
        <v>0</v>
      </c>
      <c r="BV257" s="370">
        <v>0</v>
      </c>
      <c r="BW257" s="375">
        <v>0</v>
      </c>
      <c r="BY257" s="365">
        <v>0</v>
      </c>
      <c r="BZ257" s="373">
        <v>300051310.19501489</v>
      </c>
      <c r="CA257" s="375">
        <v>0</v>
      </c>
      <c r="CC257" s="365">
        <v>0</v>
      </c>
      <c r="CD257" s="375">
        <v>0</v>
      </c>
      <c r="CF257" s="365">
        <v>0</v>
      </c>
      <c r="CG257" s="375">
        <v>0</v>
      </c>
      <c r="CI257" s="365">
        <v>0</v>
      </c>
      <c r="CJ257" s="375">
        <v>0</v>
      </c>
    </row>
    <row r="258" spans="7:88">
      <c r="G258" s="417">
        <v>254</v>
      </c>
      <c r="H258" s="251">
        <v>16</v>
      </c>
      <c r="I258" s="377">
        <v>0</v>
      </c>
      <c r="J258" s="368">
        <v>0</v>
      </c>
      <c r="K258" s="368">
        <v>0</v>
      </c>
      <c r="L258" s="369">
        <v>0</v>
      </c>
      <c r="N258" s="367">
        <v>0</v>
      </c>
      <c r="O258" s="370">
        <v>0</v>
      </c>
      <c r="P258" s="370">
        <v>0</v>
      </c>
      <c r="Q258" s="370">
        <v>0</v>
      </c>
      <c r="R258" s="370">
        <v>0</v>
      </c>
      <c r="S258" s="370">
        <v>0</v>
      </c>
      <c r="T258" s="379">
        <v>0</v>
      </c>
      <c r="U258" s="371">
        <v>0</v>
      </c>
      <c r="V258" s="371">
        <v>0</v>
      </c>
      <c r="W258" s="372">
        <v>0</v>
      </c>
      <c r="X258" s="41"/>
      <c r="Y258" s="365">
        <v>0</v>
      </c>
      <c r="Z258" s="370">
        <v>0</v>
      </c>
      <c r="AA258" s="370">
        <v>0</v>
      </c>
      <c r="AB258" s="375">
        <v>0</v>
      </c>
      <c r="AC258" s="41"/>
      <c r="AD258" s="449">
        <v>0</v>
      </c>
      <c r="AE258" s="365">
        <v>0</v>
      </c>
      <c r="AF258" s="375">
        <v>0</v>
      </c>
      <c r="AH258" s="365">
        <v>0</v>
      </c>
      <c r="AI258" s="370">
        <v>0</v>
      </c>
      <c r="AJ258" s="370">
        <v>0</v>
      </c>
      <c r="AK258" s="375">
        <v>0</v>
      </c>
      <c r="AM258" s="365">
        <v>0</v>
      </c>
      <c r="AN258" s="370">
        <v>0</v>
      </c>
      <c r="AO258" s="370">
        <v>0</v>
      </c>
      <c r="AP258" s="375">
        <v>0</v>
      </c>
      <c r="AR258" s="365">
        <v>0</v>
      </c>
      <c r="AS258" s="375">
        <v>0</v>
      </c>
      <c r="AU258" s="378">
        <v>0</v>
      </c>
      <c r="AV258" s="379">
        <v>0</v>
      </c>
      <c r="AW258" s="380">
        <v>0</v>
      </c>
      <c r="AX258" s="381">
        <v>0</v>
      </c>
      <c r="AZ258" s="365">
        <v>0</v>
      </c>
      <c r="BA258" s="370">
        <v>0</v>
      </c>
      <c r="BB258" s="370">
        <v>0</v>
      </c>
      <c r="BC258" s="375">
        <v>0</v>
      </c>
      <c r="BE258" s="365">
        <v>0</v>
      </c>
      <c r="BF258" s="370">
        <v>0</v>
      </c>
      <c r="BG258" s="370">
        <v>0</v>
      </c>
      <c r="BH258" s="375">
        <v>0</v>
      </c>
      <c r="BJ258" s="365">
        <v>0</v>
      </c>
      <c r="BK258" s="370">
        <v>0</v>
      </c>
      <c r="BL258" s="370">
        <v>0</v>
      </c>
      <c r="BM258" s="375">
        <v>0</v>
      </c>
      <c r="BO258" s="365">
        <v>0</v>
      </c>
      <c r="BP258" s="370">
        <v>0</v>
      </c>
      <c r="BQ258" s="370">
        <v>0</v>
      </c>
      <c r="BR258" s="375">
        <v>0</v>
      </c>
      <c r="BT258" s="365">
        <v>0</v>
      </c>
      <c r="BU258" s="370">
        <v>0</v>
      </c>
      <c r="BV258" s="370">
        <v>0</v>
      </c>
      <c r="BW258" s="375">
        <v>0</v>
      </c>
      <c r="BY258" s="365">
        <v>0</v>
      </c>
      <c r="BZ258" s="373">
        <v>300051310.19501489</v>
      </c>
      <c r="CA258" s="375">
        <v>0</v>
      </c>
      <c r="CC258" s="365">
        <v>0</v>
      </c>
      <c r="CD258" s="375">
        <v>0</v>
      </c>
      <c r="CF258" s="365">
        <v>0</v>
      </c>
      <c r="CG258" s="375">
        <v>0</v>
      </c>
      <c r="CI258" s="365">
        <v>0</v>
      </c>
      <c r="CJ258" s="375">
        <v>0</v>
      </c>
    </row>
    <row r="259" spans="7:88">
      <c r="G259" s="417">
        <v>255</v>
      </c>
      <c r="H259" s="251">
        <v>16</v>
      </c>
      <c r="I259" s="377">
        <v>0</v>
      </c>
      <c r="J259" s="368">
        <v>0</v>
      </c>
      <c r="K259" s="368">
        <v>0</v>
      </c>
      <c r="L259" s="369">
        <v>0</v>
      </c>
      <c r="N259" s="367">
        <v>0</v>
      </c>
      <c r="O259" s="370">
        <v>0</v>
      </c>
      <c r="P259" s="370">
        <v>0</v>
      </c>
      <c r="Q259" s="370">
        <v>0</v>
      </c>
      <c r="R259" s="370">
        <v>0</v>
      </c>
      <c r="S259" s="370">
        <v>0</v>
      </c>
      <c r="T259" s="379">
        <v>0</v>
      </c>
      <c r="U259" s="371">
        <v>0</v>
      </c>
      <c r="V259" s="371">
        <v>0</v>
      </c>
      <c r="W259" s="372">
        <v>0</v>
      </c>
      <c r="X259" s="41"/>
      <c r="Y259" s="365">
        <v>0</v>
      </c>
      <c r="Z259" s="370">
        <v>0</v>
      </c>
      <c r="AA259" s="370">
        <v>0</v>
      </c>
      <c r="AB259" s="375">
        <v>0</v>
      </c>
      <c r="AC259" s="41"/>
      <c r="AD259" s="449">
        <v>0</v>
      </c>
      <c r="AE259" s="365">
        <v>0</v>
      </c>
      <c r="AF259" s="375">
        <v>0</v>
      </c>
      <c r="AH259" s="365">
        <v>0</v>
      </c>
      <c r="AI259" s="370">
        <v>0</v>
      </c>
      <c r="AJ259" s="370">
        <v>0</v>
      </c>
      <c r="AK259" s="375">
        <v>0</v>
      </c>
      <c r="AM259" s="365">
        <v>0</v>
      </c>
      <c r="AN259" s="370">
        <v>0</v>
      </c>
      <c r="AO259" s="370">
        <v>0</v>
      </c>
      <c r="AP259" s="375">
        <v>0</v>
      </c>
      <c r="AR259" s="365">
        <v>0</v>
      </c>
      <c r="AS259" s="375">
        <v>0</v>
      </c>
      <c r="AU259" s="378">
        <v>0</v>
      </c>
      <c r="AV259" s="379">
        <v>0</v>
      </c>
      <c r="AW259" s="380">
        <v>0</v>
      </c>
      <c r="AX259" s="381">
        <v>0</v>
      </c>
      <c r="AZ259" s="365">
        <v>0</v>
      </c>
      <c r="BA259" s="370">
        <v>0</v>
      </c>
      <c r="BB259" s="370">
        <v>0</v>
      </c>
      <c r="BC259" s="375">
        <v>0</v>
      </c>
      <c r="BE259" s="365">
        <v>0</v>
      </c>
      <c r="BF259" s="370">
        <v>0</v>
      </c>
      <c r="BG259" s="370">
        <v>0</v>
      </c>
      <c r="BH259" s="375">
        <v>0</v>
      </c>
      <c r="BJ259" s="365">
        <v>0</v>
      </c>
      <c r="BK259" s="370">
        <v>0</v>
      </c>
      <c r="BL259" s="370">
        <v>0</v>
      </c>
      <c r="BM259" s="375">
        <v>0</v>
      </c>
      <c r="BO259" s="365">
        <v>0</v>
      </c>
      <c r="BP259" s="370">
        <v>0</v>
      </c>
      <c r="BQ259" s="370">
        <v>0</v>
      </c>
      <c r="BR259" s="375">
        <v>0</v>
      </c>
      <c r="BT259" s="365">
        <v>0</v>
      </c>
      <c r="BU259" s="370">
        <v>0</v>
      </c>
      <c r="BV259" s="370">
        <v>0</v>
      </c>
      <c r="BW259" s="375">
        <v>0</v>
      </c>
      <c r="BY259" s="365">
        <v>0</v>
      </c>
      <c r="BZ259" s="373">
        <v>300051310.19501489</v>
      </c>
      <c r="CA259" s="375">
        <v>0</v>
      </c>
      <c r="CC259" s="365">
        <v>0</v>
      </c>
      <c r="CD259" s="375">
        <v>0</v>
      </c>
      <c r="CF259" s="365">
        <v>0</v>
      </c>
      <c r="CG259" s="375">
        <v>0</v>
      </c>
      <c r="CI259" s="365">
        <v>0</v>
      </c>
      <c r="CJ259" s="375">
        <v>0</v>
      </c>
    </row>
    <row r="260" spans="7:88">
      <c r="G260" s="417">
        <v>256</v>
      </c>
      <c r="H260" s="251">
        <v>16</v>
      </c>
      <c r="I260" s="377">
        <v>0</v>
      </c>
      <c r="J260" s="368">
        <v>0</v>
      </c>
      <c r="K260" s="368">
        <v>0</v>
      </c>
      <c r="L260" s="369">
        <v>0</v>
      </c>
      <c r="N260" s="367">
        <v>0</v>
      </c>
      <c r="O260" s="370">
        <v>0</v>
      </c>
      <c r="P260" s="370">
        <v>0</v>
      </c>
      <c r="Q260" s="370">
        <v>0</v>
      </c>
      <c r="R260" s="370">
        <v>0</v>
      </c>
      <c r="S260" s="370">
        <v>0</v>
      </c>
      <c r="T260" s="379">
        <v>0</v>
      </c>
      <c r="U260" s="371">
        <v>0</v>
      </c>
      <c r="V260" s="371">
        <v>0</v>
      </c>
      <c r="W260" s="372">
        <v>0</v>
      </c>
      <c r="X260" s="41"/>
      <c r="Y260" s="365">
        <v>0</v>
      </c>
      <c r="Z260" s="370">
        <v>0</v>
      </c>
      <c r="AA260" s="370">
        <v>0</v>
      </c>
      <c r="AB260" s="375">
        <v>0</v>
      </c>
      <c r="AC260" s="41"/>
      <c r="AD260" s="449">
        <v>0</v>
      </c>
      <c r="AE260" s="365">
        <v>0</v>
      </c>
      <c r="AF260" s="375">
        <v>0</v>
      </c>
      <c r="AH260" s="365">
        <v>0</v>
      </c>
      <c r="AI260" s="370">
        <v>0</v>
      </c>
      <c r="AJ260" s="370">
        <v>0</v>
      </c>
      <c r="AK260" s="375">
        <v>0</v>
      </c>
      <c r="AM260" s="365">
        <v>0</v>
      </c>
      <c r="AN260" s="370">
        <v>0</v>
      </c>
      <c r="AO260" s="370">
        <v>0</v>
      </c>
      <c r="AP260" s="375">
        <v>0</v>
      </c>
      <c r="AR260" s="365">
        <v>0</v>
      </c>
      <c r="AS260" s="375">
        <v>0</v>
      </c>
      <c r="AU260" s="378">
        <v>0</v>
      </c>
      <c r="AV260" s="379">
        <v>0</v>
      </c>
      <c r="AW260" s="380">
        <v>0</v>
      </c>
      <c r="AX260" s="381">
        <v>0</v>
      </c>
      <c r="AZ260" s="365">
        <v>0</v>
      </c>
      <c r="BA260" s="370">
        <v>0</v>
      </c>
      <c r="BB260" s="370">
        <v>0</v>
      </c>
      <c r="BC260" s="375">
        <v>0</v>
      </c>
      <c r="BE260" s="365">
        <v>0</v>
      </c>
      <c r="BF260" s="370">
        <v>0</v>
      </c>
      <c r="BG260" s="370">
        <v>0</v>
      </c>
      <c r="BH260" s="375">
        <v>0</v>
      </c>
      <c r="BJ260" s="365">
        <v>0</v>
      </c>
      <c r="BK260" s="370">
        <v>0</v>
      </c>
      <c r="BL260" s="370">
        <v>0</v>
      </c>
      <c r="BM260" s="375">
        <v>0</v>
      </c>
      <c r="BO260" s="365">
        <v>0</v>
      </c>
      <c r="BP260" s="370">
        <v>0</v>
      </c>
      <c r="BQ260" s="370">
        <v>0</v>
      </c>
      <c r="BR260" s="375">
        <v>0</v>
      </c>
      <c r="BT260" s="365">
        <v>0</v>
      </c>
      <c r="BU260" s="370">
        <v>0</v>
      </c>
      <c r="BV260" s="370">
        <v>0</v>
      </c>
      <c r="BW260" s="375">
        <v>0</v>
      </c>
      <c r="BY260" s="365">
        <v>0</v>
      </c>
      <c r="BZ260" s="373">
        <v>300051310.19501489</v>
      </c>
      <c r="CA260" s="375">
        <v>0</v>
      </c>
      <c r="CC260" s="365">
        <v>0</v>
      </c>
      <c r="CD260" s="375">
        <v>0</v>
      </c>
      <c r="CF260" s="365">
        <v>0</v>
      </c>
      <c r="CG260" s="375">
        <v>0</v>
      </c>
      <c r="CI260" s="365">
        <v>0</v>
      </c>
      <c r="CJ260" s="375">
        <v>0</v>
      </c>
    </row>
    <row r="261" spans="7:88">
      <c r="G261" s="417">
        <v>257</v>
      </c>
      <c r="H261" s="251">
        <v>16</v>
      </c>
      <c r="I261" s="377">
        <v>0</v>
      </c>
      <c r="J261" s="368">
        <v>0</v>
      </c>
      <c r="K261" s="368">
        <v>0</v>
      </c>
      <c r="L261" s="369">
        <v>0</v>
      </c>
      <c r="N261" s="367">
        <v>0</v>
      </c>
      <c r="O261" s="370">
        <v>0</v>
      </c>
      <c r="P261" s="370">
        <v>0</v>
      </c>
      <c r="Q261" s="370">
        <v>0</v>
      </c>
      <c r="R261" s="370">
        <v>0</v>
      </c>
      <c r="S261" s="370">
        <v>0</v>
      </c>
      <c r="T261" s="379">
        <v>0</v>
      </c>
      <c r="U261" s="371">
        <v>0</v>
      </c>
      <c r="V261" s="371">
        <v>0</v>
      </c>
      <c r="W261" s="372">
        <v>0</v>
      </c>
      <c r="X261" s="41"/>
      <c r="Y261" s="365">
        <v>0</v>
      </c>
      <c r="Z261" s="370">
        <v>0</v>
      </c>
      <c r="AA261" s="370">
        <v>0</v>
      </c>
      <c r="AB261" s="375">
        <v>0</v>
      </c>
      <c r="AC261" s="41"/>
      <c r="AD261" s="449">
        <v>0</v>
      </c>
      <c r="AE261" s="365">
        <v>0</v>
      </c>
      <c r="AF261" s="375">
        <v>0</v>
      </c>
      <c r="AH261" s="365">
        <v>0</v>
      </c>
      <c r="AI261" s="370">
        <v>0</v>
      </c>
      <c r="AJ261" s="370">
        <v>0</v>
      </c>
      <c r="AK261" s="375">
        <v>0</v>
      </c>
      <c r="AM261" s="365">
        <v>0</v>
      </c>
      <c r="AN261" s="370">
        <v>0</v>
      </c>
      <c r="AO261" s="370">
        <v>0</v>
      </c>
      <c r="AP261" s="375">
        <v>0</v>
      </c>
      <c r="AR261" s="365">
        <v>0</v>
      </c>
      <c r="AS261" s="375">
        <v>0</v>
      </c>
      <c r="AU261" s="378">
        <v>0</v>
      </c>
      <c r="AV261" s="379">
        <v>0</v>
      </c>
      <c r="AW261" s="380">
        <v>0</v>
      </c>
      <c r="AX261" s="381">
        <v>0</v>
      </c>
      <c r="AZ261" s="365">
        <v>0</v>
      </c>
      <c r="BA261" s="370">
        <v>0</v>
      </c>
      <c r="BB261" s="370">
        <v>0</v>
      </c>
      <c r="BC261" s="375">
        <v>0</v>
      </c>
      <c r="BE261" s="365">
        <v>0</v>
      </c>
      <c r="BF261" s="370">
        <v>0</v>
      </c>
      <c r="BG261" s="370">
        <v>0</v>
      </c>
      <c r="BH261" s="375">
        <v>0</v>
      </c>
      <c r="BJ261" s="365">
        <v>0</v>
      </c>
      <c r="BK261" s="370">
        <v>0</v>
      </c>
      <c r="BL261" s="370">
        <v>0</v>
      </c>
      <c r="BM261" s="375">
        <v>0</v>
      </c>
      <c r="BO261" s="365">
        <v>0</v>
      </c>
      <c r="BP261" s="370">
        <v>0</v>
      </c>
      <c r="BQ261" s="370">
        <v>0</v>
      </c>
      <c r="BR261" s="375">
        <v>0</v>
      </c>
      <c r="BT261" s="365">
        <v>0</v>
      </c>
      <c r="BU261" s="370">
        <v>0</v>
      </c>
      <c r="BV261" s="370">
        <v>0</v>
      </c>
      <c r="BW261" s="375">
        <v>0</v>
      </c>
      <c r="BY261" s="365">
        <v>0</v>
      </c>
      <c r="BZ261" s="373">
        <v>300051310.19501489</v>
      </c>
      <c r="CA261" s="375">
        <v>0</v>
      </c>
      <c r="CC261" s="365">
        <v>0</v>
      </c>
      <c r="CD261" s="375">
        <v>0</v>
      </c>
      <c r="CF261" s="365">
        <v>0</v>
      </c>
      <c r="CG261" s="375">
        <v>0</v>
      </c>
      <c r="CI261" s="365">
        <v>0</v>
      </c>
      <c r="CJ261" s="375">
        <v>0</v>
      </c>
    </row>
    <row r="262" spans="7:88">
      <c r="G262" s="417">
        <v>258</v>
      </c>
      <c r="H262" s="251">
        <v>16</v>
      </c>
      <c r="I262" s="377">
        <v>0</v>
      </c>
      <c r="J262" s="368">
        <v>0</v>
      </c>
      <c r="K262" s="368">
        <v>0</v>
      </c>
      <c r="L262" s="369">
        <v>0</v>
      </c>
      <c r="N262" s="367">
        <v>0</v>
      </c>
      <c r="O262" s="370">
        <v>0</v>
      </c>
      <c r="P262" s="370">
        <v>0</v>
      </c>
      <c r="Q262" s="370">
        <v>0</v>
      </c>
      <c r="R262" s="370">
        <v>0</v>
      </c>
      <c r="S262" s="370">
        <v>0</v>
      </c>
      <c r="T262" s="379">
        <v>0</v>
      </c>
      <c r="U262" s="371">
        <v>0</v>
      </c>
      <c r="V262" s="371">
        <v>0</v>
      </c>
      <c r="W262" s="372">
        <v>0</v>
      </c>
      <c r="X262" s="41"/>
      <c r="Y262" s="365">
        <v>0</v>
      </c>
      <c r="Z262" s="370">
        <v>0</v>
      </c>
      <c r="AA262" s="370">
        <v>0</v>
      </c>
      <c r="AB262" s="375">
        <v>0</v>
      </c>
      <c r="AC262" s="41"/>
      <c r="AD262" s="449">
        <v>0</v>
      </c>
      <c r="AE262" s="365">
        <v>0</v>
      </c>
      <c r="AF262" s="375">
        <v>0</v>
      </c>
      <c r="AH262" s="365">
        <v>0</v>
      </c>
      <c r="AI262" s="370">
        <v>0</v>
      </c>
      <c r="AJ262" s="370">
        <v>0</v>
      </c>
      <c r="AK262" s="375">
        <v>0</v>
      </c>
      <c r="AM262" s="365">
        <v>0</v>
      </c>
      <c r="AN262" s="370">
        <v>0</v>
      </c>
      <c r="AO262" s="370">
        <v>0</v>
      </c>
      <c r="AP262" s="375">
        <v>0</v>
      </c>
      <c r="AR262" s="365">
        <v>0</v>
      </c>
      <c r="AS262" s="375">
        <v>0</v>
      </c>
      <c r="AU262" s="378">
        <v>0</v>
      </c>
      <c r="AV262" s="379">
        <v>0</v>
      </c>
      <c r="AW262" s="380">
        <v>0</v>
      </c>
      <c r="AX262" s="381">
        <v>0</v>
      </c>
      <c r="AZ262" s="365">
        <v>0</v>
      </c>
      <c r="BA262" s="370">
        <v>0</v>
      </c>
      <c r="BB262" s="370">
        <v>0</v>
      </c>
      <c r="BC262" s="375">
        <v>0</v>
      </c>
      <c r="BE262" s="365">
        <v>0</v>
      </c>
      <c r="BF262" s="370">
        <v>0</v>
      </c>
      <c r="BG262" s="370">
        <v>0</v>
      </c>
      <c r="BH262" s="375">
        <v>0</v>
      </c>
      <c r="BJ262" s="365">
        <v>0</v>
      </c>
      <c r="BK262" s="370">
        <v>0</v>
      </c>
      <c r="BL262" s="370">
        <v>0</v>
      </c>
      <c r="BM262" s="375">
        <v>0</v>
      </c>
      <c r="BO262" s="365">
        <v>0</v>
      </c>
      <c r="BP262" s="370">
        <v>0</v>
      </c>
      <c r="BQ262" s="370">
        <v>0</v>
      </c>
      <c r="BR262" s="375">
        <v>0</v>
      </c>
      <c r="BT262" s="365">
        <v>0</v>
      </c>
      <c r="BU262" s="370">
        <v>0</v>
      </c>
      <c r="BV262" s="370">
        <v>0</v>
      </c>
      <c r="BW262" s="375">
        <v>0</v>
      </c>
      <c r="BY262" s="365">
        <v>0</v>
      </c>
      <c r="BZ262" s="373">
        <v>300051310.19501489</v>
      </c>
      <c r="CA262" s="375">
        <v>0</v>
      </c>
      <c r="CC262" s="365">
        <v>0</v>
      </c>
      <c r="CD262" s="375">
        <v>0</v>
      </c>
      <c r="CF262" s="365">
        <v>0</v>
      </c>
      <c r="CG262" s="375">
        <v>0</v>
      </c>
      <c r="CI262" s="365">
        <v>0</v>
      </c>
      <c r="CJ262" s="375">
        <v>0</v>
      </c>
    </row>
    <row r="263" spans="7:88">
      <c r="G263" s="417">
        <v>259</v>
      </c>
      <c r="H263" s="251">
        <v>16</v>
      </c>
      <c r="I263" s="377">
        <v>0</v>
      </c>
      <c r="J263" s="368">
        <v>0</v>
      </c>
      <c r="K263" s="368">
        <v>0</v>
      </c>
      <c r="L263" s="369">
        <v>0</v>
      </c>
      <c r="N263" s="367">
        <v>0</v>
      </c>
      <c r="O263" s="370">
        <v>0</v>
      </c>
      <c r="P263" s="370">
        <v>0</v>
      </c>
      <c r="Q263" s="370">
        <v>0</v>
      </c>
      <c r="R263" s="370">
        <v>0</v>
      </c>
      <c r="S263" s="370">
        <v>0</v>
      </c>
      <c r="T263" s="379">
        <v>0</v>
      </c>
      <c r="U263" s="371">
        <v>0</v>
      </c>
      <c r="V263" s="371">
        <v>0</v>
      </c>
      <c r="W263" s="372">
        <v>0</v>
      </c>
      <c r="X263" s="41"/>
      <c r="Y263" s="365">
        <v>0</v>
      </c>
      <c r="Z263" s="370">
        <v>0</v>
      </c>
      <c r="AA263" s="370">
        <v>0</v>
      </c>
      <c r="AB263" s="375">
        <v>0</v>
      </c>
      <c r="AC263" s="41"/>
      <c r="AD263" s="449">
        <v>0</v>
      </c>
      <c r="AE263" s="365">
        <v>0</v>
      </c>
      <c r="AF263" s="375">
        <v>0</v>
      </c>
      <c r="AH263" s="365">
        <v>0</v>
      </c>
      <c r="AI263" s="370">
        <v>0</v>
      </c>
      <c r="AJ263" s="370">
        <v>0</v>
      </c>
      <c r="AK263" s="375">
        <v>0</v>
      </c>
      <c r="AM263" s="365">
        <v>0</v>
      </c>
      <c r="AN263" s="370">
        <v>0</v>
      </c>
      <c r="AO263" s="370">
        <v>0</v>
      </c>
      <c r="AP263" s="375">
        <v>0</v>
      </c>
      <c r="AR263" s="365">
        <v>0</v>
      </c>
      <c r="AS263" s="375">
        <v>0</v>
      </c>
      <c r="AU263" s="378">
        <v>0</v>
      </c>
      <c r="AV263" s="379">
        <v>0</v>
      </c>
      <c r="AW263" s="380">
        <v>0</v>
      </c>
      <c r="AX263" s="381">
        <v>0</v>
      </c>
      <c r="AZ263" s="365">
        <v>0</v>
      </c>
      <c r="BA263" s="370">
        <v>0</v>
      </c>
      <c r="BB263" s="370">
        <v>0</v>
      </c>
      <c r="BC263" s="375">
        <v>0</v>
      </c>
      <c r="BE263" s="365">
        <v>0</v>
      </c>
      <c r="BF263" s="370">
        <v>0</v>
      </c>
      <c r="BG263" s="370">
        <v>0</v>
      </c>
      <c r="BH263" s="375">
        <v>0</v>
      </c>
      <c r="BJ263" s="365">
        <v>0</v>
      </c>
      <c r="BK263" s="370">
        <v>0</v>
      </c>
      <c r="BL263" s="370">
        <v>0</v>
      </c>
      <c r="BM263" s="375">
        <v>0</v>
      </c>
      <c r="BO263" s="365">
        <v>0</v>
      </c>
      <c r="BP263" s="370">
        <v>0</v>
      </c>
      <c r="BQ263" s="370">
        <v>0</v>
      </c>
      <c r="BR263" s="375">
        <v>0</v>
      </c>
      <c r="BT263" s="365">
        <v>0</v>
      </c>
      <c r="BU263" s="370">
        <v>0</v>
      </c>
      <c r="BV263" s="370">
        <v>0</v>
      </c>
      <c r="BW263" s="375">
        <v>0</v>
      </c>
      <c r="BY263" s="365">
        <v>0</v>
      </c>
      <c r="BZ263" s="373">
        <v>300051310.19501489</v>
      </c>
      <c r="CA263" s="375">
        <v>0</v>
      </c>
      <c r="CC263" s="365">
        <v>0</v>
      </c>
      <c r="CD263" s="375">
        <v>0</v>
      </c>
      <c r="CF263" s="365">
        <v>0</v>
      </c>
      <c r="CG263" s="375">
        <v>0</v>
      </c>
      <c r="CI263" s="365">
        <v>0</v>
      </c>
      <c r="CJ263" s="375">
        <v>0</v>
      </c>
    </row>
    <row r="264" spans="7:88">
      <c r="G264" s="417">
        <v>260</v>
      </c>
      <c r="H264" s="251">
        <v>16</v>
      </c>
      <c r="I264" s="377">
        <v>0</v>
      </c>
      <c r="J264" s="368">
        <v>0</v>
      </c>
      <c r="K264" s="368">
        <v>0</v>
      </c>
      <c r="L264" s="369">
        <v>0</v>
      </c>
      <c r="N264" s="367">
        <v>0</v>
      </c>
      <c r="O264" s="370">
        <v>0</v>
      </c>
      <c r="P264" s="370">
        <v>0</v>
      </c>
      <c r="Q264" s="370">
        <v>0</v>
      </c>
      <c r="R264" s="370">
        <v>0</v>
      </c>
      <c r="S264" s="370">
        <v>0</v>
      </c>
      <c r="T264" s="379">
        <v>0</v>
      </c>
      <c r="U264" s="371">
        <v>0</v>
      </c>
      <c r="V264" s="371">
        <v>0</v>
      </c>
      <c r="W264" s="372">
        <v>0</v>
      </c>
      <c r="X264" s="41"/>
      <c r="Y264" s="365">
        <v>0</v>
      </c>
      <c r="Z264" s="370">
        <v>0</v>
      </c>
      <c r="AA264" s="370">
        <v>0</v>
      </c>
      <c r="AB264" s="375">
        <v>0</v>
      </c>
      <c r="AC264" s="41"/>
      <c r="AD264" s="449">
        <v>0</v>
      </c>
      <c r="AE264" s="365">
        <v>0</v>
      </c>
      <c r="AF264" s="375">
        <v>0</v>
      </c>
      <c r="AH264" s="365">
        <v>0</v>
      </c>
      <c r="AI264" s="370">
        <v>0</v>
      </c>
      <c r="AJ264" s="370">
        <v>0</v>
      </c>
      <c r="AK264" s="375">
        <v>0</v>
      </c>
      <c r="AM264" s="365">
        <v>0</v>
      </c>
      <c r="AN264" s="370">
        <v>0</v>
      </c>
      <c r="AO264" s="370">
        <v>0</v>
      </c>
      <c r="AP264" s="375">
        <v>0</v>
      </c>
      <c r="AR264" s="365">
        <v>0</v>
      </c>
      <c r="AS264" s="375">
        <v>0</v>
      </c>
      <c r="AU264" s="378">
        <v>0</v>
      </c>
      <c r="AV264" s="379">
        <v>0</v>
      </c>
      <c r="AW264" s="380">
        <v>0</v>
      </c>
      <c r="AX264" s="381">
        <v>0</v>
      </c>
      <c r="AZ264" s="365">
        <v>0</v>
      </c>
      <c r="BA264" s="370">
        <v>0</v>
      </c>
      <c r="BB264" s="370">
        <v>0</v>
      </c>
      <c r="BC264" s="375">
        <v>0</v>
      </c>
      <c r="BE264" s="365">
        <v>0</v>
      </c>
      <c r="BF264" s="370">
        <v>0</v>
      </c>
      <c r="BG264" s="370">
        <v>0</v>
      </c>
      <c r="BH264" s="375">
        <v>0</v>
      </c>
      <c r="BJ264" s="365">
        <v>0</v>
      </c>
      <c r="BK264" s="370">
        <v>0</v>
      </c>
      <c r="BL264" s="370">
        <v>0</v>
      </c>
      <c r="BM264" s="375">
        <v>0</v>
      </c>
      <c r="BO264" s="365">
        <v>0</v>
      </c>
      <c r="BP264" s="370">
        <v>0</v>
      </c>
      <c r="BQ264" s="370">
        <v>0</v>
      </c>
      <c r="BR264" s="375">
        <v>0</v>
      </c>
      <c r="BT264" s="365">
        <v>0</v>
      </c>
      <c r="BU264" s="370">
        <v>0</v>
      </c>
      <c r="BV264" s="370">
        <v>0</v>
      </c>
      <c r="BW264" s="375">
        <v>0</v>
      </c>
      <c r="BY264" s="365">
        <v>0</v>
      </c>
      <c r="BZ264" s="373">
        <v>300051310.19501489</v>
      </c>
      <c r="CA264" s="375">
        <v>0</v>
      </c>
      <c r="CC264" s="365">
        <v>0</v>
      </c>
      <c r="CD264" s="375">
        <v>0</v>
      </c>
      <c r="CF264" s="365">
        <v>0</v>
      </c>
      <c r="CG264" s="375">
        <v>0</v>
      </c>
      <c r="CI264" s="365">
        <v>0</v>
      </c>
      <c r="CJ264" s="375">
        <v>0</v>
      </c>
    </row>
    <row r="265" spans="7:88">
      <c r="G265" s="417">
        <v>261</v>
      </c>
      <c r="H265" s="251">
        <v>16</v>
      </c>
      <c r="I265" s="377">
        <v>0</v>
      </c>
      <c r="J265" s="368">
        <v>0</v>
      </c>
      <c r="K265" s="368">
        <v>0</v>
      </c>
      <c r="L265" s="369">
        <v>0</v>
      </c>
      <c r="N265" s="367">
        <v>0</v>
      </c>
      <c r="O265" s="370">
        <v>0</v>
      </c>
      <c r="P265" s="370">
        <v>0</v>
      </c>
      <c r="Q265" s="370">
        <v>0</v>
      </c>
      <c r="R265" s="370">
        <v>0</v>
      </c>
      <c r="S265" s="370">
        <v>0</v>
      </c>
      <c r="T265" s="379">
        <v>0</v>
      </c>
      <c r="U265" s="371">
        <v>0</v>
      </c>
      <c r="V265" s="371">
        <v>0</v>
      </c>
      <c r="W265" s="372">
        <v>0</v>
      </c>
      <c r="X265" s="41"/>
      <c r="Y265" s="365">
        <v>0</v>
      </c>
      <c r="Z265" s="370">
        <v>0</v>
      </c>
      <c r="AA265" s="370">
        <v>0</v>
      </c>
      <c r="AB265" s="375">
        <v>0</v>
      </c>
      <c r="AC265" s="41"/>
      <c r="AD265" s="449">
        <v>0</v>
      </c>
      <c r="AE265" s="365">
        <v>0</v>
      </c>
      <c r="AF265" s="375">
        <v>0</v>
      </c>
      <c r="AH265" s="365">
        <v>0</v>
      </c>
      <c r="AI265" s="370">
        <v>0</v>
      </c>
      <c r="AJ265" s="370">
        <v>0</v>
      </c>
      <c r="AK265" s="375">
        <v>0</v>
      </c>
      <c r="AM265" s="365">
        <v>0</v>
      </c>
      <c r="AN265" s="370">
        <v>0</v>
      </c>
      <c r="AO265" s="370">
        <v>0</v>
      </c>
      <c r="AP265" s="375">
        <v>0</v>
      </c>
      <c r="AR265" s="365">
        <v>0</v>
      </c>
      <c r="AS265" s="375">
        <v>0</v>
      </c>
      <c r="AU265" s="378">
        <v>0</v>
      </c>
      <c r="AV265" s="379">
        <v>0</v>
      </c>
      <c r="AW265" s="380">
        <v>0</v>
      </c>
      <c r="AX265" s="381">
        <v>0</v>
      </c>
      <c r="AZ265" s="365">
        <v>0</v>
      </c>
      <c r="BA265" s="370">
        <v>0</v>
      </c>
      <c r="BB265" s="370">
        <v>0</v>
      </c>
      <c r="BC265" s="375">
        <v>0</v>
      </c>
      <c r="BE265" s="365">
        <v>0</v>
      </c>
      <c r="BF265" s="370">
        <v>0</v>
      </c>
      <c r="BG265" s="370">
        <v>0</v>
      </c>
      <c r="BH265" s="375">
        <v>0</v>
      </c>
      <c r="BJ265" s="365">
        <v>0</v>
      </c>
      <c r="BK265" s="370">
        <v>0</v>
      </c>
      <c r="BL265" s="370">
        <v>0</v>
      </c>
      <c r="BM265" s="375">
        <v>0</v>
      </c>
      <c r="BO265" s="365">
        <v>0</v>
      </c>
      <c r="BP265" s="370">
        <v>0</v>
      </c>
      <c r="BQ265" s="370">
        <v>0</v>
      </c>
      <c r="BR265" s="375">
        <v>0</v>
      </c>
      <c r="BT265" s="365">
        <v>0</v>
      </c>
      <c r="BU265" s="370">
        <v>0</v>
      </c>
      <c r="BV265" s="370">
        <v>0</v>
      </c>
      <c r="BW265" s="375">
        <v>0</v>
      </c>
      <c r="BY265" s="365">
        <v>0</v>
      </c>
      <c r="BZ265" s="373">
        <v>300051310.19501489</v>
      </c>
      <c r="CA265" s="375">
        <v>0</v>
      </c>
      <c r="CC265" s="365">
        <v>0</v>
      </c>
      <c r="CD265" s="375">
        <v>0</v>
      </c>
      <c r="CF265" s="365">
        <v>0</v>
      </c>
      <c r="CG265" s="375">
        <v>0</v>
      </c>
      <c r="CI265" s="365">
        <v>0</v>
      </c>
      <c r="CJ265" s="375">
        <v>0</v>
      </c>
    </row>
    <row r="266" spans="7:88">
      <c r="G266" s="417">
        <v>262</v>
      </c>
      <c r="H266" s="251">
        <v>16</v>
      </c>
      <c r="I266" s="377">
        <v>0</v>
      </c>
      <c r="J266" s="368">
        <v>0</v>
      </c>
      <c r="K266" s="368">
        <v>0</v>
      </c>
      <c r="L266" s="369">
        <v>0</v>
      </c>
      <c r="N266" s="367">
        <v>0</v>
      </c>
      <c r="O266" s="370">
        <v>0</v>
      </c>
      <c r="P266" s="370">
        <v>0</v>
      </c>
      <c r="Q266" s="370">
        <v>0</v>
      </c>
      <c r="R266" s="370">
        <v>0</v>
      </c>
      <c r="S266" s="370">
        <v>0</v>
      </c>
      <c r="T266" s="379">
        <v>0</v>
      </c>
      <c r="U266" s="371">
        <v>0</v>
      </c>
      <c r="V266" s="371">
        <v>0</v>
      </c>
      <c r="W266" s="372">
        <v>0</v>
      </c>
      <c r="X266" s="41"/>
      <c r="Y266" s="365">
        <v>0</v>
      </c>
      <c r="Z266" s="370">
        <v>0</v>
      </c>
      <c r="AA266" s="370">
        <v>0</v>
      </c>
      <c r="AB266" s="375">
        <v>0</v>
      </c>
      <c r="AC266" s="41"/>
      <c r="AD266" s="449">
        <v>0</v>
      </c>
      <c r="AE266" s="365">
        <v>0</v>
      </c>
      <c r="AF266" s="375">
        <v>0</v>
      </c>
      <c r="AH266" s="365">
        <v>0</v>
      </c>
      <c r="AI266" s="370">
        <v>0</v>
      </c>
      <c r="AJ266" s="370">
        <v>0</v>
      </c>
      <c r="AK266" s="375">
        <v>0</v>
      </c>
      <c r="AM266" s="365">
        <v>0</v>
      </c>
      <c r="AN266" s="370">
        <v>0</v>
      </c>
      <c r="AO266" s="370">
        <v>0</v>
      </c>
      <c r="AP266" s="375">
        <v>0</v>
      </c>
      <c r="AR266" s="365">
        <v>0</v>
      </c>
      <c r="AS266" s="375">
        <v>0</v>
      </c>
      <c r="AU266" s="378">
        <v>0</v>
      </c>
      <c r="AV266" s="379">
        <v>0</v>
      </c>
      <c r="AW266" s="380">
        <v>0</v>
      </c>
      <c r="AX266" s="381">
        <v>0</v>
      </c>
      <c r="AZ266" s="365">
        <v>0</v>
      </c>
      <c r="BA266" s="370">
        <v>0</v>
      </c>
      <c r="BB266" s="370">
        <v>0</v>
      </c>
      <c r="BC266" s="375">
        <v>0</v>
      </c>
      <c r="BE266" s="365">
        <v>0</v>
      </c>
      <c r="BF266" s="370">
        <v>0</v>
      </c>
      <c r="BG266" s="370">
        <v>0</v>
      </c>
      <c r="BH266" s="375">
        <v>0</v>
      </c>
      <c r="BJ266" s="365">
        <v>0</v>
      </c>
      <c r="BK266" s="370">
        <v>0</v>
      </c>
      <c r="BL266" s="370">
        <v>0</v>
      </c>
      <c r="BM266" s="375">
        <v>0</v>
      </c>
      <c r="BO266" s="365">
        <v>0</v>
      </c>
      <c r="BP266" s="370">
        <v>0</v>
      </c>
      <c r="BQ266" s="370">
        <v>0</v>
      </c>
      <c r="BR266" s="375">
        <v>0</v>
      </c>
      <c r="BT266" s="365">
        <v>0</v>
      </c>
      <c r="BU266" s="370">
        <v>0</v>
      </c>
      <c r="BV266" s="370">
        <v>0</v>
      </c>
      <c r="BW266" s="375">
        <v>0</v>
      </c>
      <c r="BY266" s="365">
        <v>0</v>
      </c>
      <c r="BZ266" s="373">
        <v>300051310.19501489</v>
      </c>
      <c r="CA266" s="375">
        <v>0</v>
      </c>
      <c r="CC266" s="365">
        <v>0</v>
      </c>
      <c r="CD266" s="375">
        <v>0</v>
      </c>
      <c r="CF266" s="365">
        <v>0</v>
      </c>
      <c r="CG266" s="375">
        <v>0</v>
      </c>
      <c r="CI266" s="365">
        <v>0</v>
      </c>
      <c r="CJ266" s="375">
        <v>0</v>
      </c>
    </row>
    <row r="267" spans="7:88">
      <c r="G267" s="417">
        <v>263</v>
      </c>
      <c r="H267" s="251">
        <v>16</v>
      </c>
      <c r="I267" s="377">
        <v>0</v>
      </c>
      <c r="J267" s="368">
        <v>0</v>
      </c>
      <c r="K267" s="368">
        <v>0</v>
      </c>
      <c r="L267" s="369">
        <v>0</v>
      </c>
      <c r="N267" s="367">
        <v>0</v>
      </c>
      <c r="O267" s="370">
        <v>0</v>
      </c>
      <c r="P267" s="370">
        <v>0</v>
      </c>
      <c r="Q267" s="370">
        <v>0</v>
      </c>
      <c r="R267" s="370">
        <v>0</v>
      </c>
      <c r="S267" s="370">
        <v>0</v>
      </c>
      <c r="T267" s="379">
        <v>0</v>
      </c>
      <c r="U267" s="371">
        <v>0</v>
      </c>
      <c r="V267" s="371">
        <v>0</v>
      </c>
      <c r="W267" s="372">
        <v>0</v>
      </c>
      <c r="X267" s="41"/>
      <c r="Y267" s="365">
        <v>0</v>
      </c>
      <c r="Z267" s="370">
        <v>0</v>
      </c>
      <c r="AA267" s="370">
        <v>0</v>
      </c>
      <c r="AB267" s="375">
        <v>0</v>
      </c>
      <c r="AC267" s="41"/>
      <c r="AD267" s="449">
        <v>0</v>
      </c>
      <c r="AE267" s="365">
        <v>0</v>
      </c>
      <c r="AF267" s="375">
        <v>0</v>
      </c>
      <c r="AH267" s="365">
        <v>0</v>
      </c>
      <c r="AI267" s="370">
        <v>0</v>
      </c>
      <c r="AJ267" s="370">
        <v>0</v>
      </c>
      <c r="AK267" s="375">
        <v>0</v>
      </c>
      <c r="AM267" s="365">
        <v>0</v>
      </c>
      <c r="AN267" s="370">
        <v>0</v>
      </c>
      <c r="AO267" s="370">
        <v>0</v>
      </c>
      <c r="AP267" s="375">
        <v>0</v>
      </c>
      <c r="AR267" s="365">
        <v>0</v>
      </c>
      <c r="AS267" s="375">
        <v>0</v>
      </c>
      <c r="AU267" s="378">
        <v>0</v>
      </c>
      <c r="AV267" s="379">
        <v>0</v>
      </c>
      <c r="AW267" s="380">
        <v>0</v>
      </c>
      <c r="AX267" s="381">
        <v>0</v>
      </c>
      <c r="AZ267" s="365">
        <v>0</v>
      </c>
      <c r="BA267" s="370">
        <v>0</v>
      </c>
      <c r="BB267" s="370">
        <v>0</v>
      </c>
      <c r="BC267" s="375">
        <v>0</v>
      </c>
      <c r="BE267" s="365">
        <v>0</v>
      </c>
      <c r="BF267" s="370">
        <v>0</v>
      </c>
      <c r="BG267" s="370">
        <v>0</v>
      </c>
      <c r="BH267" s="375">
        <v>0</v>
      </c>
      <c r="BJ267" s="365">
        <v>0</v>
      </c>
      <c r="BK267" s="370">
        <v>0</v>
      </c>
      <c r="BL267" s="370">
        <v>0</v>
      </c>
      <c r="BM267" s="375">
        <v>0</v>
      </c>
      <c r="BO267" s="365">
        <v>0</v>
      </c>
      <c r="BP267" s="370">
        <v>0</v>
      </c>
      <c r="BQ267" s="370">
        <v>0</v>
      </c>
      <c r="BR267" s="375">
        <v>0</v>
      </c>
      <c r="BT267" s="365">
        <v>0</v>
      </c>
      <c r="BU267" s="370">
        <v>0</v>
      </c>
      <c r="BV267" s="370">
        <v>0</v>
      </c>
      <c r="BW267" s="375">
        <v>0</v>
      </c>
      <c r="BY267" s="365">
        <v>0</v>
      </c>
      <c r="BZ267" s="373">
        <v>300051310.19501489</v>
      </c>
      <c r="CA267" s="375">
        <v>0</v>
      </c>
      <c r="CC267" s="365">
        <v>0</v>
      </c>
      <c r="CD267" s="375">
        <v>0</v>
      </c>
      <c r="CF267" s="365">
        <v>0</v>
      </c>
      <c r="CG267" s="375">
        <v>0</v>
      </c>
      <c r="CI267" s="365">
        <v>0</v>
      </c>
      <c r="CJ267" s="375">
        <v>0</v>
      </c>
    </row>
    <row r="268" spans="7:88">
      <c r="G268" s="417">
        <v>264</v>
      </c>
      <c r="H268" s="251">
        <v>16</v>
      </c>
      <c r="I268" s="377">
        <v>0</v>
      </c>
      <c r="J268" s="368">
        <v>0</v>
      </c>
      <c r="K268" s="368">
        <v>0</v>
      </c>
      <c r="L268" s="369">
        <v>0</v>
      </c>
      <c r="N268" s="367">
        <v>0</v>
      </c>
      <c r="O268" s="370">
        <v>0</v>
      </c>
      <c r="P268" s="370">
        <v>0</v>
      </c>
      <c r="Q268" s="370">
        <v>0</v>
      </c>
      <c r="R268" s="370">
        <v>0</v>
      </c>
      <c r="S268" s="370">
        <v>0</v>
      </c>
      <c r="T268" s="379">
        <v>0</v>
      </c>
      <c r="U268" s="371">
        <v>0</v>
      </c>
      <c r="V268" s="371">
        <v>0</v>
      </c>
      <c r="W268" s="372">
        <v>0</v>
      </c>
      <c r="X268" s="41"/>
      <c r="Y268" s="365">
        <v>0</v>
      </c>
      <c r="Z268" s="370">
        <v>0</v>
      </c>
      <c r="AA268" s="370">
        <v>0</v>
      </c>
      <c r="AB268" s="375">
        <v>0</v>
      </c>
      <c r="AC268" s="41"/>
      <c r="AD268" s="449">
        <v>0</v>
      </c>
      <c r="AE268" s="365">
        <v>0</v>
      </c>
      <c r="AF268" s="375">
        <v>0</v>
      </c>
      <c r="AH268" s="365">
        <v>0</v>
      </c>
      <c r="AI268" s="370">
        <v>0</v>
      </c>
      <c r="AJ268" s="370">
        <v>0</v>
      </c>
      <c r="AK268" s="375">
        <v>0</v>
      </c>
      <c r="AM268" s="365">
        <v>0</v>
      </c>
      <c r="AN268" s="370">
        <v>0</v>
      </c>
      <c r="AO268" s="370">
        <v>0</v>
      </c>
      <c r="AP268" s="375">
        <v>0</v>
      </c>
      <c r="AR268" s="365">
        <v>0</v>
      </c>
      <c r="AS268" s="375">
        <v>0</v>
      </c>
      <c r="AU268" s="378">
        <v>0</v>
      </c>
      <c r="AV268" s="379">
        <v>0</v>
      </c>
      <c r="AW268" s="380">
        <v>0</v>
      </c>
      <c r="AX268" s="381">
        <v>0</v>
      </c>
      <c r="AZ268" s="365">
        <v>0</v>
      </c>
      <c r="BA268" s="370">
        <v>0</v>
      </c>
      <c r="BB268" s="370">
        <v>0</v>
      </c>
      <c r="BC268" s="375">
        <v>0</v>
      </c>
      <c r="BE268" s="365">
        <v>0</v>
      </c>
      <c r="BF268" s="370">
        <v>0</v>
      </c>
      <c r="BG268" s="370">
        <v>0</v>
      </c>
      <c r="BH268" s="375">
        <v>0</v>
      </c>
      <c r="BJ268" s="365">
        <v>0</v>
      </c>
      <c r="BK268" s="370">
        <v>0</v>
      </c>
      <c r="BL268" s="370">
        <v>0</v>
      </c>
      <c r="BM268" s="375">
        <v>0</v>
      </c>
      <c r="BO268" s="365">
        <v>0</v>
      </c>
      <c r="BP268" s="370">
        <v>0</v>
      </c>
      <c r="BQ268" s="370">
        <v>0</v>
      </c>
      <c r="BR268" s="375">
        <v>0</v>
      </c>
      <c r="BT268" s="365">
        <v>0</v>
      </c>
      <c r="BU268" s="370">
        <v>0</v>
      </c>
      <c r="BV268" s="370">
        <v>0</v>
      </c>
      <c r="BW268" s="375">
        <v>0</v>
      </c>
      <c r="BY268" s="365">
        <v>0</v>
      </c>
      <c r="BZ268" s="373">
        <v>300051310.19501489</v>
      </c>
      <c r="CA268" s="375">
        <v>0</v>
      </c>
      <c r="CC268" s="365">
        <v>0</v>
      </c>
      <c r="CD268" s="375">
        <v>0</v>
      </c>
      <c r="CF268" s="365">
        <v>0</v>
      </c>
      <c r="CG268" s="375">
        <v>0</v>
      </c>
      <c r="CI268" s="365">
        <v>0</v>
      </c>
      <c r="CJ268" s="375">
        <v>0</v>
      </c>
    </row>
    <row r="269" spans="7:88">
      <c r="G269" s="417">
        <v>265</v>
      </c>
      <c r="H269" s="251">
        <v>16</v>
      </c>
      <c r="I269" s="377">
        <v>0</v>
      </c>
      <c r="J269" s="368">
        <v>0</v>
      </c>
      <c r="K269" s="368">
        <v>0</v>
      </c>
      <c r="L269" s="369">
        <v>0</v>
      </c>
      <c r="N269" s="367">
        <v>0</v>
      </c>
      <c r="O269" s="370">
        <v>0</v>
      </c>
      <c r="P269" s="370">
        <v>0</v>
      </c>
      <c r="Q269" s="370">
        <v>0</v>
      </c>
      <c r="R269" s="370">
        <v>0</v>
      </c>
      <c r="S269" s="370">
        <v>0</v>
      </c>
      <c r="T269" s="379">
        <v>0</v>
      </c>
      <c r="U269" s="371">
        <v>0</v>
      </c>
      <c r="V269" s="371">
        <v>0</v>
      </c>
      <c r="W269" s="372">
        <v>0</v>
      </c>
      <c r="X269" s="41"/>
      <c r="Y269" s="365">
        <v>0</v>
      </c>
      <c r="Z269" s="370">
        <v>0</v>
      </c>
      <c r="AA269" s="370">
        <v>0</v>
      </c>
      <c r="AB269" s="375">
        <v>0</v>
      </c>
      <c r="AC269" s="41"/>
      <c r="AD269" s="449">
        <v>0</v>
      </c>
      <c r="AE269" s="365">
        <v>0</v>
      </c>
      <c r="AF269" s="375">
        <v>0</v>
      </c>
      <c r="AH269" s="365">
        <v>0</v>
      </c>
      <c r="AI269" s="370">
        <v>0</v>
      </c>
      <c r="AJ269" s="370">
        <v>0</v>
      </c>
      <c r="AK269" s="375">
        <v>0</v>
      </c>
      <c r="AM269" s="365">
        <v>0</v>
      </c>
      <c r="AN269" s="370">
        <v>0</v>
      </c>
      <c r="AO269" s="370">
        <v>0</v>
      </c>
      <c r="AP269" s="375">
        <v>0</v>
      </c>
      <c r="AR269" s="365">
        <v>0</v>
      </c>
      <c r="AS269" s="375">
        <v>0</v>
      </c>
      <c r="AU269" s="378">
        <v>0</v>
      </c>
      <c r="AV269" s="379">
        <v>0</v>
      </c>
      <c r="AW269" s="380">
        <v>0</v>
      </c>
      <c r="AX269" s="381">
        <v>0</v>
      </c>
      <c r="AZ269" s="365">
        <v>0</v>
      </c>
      <c r="BA269" s="370">
        <v>0</v>
      </c>
      <c r="BB269" s="370">
        <v>0</v>
      </c>
      <c r="BC269" s="375">
        <v>0</v>
      </c>
      <c r="BE269" s="365">
        <v>0</v>
      </c>
      <c r="BF269" s="370">
        <v>0</v>
      </c>
      <c r="BG269" s="370">
        <v>0</v>
      </c>
      <c r="BH269" s="375">
        <v>0</v>
      </c>
      <c r="BJ269" s="365">
        <v>0</v>
      </c>
      <c r="BK269" s="370">
        <v>0</v>
      </c>
      <c r="BL269" s="370">
        <v>0</v>
      </c>
      <c r="BM269" s="375">
        <v>0</v>
      </c>
      <c r="BO269" s="365">
        <v>0</v>
      </c>
      <c r="BP269" s="370">
        <v>0</v>
      </c>
      <c r="BQ269" s="370">
        <v>0</v>
      </c>
      <c r="BR269" s="375">
        <v>0</v>
      </c>
      <c r="BT269" s="365">
        <v>0</v>
      </c>
      <c r="BU269" s="370">
        <v>0</v>
      </c>
      <c r="BV269" s="370">
        <v>0</v>
      </c>
      <c r="BW269" s="375">
        <v>0</v>
      </c>
      <c r="BY269" s="365">
        <v>0</v>
      </c>
      <c r="BZ269" s="373">
        <v>300051310.19501489</v>
      </c>
      <c r="CA269" s="375">
        <v>0</v>
      </c>
      <c r="CC269" s="365">
        <v>0</v>
      </c>
      <c r="CD269" s="375">
        <v>0</v>
      </c>
      <c r="CF269" s="365">
        <v>0</v>
      </c>
      <c r="CG269" s="375">
        <v>0</v>
      </c>
      <c r="CI269" s="365">
        <v>0</v>
      </c>
      <c r="CJ269" s="375">
        <v>0</v>
      </c>
    </row>
    <row r="270" spans="7:88">
      <c r="G270" s="417">
        <v>266</v>
      </c>
      <c r="H270" s="251">
        <v>16</v>
      </c>
      <c r="I270" s="377">
        <v>0</v>
      </c>
      <c r="J270" s="368">
        <v>0</v>
      </c>
      <c r="K270" s="368">
        <v>0</v>
      </c>
      <c r="L270" s="369">
        <v>0</v>
      </c>
      <c r="N270" s="367">
        <v>0</v>
      </c>
      <c r="O270" s="370">
        <v>0</v>
      </c>
      <c r="P270" s="370">
        <v>0</v>
      </c>
      <c r="Q270" s="370">
        <v>0</v>
      </c>
      <c r="R270" s="370">
        <v>0</v>
      </c>
      <c r="S270" s="370">
        <v>0</v>
      </c>
      <c r="T270" s="379">
        <v>0</v>
      </c>
      <c r="U270" s="371">
        <v>0</v>
      </c>
      <c r="V270" s="371">
        <v>0</v>
      </c>
      <c r="W270" s="372">
        <v>0</v>
      </c>
      <c r="X270" s="41"/>
      <c r="Y270" s="365">
        <v>0</v>
      </c>
      <c r="Z270" s="370">
        <v>0</v>
      </c>
      <c r="AA270" s="370">
        <v>0</v>
      </c>
      <c r="AB270" s="375">
        <v>0</v>
      </c>
      <c r="AC270" s="41"/>
      <c r="AD270" s="449">
        <v>0</v>
      </c>
      <c r="AE270" s="365">
        <v>0</v>
      </c>
      <c r="AF270" s="375">
        <v>0</v>
      </c>
      <c r="AH270" s="365">
        <v>0</v>
      </c>
      <c r="AI270" s="370">
        <v>0</v>
      </c>
      <c r="AJ270" s="370">
        <v>0</v>
      </c>
      <c r="AK270" s="375">
        <v>0</v>
      </c>
      <c r="AM270" s="365">
        <v>0</v>
      </c>
      <c r="AN270" s="370">
        <v>0</v>
      </c>
      <c r="AO270" s="370">
        <v>0</v>
      </c>
      <c r="AP270" s="375">
        <v>0</v>
      </c>
      <c r="AR270" s="365">
        <v>0</v>
      </c>
      <c r="AS270" s="375">
        <v>0</v>
      </c>
      <c r="AU270" s="378">
        <v>0</v>
      </c>
      <c r="AV270" s="379">
        <v>0</v>
      </c>
      <c r="AW270" s="380">
        <v>0</v>
      </c>
      <c r="AX270" s="381">
        <v>0</v>
      </c>
      <c r="AZ270" s="365">
        <v>0</v>
      </c>
      <c r="BA270" s="370">
        <v>0</v>
      </c>
      <c r="BB270" s="370">
        <v>0</v>
      </c>
      <c r="BC270" s="375">
        <v>0</v>
      </c>
      <c r="BE270" s="365">
        <v>0</v>
      </c>
      <c r="BF270" s="370">
        <v>0</v>
      </c>
      <c r="BG270" s="370">
        <v>0</v>
      </c>
      <c r="BH270" s="375">
        <v>0</v>
      </c>
      <c r="BJ270" s="365">
        <v>0</v>
      </c>
      <c r="BK270" s="370">
        <v>0</v>
      </c>
      <c r="BL270" s="370">
        <v>0</v>
      </c>
      <c r="BM270" s="375">
        <v>0</v>
      </c>
      <c r="BO270" s="365">
        <v>0</v>
      </c>
      <c r="BP270" s="370">
        <v>0</v>
      </c>
      <c r="BQ270" s="370">
        <v>0</v>
      </c>
      <c r="BR270" s="375">
        <v>0</v>
      </c>
      <c r="BT270" s="365">
        <v>0</v>
      </c>
      <c r="BU270" s="370">
        <v>0</v>
      </c>
      <c r="BV270" s="370">
        <v>0</v>
      </c>
      <c r="BW270" s="375">
        <v>0</v>
      </c>
      <c r="BY270" s="365">
        <v>0</v>
      </c>
      <c r="BZ270" s="373">
        <v>300051310.19501489</v>
      </c>
      <c r="CA270" s="375">
        <v>0</v>
      </c>
      <c r="CC270" s="365">
        <v>0</v>
      </c>
      <c r="CD270" s="375">
        <v>0</v>
      </c>
      <c r="CF270" s="365">
        <v>0</v>
      </c>
      <c r="CG270" s="375">
        <v>0</v>
      </c>
      <c r="CI270" s="365">
        <v>0</v>
      </c>
      <c r="CJ270" s="375">
        <v>0</v>
      </c>
    </row>
    <row r="271" spans="7:88">
      <c r="G271" s="417">
        <v>267</v>
      </c>
      <c r="H271" s="251">
        <v>16</v>
      </c>
      <c r="I271" s="377">
        <v>0</v>
      </c>
      <c r="J271" s="368">
        <v>0</v>
      </c>
      <c r="K271" s="368">
        <v>0</v>
      </c>
      <c r="L271" s="369">
        <v>0</v>
      </c>
      <c r="N271" s="367">
        <v>0</v>
      </c>
      <c r="O271" s="370">
        <v>0</v>
      </c>
      <c r="P271" s="370">
        <v>0</v>
      </c>
      <c r="Q271" s="370">
        <v>0</v>
      </c>
      <c r="R271" s="370">
        <v>0</v>
      </c>
      <c r="S271" s="370">
        <v>0</v>
      </c>
      <c r="T271" s="379">
        <v>0</v>
      </c>
      <c r="U271" s="371">
        <v>0</v>
      </c>
      <c r="V271" s="371">
        <v>0</v>
      </c>
      <c r="W271" s="372">
        <v>0</v>
      </c>
      <c r="X271" s="41"/>
      <c r="Y271" s="365">
        <v>0</v>
      </c>
      <c r="Z271" s="370">
        <v>0</v>
      </c>
      <c r="AA271" s="370">
        <v>0</v>
      </c>
      <c r="AB271" s="375">
        <v>0</v>
      </c>
      <c r="AC271" s="41"/>
      <c r="AD271" s="449">
        <v>0</v>
      </c>
      <c r="AE271" s="365">
        <v>0</v>
      </c>
      <c r="AF271" s="375">
        <v>0</v>
      </c>
      <c r="AH271" s="365">
        <v>0</v>
      </c>
      <c r="AI271" s="370">
        <v>0</v>
      </c>
      <c r="AJ271" s="370">
        <v>0</v>
      </c>
      <c r="AK271" s="375">
        <v>0</v>
      </c>
      <c r="AM271" s="365">
        <v>0</v>
      </c>
      <c r="AN271" s="370">
        <v>0</v>
      </c>
      <c r="AO271" s="370">
        <v>0</v>
      </c>
      <c r="AP271" s="375">
        <v>0</v>
      </c>
      <c r="AR271" s="365">
        <v>0</v>
      </c>
      <c r="AS271" s="375">
        <v>0</v>
      </c>
      <c r="AU271" s="378">
        <v>0</v>
      </c>
      <c r="AV271" s="379">
        <v>0</v>
      </c>
      <c r="AW271" s="380">
        <v>0</v>
      </c>
      <c r="AX271" s="381">
        <v>0</v>
      </c>
      <c r="AZ271" s="365">
        <v>0</v>
      </c>
      <c r="BA271" s="370">
        <v>0</v>
      </c>
      <c r="BB271" s="370">
        <v>0</v>
      </c>
      <c r="BC271" s="375">
        <v>0</v>
      </c>
      <c r="BE271" s="365">
        <v>0</v>
      </c>
      <c r="BF271" s="370">
        <v>0</v>
      </c>
      <c r="BG271" s="370">
        <v>0</v>
      </c>
      <c r="BH271" s="375">
        <v>0</v>
      </c>
      <c r="BJ271" s="365">
        <v>0</v>
      </c>
      <c r="BK271" s="370">
        <v>0</v>
      </c>
      <c r="BL271" s="370">
        <v>0</v>
      </c>
      <c r="BM271" s="375">
        <v>0</v>
      </c>
      <c r="BO271" s="365">
        <v>0</v>
      </c>
      <c r="BP271" s="370">
        <v>0</v>
      </c>
      <c r="BQ271" s="370">
        <v>0</v>
      </c>
      <c r="BR271" s="375">
        <v>0</v>
      </c>
      <c r="BT271" s="365">
        <v>0</v>
      </c>
      <c r="BU271" s="370">
        <v>0</v>
      </c>
      <c r="BV271" s="370">
        <v>0</v>
      </c>
      <c r="BW271" s="375">
        <v>0</v>
      </c>
      <c r="BY271" s="365">
        <v>0</v>
      </c>
      <c r="BZ271" s="373">
        <v>300051310.19501489</v>
      </c>
      <c r="CA271" s="375">
        <v>0</v>
      </c>
      <c r="CC271" s="365">
        <v>0</v>
      </c>
      <c r="CD271" s="375">
        <v>0</v>
      </c>
      <c r="CF271" s="365">
        <v>0</v>
      </c>
      <c r="CG271" s="375">
        <v>0</v>
      </c>
      <c r="CI271" s="365">
        <v>0</v>
      </c>
      <c r="CJ271" s="375">
        <v>0</v>
      </c>
    </row>
    <row r="272" spans="7:88">
      <c r="G272" s="417">
        <v>268</v>
      </c>
      <c r="H272" s="251">
        <v>16</v>
      </c>
      <c r="I272" s="377">
        <v>0</v>
      </c>
      <c r="J272" s="368">
        <v>0</v>
      </c>
      <c r="K272" s="368">
        <v>0</v>
      </c>
      <c r="L272" s="369">
        <v>0</v>
      </c>
      <c r="N272" s="367">
        <v>0</v>
      </c>
      <c r="O272" s="370">
        <v>0</v>
      </c>
      <c r="P272" s="370">
        <v>0</v>
      </c>
      <c r="Q272" s="370">
        <v>0</v>
      </c>
      <c r="R272" s="370">
        <v>0</v>
      </c>
      <c r="S272" s="370">
        <v>0</v>
      </c>
      <c r="T272" s="379">
        <v>0</v>
      </c>
      <c r="U272" s="371">
        <v>0</v>
      </c>
      <c r="V272" s="371">
        <v>0</v>
      </c>
      <c r="W272" s="372">
        <v>0</v>
      </c>
      <c r="X272" s="41"/>
      <c r="Y272" s="365">
        <v>0</v>
      </c>
      <c r="Z272" s="370">
        <v>0</v>
      </c>
      <c r="AA272" s="370">
        <v>0</v>
      </c>
      <c r="AB272" s="375">
        <v>0</v>
      </c>
      <c r="AC272" s="41"/>
      <c r="AD272" s="449">
        <v>0</v>
      </c>
      <c r="AE272" s="365">
        <v>0</v>
      </c>
      <c r="AF272" s="375">
        <v>0</v>
      </c>
      <c r="AH272" s="365">
        <v>0</v>
      </c>
      <c r="AI272" s="370">
        <v>0</v>
      </c>
      <c r="AJ272" s="370">
        <v>0</v>
      </c>
      <c r="AK272" s="375">
        <v>0</v>
      </c>
      <c r="AM272" s="365">
        <v>0</v>
      </c>
      <c r="AN272" s="370">
        <v>0</v>
      </c>
      <c r="AO272" s="370">
        <v>0</v>
      </c>
      <c r="AP272" s="375">
        <v>0</v>
      </c>
      <c r="AR272" s="365">
        <v>0</v>
      </c>
      <c r="AS272" s="375">
        <v>0</v>
      </c>
      <c r="AU272" s="378">
        <v>0</v>
      </c>
      <c r="AV272" s="379">
        <v>0</v>
      </c>
      <c r="AW272" s="380">
        <v>0</v>
      </c>
      <c r="AX272" s="381">
        <v>0</v>
      </c>
      <c r="AZ272" s="365">
        <v>0</v>
      </c>
      <c r="BA272" s="370">
        <v>0</v>
      </c>
      <c r="BB272" s="370">
        <v>0</v>
      </c>
      <c r="BC272" s="375">
        <v>0</v>
      </c>
      <c r="BE272" s="365">
        <v>0</v>
      </c>
      <c r="BF272" s="370">
        <v>0</v>
      </c>
      <c r="BG272" s="370">
        <v>0</v>
      </c>
      <c r="BH272" s="375">
        <v>0</v>
      </c>
      <c r="BJ272" s="365">
        <v>0</v>
      </c>
      <c r="BK272" s="370">
        <v>0</v>
      </c>
      <c r="BL272" s="370">
        <v>0</v>
      </c>
      <c r="BM272" s="375">
        <v>0</v>
      </c>
      <c r="BO272" s="365">
        <v>0</v>
      </c>
      <c r="BP272" s="370">
        <v>0</v>
      </c>
      <c r="BQ272" s="370">
        <v>0</v>
      </c>
      <c r="BR272" s="375">
        <v>0</v>
      </c>
      <c r="BT272" s="365">
        <v>0</v>
      </c>
      <c r="BU272" s="370">
        <v>0</v>
      </c>
      <c r="BV272" s="370">
        <v>0</v>
      </c>
      <c r="BW272" s="375">
        <v>0</v>
      </c>
      <c r="BY272" s="365">
        <v>0</v>
      </c>
      <c r="BZ272" s="373">
        <v>300051310.19501489</v>
      </c>
      <c r="CA272" s="375">
        <v>0</v>
      </c>
      <c r="CC272" s="365">
        <v>0</v>
      </c>
      <c r="CD272" s="375">
        <v>0</v>
      </c>
      <c r="CF272" s="365">
        <v>0</v>
      </c>
      <c r="CG272" s="375">
        <v>0</v>
      </c>
      <c r="CI272" s="365">
        <v>0</v>
      </c>
      <c r="CJ272" s="375">
        <v>0</v>
      </c>
    </row>
    <row r="273" spans="7:88">
      <c r="G273" s="417">
        <v>269</v>
      </c>
      <c r="H273" s="251">
        <v>16</v>
      </c>
      <c r="I273" s="377">
        <v>0</v>
      </c>
      <c r="J273" s="368">
        <v>0</v>
      </c>
      <c r="K273" s="368">
        <v>0</v>
      </c>
      <c r="L273" s="369">
        <v>0</v>
      </c>
      <c r="N273" s="367">
        <v>0</v>
      </c>
      <c r="O273" s="370">
        <v>0</v>
      </c>
      <c r="P273" s="370">
        <v>0</v>
      </c>
      <c r="Q273" s="370">
        <v>0</v>
      </c>
      <c r="R273" s="370">
        <v>0</v>
      </c>
      <c r="S273" s="370">
        <v>0</v>
      </c>
      <c r="T273" s="379">
        <v>0</v>
      </c>
      <c r="U273" s="371">
        <v>0</v>
      </c>
      <c r="V273" s="371">
        <v>0</v>
      </c>
      <c r="W273" s="372">
        <v>0</v>
      </c>
      <c r="X273" s="41"/>
      <c r="Y273" s="365">
        <v>0</v>
      </c>
      <c r="Z273" s="370">
        <v>0</v>
      </c>
      <c r="AA273" s="370">
        <v>0</v>
      </c>
      <c r="AB273" s="375">
        <v>0</v>
      </c>
      <c r="AC273" s="41"/>
      <c r="AD273" s="449">
        <v>0</v>
      </c>
      <c r="AE273" s="365">
        <v>0</v>
      </c>
      <c r="AF273" s="375">
        <v>0</v>
      </c>
      <c r="AH273" s="365">
        <v>0</v>
      </c>
      <c r="AI273" s="370">
        <v>0</v>
      </c>
      <c r="AJ273" s="370">
        <v>0</v>
      </c>
      <c r="AK273" s="375">
        <v>0</v>
      </c>
      <c r="AM273" s="365">
        <v>0</v>
      </c>
      <c r="AN273" s="370">
        <v>0</v>
      </c>
      <c r="AO273" s="370">
        <v>0</v>
      </c>
      <c r="AP273" s="375">
        <v>0</v>
      </c>
      <c r="AR273" s="365">
        <v>0</v>
      </c>
      <c r="AS273" s="375">
        <v>0</v>
      </c>
      <c r="AU273" s="378">
        <v>0</v>
      </c>
      <c r="AV273" s="379">
        <v>0</v>
      </c>
      <c r="AW273" s="380">
        <v>0</v>
      </c>
      <c r="AX273" s="381">
        <v>0</v>
      </c>
      <c r="AZ273" s="365">
        <v>0</v>
      </c>
      <c r="BA273" s="370">
        <v>0</v>
      </c>
      <c r="BB273" s="370">
        <v>0</v>
      </c>
      <c r="BC273" s="375">
        <v>0</v>
      </c>
      <c r="BE273" s="365">
        <v>0</v>
      </c>
      <c r="BF273" s="370">
        <v>0</v>
      </c>
      <c r="BG273" s="370">
        <v>0</v>
      </c>
      <c r="BH273" s="375">
        <v>0</v>
      </c>
      <c r="BJ273" s="365">
        <v>0</v>
      </c>
      <c r="BK273" s="370">
        <v>0</v>
      </c>
      <c r="BL273" s="370">
        <v>0</v>
      </c>
      <c r="BM273" s="375">
        <v>0</v>
      </c>
      <c r="BO273" s="365">
        <v>0</v>
      </c>
      <c r="BP273" s="370">
        <v>0</v>
      </c>
      <c r="BQ273" s="370">
        <v>0</v>
      </c>
      <c r="BR273" s="375">
        <v>0</v>
      </c>
      <c r="BT273" s="365">
        <v>0</v>
      </c>
      <c r="BU273" s="370">
        <v>0</v>
      </c>
      <c r="BV273" s="370">
        <v>0</v>
      </c>
      <c r="BW273" s="375">
        <v>0</v>
      </c>
      <c r="BY273" s="365">
        <v>0</v>
      </c>
      <c r="BZ273" s="373">
        <v>300051310.19501489</v>
      </c>
      <c r="CA273" s="375">
        <v>0</v>
      </c>
      <c r="CC273" s="365">
        <v>0</v>
      </c>
      <c r="CD273" s="375">
        <v>0</v>
      </c>
      <c r="CF273" s="365">
        <v>0</v>
      </c>
      <c r="CG273" s="375">
        <v>0</v>
      </c>
      <c r="CI273" s="365">
        <v>0</v>
      </c>
      <c r="CJ273" s="375">
        <v>0</v>
      </c>
    </row>
    <row r="274" spans="7:88">
      <c r="G274" s="417">
        <v>270</v>
      </c>
      <c r="H274" s="251">
        <v>16</v>
      </c>
      <c r="I274" s="377">
        <v>0</v>
      </c>
      <c r="J274" s="368">
        <v>0</v>
      </c>
      <c r="K274" s="368">
        <v>0</v>
      </c>
      <c r="L274" s="369">
        <v>0</v>
      </c>
      <c r="N274" s="367">
        <v>0</v>
      </c>
      <c r="O274" s="370">
        <v>0</v>
      </c>
      <c r="P274" s="370">
        <v>0</v>
      </c>
      <c r="Q274" s="370">
        <v>0</v>
      </c>
      <c r="R274" s="370">
        <v>0</v>
      </c>
      <c r="S274" s="370">
        <v>0</v>
      </c>
      <c r="T274" s="379">
        <v>0</v>
      </c>
      <c r="U274" s="371">
        <v>0</v>
      </c>
      <c r="V274" s="371">
        <v>0</v>
      </c>
      <c r="W274" s="372">
        <v>0</v>
      </c>
      <c r="X274" s="41"/>
      <c r="Y274" s="365">
        <v>0</v>
      </c>
      <c r="Z274" s="370">
        <v>0</v>
      </c>
      <c r="AA274" s="370">
        <v>0</v>
      </c>
      <c r="AB274" s="375">
        <v>0</v>
      </c>
      <c r="AC274" s="41"/>
      <c r="AD274" s="449">
        <v>0</v>
      </c>
      <c r="AE274" s="365">
        <v>0</v>
      </c>
      <c r="AF274" s="375">
        <v>0</v>
      </c>
      <c r="AH274" s="365">
        <v>0</v>
      </c>
      <c r="AI274" s="370">
        <v>0</v>
      </c>
      <c r="AJ274" s="370">
        <v>0</v>
      </c>
      <c r="AK274" s="375">
        <v>0</v>
      </c>
      <c r="AM274" s="365">
        <v>0</v>
      </c>
      <c r="AN274" s="370">
        <v>0</v>
      </c>
      <c r="AO274" s="370">
        <v>0</v>
      </c>
      <c r="AP274" s="375">
        <v>0</v>
      </c>
      <c r="AR274" s="365">
        <v>0</v>
      </c>
      <c r="AS274" s="375">
        <v>0</v>
      </c>
      <c r="AU274" s="378">
        <v>0</v>
      </c>
      <c r="AV274" s="379">
        <v>0</v>
      </c>
      <c r="AW274" s="380">
        <v>0</v>
      </c>
      <c r="AX274" s="381">
        <v>0</v>
      </c>
      <c r="AZ274" s="365">
        <v>0</v>
      </c>
      <c r="BA274" s="370">
        <v>0</v>
      </c>
      <c r="BB274" s="370">
        <v>0</v>
      </c>
      <c r="BC274" s="375">
        <v>0</v>
      </c>
      <c r="BE274" s="365">
        <v>0</v>
      </c>
      <c r="BF274" s="370">
        <v>0</v>
      </c>
      <c r="BG274" s="370">
        <v>0</v>
      </c>
      <c r="BH274" s="375">
        <v>0</v>
      </c>
      <c r="BJ274" s="365">
        <v>0</v>
      </c>
      <c r="BK274" s="370">
        <v>0</v>
      </c>
      <c r="BL274" s="370">
        <v>0</v>
      </c>
      <c r="BM274" s="375">
        <v>0</v>
      </c>
      <c r="BO274" s="365">
        <v>0</v>
      </c>
      <c r="BP274" s="370">
        <v>0</v>
      </c>
      <c r="BQ274" s="370">
        <v>0</v>
      </c>
      <c r="BR274" s="375">
        <v>0</v>
      </c>
      <c r="BT274" s="365">
        <v>0</v>
      </c>
      <c r="BU274" s="370">
        <v>0</v>
      </c>
      <c r="BV274" s="370">
        <v>0</v>
      </c>
      <c r="BW274" s="375">
        <v>0</v>
      </c>
      <c r="BY274" s="365">
        <v>0</v>
      </c>
      <c r="BZ274" s="373">
        <v>300051310.19501489</v>
      </c>
      <c r="CA274" s="375">
        <v>0</v>
      </c>
      <c r="CC274" s="365">
        <v>0</v>
      </c>
      <c r="CD274" s="375">
        <v>0</v>
      </c>
      <c r="CF274" s="365">
        <v>0</v>
      </c>
      <c r="CG274" s="375">
        <v>0</v>
      </c>
      <c r="CI274" s="365">
        <v>0</v>
      </c>
      <c r="CJ274" s="375">
        <v>0</v>
      </c>
    </row>
    <row r="275" spans="7:88">
      <c r="G275" s="417">
        <v>271</v>
      </c>
      <c r="H275" s="251">
        <v>16</v>
      </c>
      <c r="I275" s="377">
        <v>0</v>
      </c>
      <c r="J275" s="368">
        <v>0</v>
      </c>
      <c r="K275" s="368">
        <v>0</v>
      </c>
      <c r="L275" s="369">
        <v>0</v>
      </c>
      <c r="N275" s="367">
        <v>0</v>
      </c>
      <c r="O275" s="370">
        <v>0</v>
      </c>
      <c r="P275" s="370">
        <v>0</v>
      </c>
      <c r="Q275" s="370">
        <v>0</v>
      </c>
      <c r="R275" s="370">
        <v>0</v>
      </c>
      <c r="S275" s="370">
        <v>0</v>
      </c>
      <c r="T275" s="379">
        <v>0</v>
      </c>
      <c r="U275" s="371">
        <v>0</v>
      </c>
      <c r="V275" s="371">
        <v>0</v>
      </c>
      <c r="W275" s="372">
        <v>0</v>
      </c>
      <c r="X275" s="41"/>
      <c r="Y275" s="365">
        <v>0</v>
      </c>
      <c r="Z275" s="370">
        <v>0</v>
      </c>
      <c r="AA275" s="370">
        <v>0</v>
      </c>
      <c r="AB275" s="375">
        <v>0</v>
      </c>
      <c r="AC275" s="41"/>
      <c r="AD275" s="449">
        <v>0</v>
      </c>
      <c r="AE275" s="365">
        <v>0</v>
      </c>
      <c r="AF275" s="375">
        <v>0</v>
      </c>
      <c r="AH275" s="365">
        <v>0</v>
      </c>
      <c r="AI275" s="370">
        <v>0</v>
      </c>
      <c r="AJ275" s="370">
        <v>0</v>
      </c>
      <c r="AK275" s="375">
        <v>0</v>
      </c>
      <c r="AM275" s="365">
        <v>0</v>
      </c>
      <c r="AN275" s="370">
        <v>0</v>
      </c>
      <c r="AO275" s="370">
        <v>0</v>
      </c>
      <c r="AP275" s="375">
        <v>0</v>
      </c>
      <c r="AR275" s="365">
        <v>0</v>
      </c>
      <c r="AS275" s="375">
        <v>0</v>
      </c>
      <c r="AU275" s="378">
        <v>0</v>
      </c>
      <c r="AV275" s="379">
        <v>0</v>
      </c>
      <c r="AW275" s="380">
        <v>0</v>
      </c>
      <c r="AX275" s="381">
        <v>0</v>
      </c>
      <c r="AZ275" s="365">
        <v>0</v>
      </c>
      <c r="BA275" s="370">
        <v>0</v>
      </c>
      <c r="BB275" s="370">
        <v>0</v>
      </c>
      <c r="BC275" s="375">
        <v>0</v>
      </c>
      <c r="BE275" s="365">
        <v>0</v>
      </c>
      <c r="BF275" s="370">
        <v>0</v>
      </c>
      <c r="BG275" s="370">
        <v>0</v>
      </c>
      <c r="BH275" s="375">
        <v>0</v>
      </c>
      <c r="BJ275" s="365">
        <v>0</v>
      </c>
      <c r="BK275" s="370">
        <v>0</v>
      </c>
      <c r="BL275" s="370">
        <v>0</v>
      </c>
      <c r="BM275" s="375">
        <v>0</v>
      </c>
      <c r="BO275" s="365">
        <v>0</v>
      </c>
      <c r="BP275" s="370">
        <v>0</v>
      </c>
      <c r="BQ275" s="370">
        <v>0</v>
      </c>
      <c r="BR275" s="375">
        <v>0</v>
      </c>
      <c r="BT275" s="365">
        <v>0</v>
      </c>
      <c r="BU275" s="370">
        <v>0</v>
      </c>
      <c r="BV275" s="370">
        <v>0</v>
      </c>
      <c r="BW275" s="375">
        <v>0</v>
      </c>
      <c r="BY275" s="365">
        <v>0</v>
      </c>
      <c r="BZ275" s="373">
        <v>300051310.19501489</v>
      </c>
      <c r="CA275" s="375">
        <v>0</v>
      </c>
      <c r="CC275" s="365">
        <v>0</v>
      </c>
      <c r="CD275" s="375">
        <v>0</v>
      </c>
      <c r="CF275" s="365">
        <v>0</v>
      </c>
      <c r="CG275" s="375">
        <v>0</v>
      </c>
      <c r="CI275" s="365">
        <v>0</v>
      </c>
      <c r="CJ275" s="375">
        <v>0</v>
      </c>
    </row>
    <row r="276" spans="7:88">
      <c r="G276" s="417">
        <v>272</v>
      </c>
      <c r="H276" s="251">
        <v>16</v>
      </c>
      <c r="I276" s="377">
        <v>0</v>
      </c>
      <c r="J276" s="368">
        <v>0</v>
      </c>
      <c r="K276" s="368">
        <v>0</v>
      </c>
      <c r="L276" s="369">
        <v>0</v>
      </c>
      <c r="N276" s="367">
        <v>0</v>
      </c>
      <c r="O276" s="370">
        <v>0</v>
      </c>
      <c r="P276" s="370">
        <v>0</v>
      </c>
      <c r="Q276" s="370">
        <v>0</v>
      </c>
      <c r="R276" s="370">
        <v>0</v>
      </c>
      <c r="S276" s="370">
        <v>0</v>
      </c>
      <c r="T276" s="379">
        <v>0</v>
      </c>
      <c r="U276" s="371">
        <v>0</v>
      </c>
      <c r="V276" s="371">
        <v>0</v>
      </c>
      <c r="W276" s="372">
        <v>0</v>
      </c>
      <c r="X276" s="41"/>
      <c r="Y276" s="365">
        <v>0</v>
      </c>
      <c r="Z276" s="370">
        <v>0</v>
      </c>
      <c r="AA276" s="370">
        <v>0</v>
      </c>
      <c r="AB276" s="375">
        <v>0</v>
      </c>
      <c r="AC276" s="41"/>
      <c r="AD276" s="449">
        <v>0</v>
      </c>
      <c r="AE276" s="365">
        <v>0</v>
      </c>
      <c r="AF276" s="375">
        <v>0</v>
      </c>
      <c r="AH276" s="365">
        <v>0</v>
      </c>
      <c r="AI276" s="370">
        <v>0</v>
      </c>
      <c r="AJ276" s="370">
        <v>0</v>
      </c>
      <c r="AK276" s="375">
        <v>0</v>
      </c>
      <c r="AM276" s="365">
        <v>0</v>
      </c>
      <c r="AN276" s="370">
        <v>0</v>
      </c>
      <c r="AO276" s="370">
        <v>0</v>
      </c>
      <c r="AP276" s="375">
        <v>0</v>
      </c>
      <c r="AR276" s="365">
        <v>0</v>
      </c>
      <c r="AS276" s="375">
        <v>0</v>
      </c>
      <c r="AU276" s="378">
        <v>0</v>
      </c>
      <c r="AV276" s="379">
        <v>0</v>
      </c>
      <c r="AW276" s="380">
        <v>0</v>
      </c>
      <c r="AX276" s="381">
        <v>0</v>
      </c>
      <c r="AZ276" s="365">
        <v>0</v>
      </c>
      <c r="BA276" s="370">
        <v>0</v>
      </c>
      <c r="BB276" s="370">
        <v>0</v>
      </c>
      <c r="BC276" s="375">
        <v>0</v>
      </c>
      <c r="BE276" s="365">
        <v>0</v>
      </c>
      <c r="BF276" s="370">
        <v>0</v>
      </c>
      <c r="BG276" s="370">
        <v>0</v>
      </c>
      <c r="BH276" s="375">
        <v>0</v>
      </c>
      <c r="BJ276" s="365">
        <v>0</v>
      </c>
      <c r="BK276" s="370">
        <v>0</v>
      </c>
      <c r="BL276" s="370">
        <v>0</v>
      </c>
      <c r="BM276" s="375">
        <v>0</v>
      </c>
      <c r="BO276" s="365">
        <v>0</v>
      </c>
      <c r="BP276" s="370">
        <v>0</v>
      </c>
      <c r="BQ276" s="370">
        <v>0</v>
      </c>
      <c r="BR276" s="375">
        <v>0</v>
      </c>
      <c r="BT276" s="365">
        <v>0</v>
      </c>
      <c r="BU276" s="370">
        <v>0</v>
      </c>
      <c r="BV276" s="370">
        <v>0</v>
      </c>
      <c r="BW276" s="375">
        <v>0</v>
      </c>
      <c r="BY276" s="365">
        <v>0</v>
      </c>
      <c r="BZ276" s="373">
        <v>300051310.19501489</v>
      </c>
      <c r="CA276" s="375">
        <v>0</v>
      </c>
      <c r="CC276" s="365">
        <v>0</v>
      </c>
      <c r="CD276" s="375">
        <v>0</v>
      </c>
      <c r="CF276" s="365">
        <v>0</v>
      </c>
      <c r="CG276" s="375">
        <v>0</v>
      </c>
      <c r="CI276" s="365">
        <v>0</v>
      </c>
      <c r="CJ276" s="375">
        <v>0</v>
      </c>
    </row>
    <row r="277" spans="7:88">
      <c r="G277" s="417">
        <v>273</v>
      </c>
      <c r="H277" s="251">
        <v>16</v>
      </c>
      <c r="I277" s="377">
        <v>0</v>
      </c>
      <c r="J277" s="368">
        <v>0</v>
      </c>
      <c r="K277" s="368">
        <v>0</v>
      </c>
      <c r="L277" s="369">
        <v>0</v>
      </c>
      <c r="N277" s="367">
        <v>0</v>
      </c>
      <c r="O277" s="370">
        <v>0</v>
      </c>
      <c r="P277" s="370">
        <v>0</v>
      </c>
      <c r="Q277" s="370">
        <v>0</v>
      </c>
      <c r="R277" s="370">
        <v>0</v>
      </c>
      <c r="S277" s="370">
        <v>0</v>
      </c>
      <c r="T277" s="379">
        <v>0</v>
      </c>
      <c r="U277" s="371">
        <v>0</v>
      </c>
      <c r="V277" s="371">
        <v>0</v>
      </c>
      <c r="W277" s="372">
        <v>0</v>
      </c>
      <c r="X277" s="41"/>
      <c r="Y277" s="365">
        <v>0</v>
      </c>
      <c r="Z277" s="370">
        <v>0</v>
      </c>
      <c r="AA277" s="370">
        <v>0</v>
      </c>
      <c r="AB277" s="375">
        <v>0</v>
      </c>
      <c r="AC277" s="41"/>
      <c r="AD277" s="449">
        <v>0</v>
      </c>
      <c r="AE277" s="365">
        <v>0</v>
      </c>
      <c r="AF277" s="375">
        <v>0</v>
      </c>
      <c r="AH277" s="365">
        <v>0</v>
      </c>
      <c r="AI277" s="370">
        <v>0</v>
      </c>
      <c r="AJ277" s="370">
        <v>0</v>
      </c>
      <c r="AK277" s="375">
        <v>0</v>
      </c>
      <c r="AM277" s="365">
        <v>0</v>
      </c>
      <c r="AN277" s="370">
        <v>0</v>
      </c>
      <c r="AO277" s="370">
        <v>0</v>
      </c>
      <c r="AP277" s="375">
        <v>0</v>
      </c>
      <c r="AR277" s="365">
        <v>0</v>
      </c>
      <c r="AS277" s="375">
        <v>0</v>
      </c>
      <c r="AU277" s="378">
        <v>0</v>
      </c>
      <c r="AV277" s="379">
        <v>0</v>
      </c>
      <c r="AW277" s="380">
        <v>0</v>
      </c>
      <c r="AX277" s="381">
        <v>0</v>
      </c>
      <c r="AZ277" s="365">
        <v>0</v>
      </c>
      <c r="BA277" s="370">
        <v>0</v>
      </c>
      <c r="BB277" s="370">
        <v>0</v>
      </c>
      <c r="BC277" s="375">
        <v>0</v>
      </c>
      <c r="BE277" s="365">
        <v>0</v>
      </c>
      <c r="BF277" s="370">
        <v>0</v>
      </c>
      <c r="BG277" s="370">
        <v>0</v>
      </c>
      <c r="BH277" s="375">
        <v>0</v>
      </c>
      <c r="BJ277" s="365">
        <v>0</v>
      </c>
      <c r="BK277" s="370">
        <v>0</v>
      </c>
      <c r="BL277" s="370">
        <v>0</v>
      </c>
      <c r="BM277" s="375">
        <v>0</v>
      </c>
      <c r="BO277" s="365">
        <v>0</v>
      </c>
      <c r="BP277" s="370">
        <v>0</v>
      </c>
      <c r="BQ277" s="370">
        <v>0</v>
      </c>
      <c r="BR277" s="375">
        <v>0</v>
      </c>
      <c r="BT277" s="365">
        <v>0</v>
      </c>
      <c r="BU277" s="370">
        <v>0</v>
      </c>
      <c r="BV277" s="370">
        <v>0</v>
      </c>
      <c r="BW277" s="375">
        <v>0</v>
      </c>
      <c r="BY277" s="365">
        <v>0</v>
      </c>
      <c r="BZ277" s="373">
        <v>300051310.19501489</v>
      </c>
      <c r="CA277" s="375">
        <v>0</v>
      </c>
      <c r="CC277" s="365">
        <v>0</v>
      </c>
      <c r="CD277" s="375">
        <v>0</v>
      </c>
      <c r="CF277" s="365">
        <v>0</v>
      </c>
      <c r="CG277" s="375">
        <v>0</v>
      </c>
      <c r="CI277" s="365">
        <v>0</v>
      </c>
      <c r="CJ277" s="375">
        <v>0</v>
      </c>
    </row>
    <row r="278" spans="7:88">
      <c r="G278" s="417">
        <v>274</v>
      </c>
      <c r="H278" s="251">
        <v>16</v>
      </c>
      <c r="I278" s="377">
        <v>0</v>
      </c>
      <c r="J278" s="368">
        <v>0</v>
      </c>
      <c r="K278" s="368">
        <v>0</v>
      </c>
      <c r="L278" s="369">
        <v>0</v>
      </c>
      <c r="N278" s="367">
        <v>0</v>
      </c>
      <c r="O278" s="370">
        <v>0</v>
      </c>
      <c r="P278" s="370">
        <v>0</v>
      </c>
      <c r="Q278" s="370">
        <v>0</v>
      </c>
      <c r="R278" s="370">
        <v>0</v>
      </c>
      <c r="S278" s="370">
        <v>0</v>
      </c>
      <c r="T278" s="379">
        <v>0</v>
      </c>
      <c r="U278" s="371">
        <v>0</v>
      </c>
      <c r="V278" s="371">
        <v>0</v>
      </c>
      <c r="W278" s="372">
        <v>0</v>
      </c>
      <c r="X278" s="41"/>
      <c r="Y278" s="365">
        <v>0</v>
      </c>
      <c r="Z278" s="370">
        <v>0</v>
      </c>
      <c r="AA278" s="370">
        <v>0</v>
      </c>
      <c r="AB278" s="375">
        <v>0</v>
      </c>
      <c r="AC278" s="41"/>
      <c r="AD278" s="449">
        <v>0</v>
      </c>
      <c r="AE278" s="365">
        <v>0</v>
      </c>
      <c r="AF278" s="375">
        <v>0</v>
      </c>
      <c r="AH278" s="365">
        <v>0</v>
      </c>
      <c r="AI278" s="370">
        <v>0</v>
      </c>
      <c r="AJ278" s="370">
        <v>0</v>
      </c>
      <c r="AK278" s="375">
        <v>0</v>
      </c>
      <c r="AM278" s="365">
        <v>0</v>
      </c>
      <c r="AN278" s="370">
        <v>0</v>
      </c>
      <c r="AO278" s="370">
        <v>0</v>
      </c>
      <c r="AP278" s="375">
        <v>0</v>
      </c>
      <c r="AR278" s="365">
        <v>0</v>
      </c>
      <c r="AS278" s="375">
        <v>0</v>
      </c>
      <c r="AU278" s="378">
        <v>0</v>
      </c>
      <c r="AV278" s="379">
        <v>0</v>
      </c>
      <c r="AW278" s="380">
        <v>0</v>
      </c>
      <c r="AX278" s="381">
        <v>0</v>
      </c>
      <c r="AZ278" s="365">
        <v>0</v>
      </c>
      <c r="BA278" s="370">
        <v>0</v>
      </c>
      <c r="BB278" s="370">
        <v>0</v>
      </c>
      <c r="BC278" s="375">
        <v>0</v>
      </c>
      <c r="BE278" s="365">
        <v>0</v>
      </c>
      <c r="BF278" s="370">
        <v>0</v>
      </c>
      <c r="BG278" s="370">
        <v>0</v>
      </c>
      <c r="BH278" s="375">
        <v>0</v>
      </c>
      <c r="BJ278" s="365">
        <v>0</v>
      </c>
      <c r="BK278" s="370">
        <v>0</v>
      </c>
      <c r="BL278" s="370">
        <v>0</v>
      </c>
      <c r="BM278" s="375">
        <v>0</v>
      </c>
      <c r="BO278" s="365">
        <v>0</v>
      </c>
      <c r="BP278" s="370">
        <v>0</v>
      </c>
      <c r="BQ278" s="370">
        <v>0</v>
      </c>
      <c r="BR278" s="375">
        <v>0</v>
      </c>
      <c r="BT278" s="365">
        <v>0</v>
      </c>
      <c r="BU278" s="370">
        <v>0</v>
      </c>
      <c r="BV278" s="370">
        <v>0</v>
      </c>
      <c r="BW278" s="375">
        <v>0</v>
      </c>
      <c r="BY278" s="365">
        <v>0</v>
      </c>
      <c r="BZ278" s="373">
        <v>300051310.19501489</v>
      </c>
      <c r="CA278" s="375">
        <v>0</v>
      </c>
      <c r="CC278" s="365">
        <v>0</v>
      </c>
      <c r="CD278" s="375">
        <v>0</v>
      </c>
      <c r="CF278" s="365">
        <v>0</v>
      </c>
      <c r="CG278" s="375">
        <v>0</v>
      </c>
      <c r="CI278" s="365">
        <v>0</v>
      </c>
      <c r="CJ278" s="375">
        <v>0</v>
      </c>
    </row>
    <row r="279" spans="7:88">
      <c r="G279" s="417">
        <v>275</v>
      </c>
      <c r="H279" s="251">
        <v>16</v>
      </c>
      <c r="I279" s="377">
        <v>0</v>
      </c>
      <c r="J279" s="368">
        <v>0</v>
      </c>
      <c r="K279" s="368">
        <v>0</v>
      </c>
      <c r="L279" s="369">
        <v>0</v>
      </c>
      <c r="N279" s="367">
        <v>0</v>
      </c>
      <c r="O279" s="370">
        <v>0</v>
      </c>
      <c r="P279" s="370">
        <v>0</v>
      </c>
      <c r="Q279" s="370">
        <v>0</v>
      </c>
      <c r="R279" s="370">
        <v>0</v>
      </c>
      <c r="S279" s="370">
        <v>0</v>
      </c>
      <c r="T279" s="379">
        <v>0</v>
      </c>
      <c r="U279" s="371">
        <v>0</v>
      </c>
      <c r="V279" s="371">
        <v>0</v>
      </c>
      <c r="W279" s="372">
        <v>0</v>
      </c>
      <c r="X279" s="41"/>
      <c r="Y279" s="365">
        <v>0</v>
      </c>
      <c r="Z279" s="370">
        <v>0</v>
      </c>
      <c r="AA279" s="370">
        <v>0</v>
      </c>
      <c r="AB279" s="375">
        <v>0</v>
      </c>
      <c r="AC279" s="41"/>
      <c r="AD279" s="449">
        <v>0</v>
      </c>
      <c r="AE279" s="365">
        <v>0</v>
      </c>
      <c r="AF279" s="375">
        <v>0</v>
      </c>
      <c r="AH279" s="365">
        <v>0</v>
      </c>
      <c r="AI279" s="370">
        <v>0</v>
      </c>
      <c r="AJ279" s="370">
        <v>0</v>
      </c>
      <c r="AK279" s="375">
        <v>0</v>
      </c>
      <c r="AM279" s="365">
        <v>0</v>
      </c>
      <c r="AN279" s="370">
        <v>0</v>
      </c>
      <c r="AO279" s="370">
        <v>0</v>
      </c>
      <c r="AP279" s="375">
        <v>0</v>
      </c>
      <c r="AR279" s="365">
        <v>0</v>
      </c>
      <c r="AS279" s="375">
        <v>0</v>
      </c>
      <c r="AU279" s="378">
        <v>0</v>
      </c>
      <c r="AV279" s="379">
        <v>0</v>
      </c>
      <c r="AW279" s="380">
        <v>0</v>
      </c>
      <c r="AX279" s="381">
        <v>0</v>
      </c>
      <c r="AZ279" s="365">
        <v>0</v>
      </c>
      <c r="BA279" s="370">
        <v>0</v>
      </c>
      <c r="BB279" s="370">
        <v>0</v>
      </c>
      <c r="BC279" s="375">
        <v>0</v>
      </c>
      <c r="BE279" s="365">
        <v>0</v>
      </c>
      <c r="BF279" s="370">
        <v>0</v>
      </c>
      <c r="BG279" s="370">
        <v>0</v>
      </c>
      <c r="BH279" s="375">
        <v>0</v>
      </c>
      <c r="BJ279" s="365">
        <v>0</v>
      </c>
      <c r="BK279" s="370">
        <v>0</v>
      </c>
      <c r="BL279" s="370">
        <v>0</v>
      </c>
      <c r="BM279" s="375">
        <v>0</v>
      </c>
      <c r="BO279" s="365">
        <v>0</v>
      </c>
      <c r="BP279" s="370">
        <v>0</v>
      </c>
      <c r="BQ279" s="370">
        <v>0</v>
      </c>
      <c r="BR279" s="375">
        <v>0</v>
      </c>
      <c r="BT279" s="365">
        <v>0</v>
      </c>
      <c r="BU279" s="370">
        <v>0</v>
      </c>
      <c r="BV279" s="370">
        <v>0</v>
      </c>
      <c r="BW279" s="375">
        <v>0</v>
      </c>
      <c r="BY279" s="365">
        <v>0</v>
      </c>
      <c r="BZ279" s="373">
        <v>300051310.19501489</v>
      </c>
      <c r="CA279" s="375">
        <v>0</v>
      </c>
      <c r="CC279" s="365">
        <v>0</v>
      </c>
      <c r="CD279" s="375">
        <v>0</v>
      </c>
      <c r="CF279" s="365">
        <v>0</v>
      </c>
      <c r="CG279" s="375">
        <v>0</v>
      </c>
      <c r="CI279" s="365">
        <v>0</v>
      </c>
      <c r="CJ279" s="375">
        <v>0</v>
      </c>
    </row>
    <row r="280" spans="7:88">
      <c r="G280" s="417">
        <v>276</v>
      </c>
      <c r="H280" s="251">
        <v>16</v>
      </c>
      <c r="I280" s="377">
        <v>0</v>
      </c>
      <c r="J280" s="368">
        <v>0</v>
      </c>
      <c r="K280" s="368">
        <v>0</v>
      </c>
      <c r="L280" s="369">
        <v>0</v>
      </c>
      <c r="N280" s="367">
        <v>0</v>
      </c>
      <c r="O280" s="370">
        <v>0</v>
      </c>
      <c r="P280" s="370">
        <v>0</v>
      </c>
      <c r="Q280" s="370">
        <v>0</v>
      </c>
      <c r="R280" s="370">
        <v>0</v>
      </c>
      <c r="S280" s="370">
        <v>0</v>
      </c>
      <c r="T280" s="379">
        <v>0</v>
      </c>
      <c r="U280" s="371">
        <v>0</v>
      </c>
      <c r="V280" s="371">
        <v>0</v>
      </c>
      <c r="W280" s="372">
        <v>0</v>
      </c>
      <c r="X280" s="41"/>
      <c r="Y280" s="365">
        <v>0</v>
      </c>
      <c r="Z280" s="370">
        <v>0</v>
      </c>
      <c r="AA280" s="370">
        <v>0</v>
      </c>
      <c r="AB280" s="375">
        <v>0</v>
      </c>
      <c r="AC280" s="41"/>
      <c r="AD280" s="449">
        <v>0</v>
      </c>
      <c r="AE280" s="365">
        <v>0</v>
      </c>
      <c r="AF280" s="375">
        <v>0</v>
      </c>
      <c r="AH280" s="365">
        <v>0</v>
      </c>
      <c r="AI280" s="370">
        <v>0</v>
      </c>
      <c r="AJ280" s="370">
        <v>0</v>
      </c>
      <c r="AK280" s="375">
        <v>0</v>
      </c>
      <c r="AM280" s="365">
        <v>0</v>
      </c>
      <c r="AN280" s="370">
        <v>0</v>
      </c>
      <c r="AO280" s="370">
        <v>0</v>
      </c>
      <c r="AP280" s="375">
        <v>0</v>
      </c>
      <c r="AR280" s="365">
        <v>0</v>
      </c>
      <c r="AS280" s="375">
        <v>0</v>
      </c>
      <c r="AU280" s="378">
        <v>0</v>
      </c>
      <c r="AV280" s="379">
        <v>0</v>
      </c>
      <c r="AW280" s="380">
        <v>0</v>
      </c>
      <c r="AX280" s="381">
        <v>0</v>
      </c>
      <c r="AZ280" s="365">
        <v>0</v>
      </c>
      <c r="BA280" s="370">
        <v>0</v>
      </c>
      <c r="BB280" s="370">
        <v>0</v>
      </c>
      <c r="BC280" s="375">
        <v>0</v>
      </c>
      <c r="BE280" s="365">
        <v>0</v>
      </c>
      <c r="BF280" s="370">
        <v>0</v>
      </c>
      <c r="BG280" s="370">
        <v>0</v>
      </c>
      <c r="BH280" s="375">
        <v>0</v>
      </c>
      <c r="BJ280" s="365">
        <v>0</v>
      </c>
      <c r="BK280" s="370">
        <v>0</v>
      </c>
      <c r="BL280" s="370">
        <v>0</v>
      </c>
      <c r="BM280" s="375">
        <v>0</v>
      </c>
      <c r="BO280" s="365">
        <v>0</v>
      </c>
      <c r="BP280" s="370">
        <v>0</v>
      </c>
      <c r="BQ280" s="370">
        <v>0</v>
      </c>
      <c r="BR280" s="375">
        <v>0</v>
      </c>
      <c r="BT280" s="365">
        <v>0</v>
      </c>
      <c r="BU280" s="370">
        <v>0</v>
      </c>
      <c r="BV280" s="370">
        <v>0</v>
      </c>
      <c r="BW280" s="375">
        <v>0</v>
      </c>
      <c r="BY280" s="365">
        <v>0</v>
      </c>
      <c r="BZ280" s="373">
        <v>300051310.19501489</v>
      </c>
      <c r="CA280" s="375">
        <v>0</v>
      </c>
      <c r="CC280" s="365">
        <v>0</v>
      </c>
      <c r="CD280" s="375">
        <v>0</v>
      </c>
      <c r="CF280" s="365">
        <v>0</v>
      </c>
      <c r="CG280" s="375">
        <v>0</v>
      </c>
      <c r="CI280" s="365">
        <v>0</v>
      </c>
      <c r="CJ280" s="375">
        <v>0</v>
      </c>
    </row>
    <row r="281" spans="7:88">
      <c r="G281" s="417">
        <v>277</v>
      </c>
      <c r="H281" s="251">
        <v>16</v>
      </c>
      <c r="I281" s="377">
        <v>0</v>
      </c>
      <c r="J281" s="368">
        <v>0</v>
      </c>
      <c r="K281" s="368">
        <v>0</v>
      </c>
      <c r="L281" s="369">
        <v>0</v>
      </c>
      <c r="N281" s="367">
        <v>0</v>
      </c>
      <c r="O281" s="370">
        <v>0</v>
      </c>
      <c r="P281" s="370">
        <v>0</v>
      </c>
      <c r="Q281" s="370">
        <v>0</v>
      </c>
      <c r="R281" s="370">
        <v>0</v>
      </c>
      <c r="S281" s="370">
        <v>0</v>
      </c>
      <c r="T281" s="379">
        <v>0</v>
      </c>
      <c r="U281" s="371">
        <v>0</v>
      </c>
      <c r="V281" s="371">
        <v>0</v>
      </c>
      <c r="W281" s="372">
        <v>0</v>
      </c>
      <c r="X281" s="41"/>
      <c r="Y281" s="365">
        <v>0</v>
      </c>
      <c r="Z281" s="370">
        <v>0</v>
      </c>
      <c r="AA281" s="370">
        <v>0</v>
      </c>
      <c r="AB281" s="375">
        <v>0</v>
      </c>
      <c r="AC281" s="41"/>
      <c r="AD281" s="449">
        <v>0</v>
      </c>
      <c r="AE281" s="365">
        <v>0</v>
      </c>
      <c r="AF281" s="375">
        <v>0</v>
      </c>
      <c r="AH281" s="365">
        <v>0</v>
      </c>
      <c r="AI281" s="370">
        <v>0</v>
      </c>
      <c r="AJ281" s="370">
        <v>0</v>
      </c>
      <c r="AK281" s="375">
        <v>0</v>
      </c>
      <c r="AM281" s="365">
        <v>0</v>
      </c>
      <c r="AN281" s="370">
        <v>0</v>
      </c>
      <c r="AO281" s="370">
        <v>0</v>
      </c>
      <c r="AP281" s="375">
        <v>0</v>
      </c>
      <c r="AR281" s="365">
        <v>0</v>
      </c>
      <c r="AS281" s="375">
        <v>0</v>
      </c>
      <c r="AU281" s="378">
        <v>0</v>
      </c>
      <c r="AV281" s="379">
        <v>0</v>
      </c>
      <c r="AW281" s="380">
        <v>0</v>
      </c>
      <c r="AX281" s="381">
        <v>0</v>
      </c>
      <c r="AZ281" s="365">
        <v>0</v>
      </c>
      <c r="BA281" s="370">
        <v>0</v>
      </c>
      <c r="BB281" s="370">
        <v>0</v>
      </c>
      <c r="BC281" s="375">
        <v>0</v>
      </c>
      <c r="BE281" s="365">
        <v>0</v>
      </c>
      <c r="BF281" s="370">
        <v>0</v>
      </c>
      <c r="BG281" s="370">
        <v>0</v>
      </c>
      <c r="BH281" s="375">
        <v>0</v>
      </c>
      <c r="BJ281" s="365">
        <v>0</v>
      </c>
      <c r="BK281" s="370">
        <v>0</v>
      </c>
      <c r="BL281" s="370">
        <v>0</v>
      </c>
      <c r="BM281" s="375">
        <v>0</v>
      </c>
      <c r="BO281" s="365">
        <v>0</v>
      </c>
      <c r="BP281" s="370">
        <v>0</v>
      </c>
      <c r="BQ281" s="370">
        <v>0</v>
      </c>
      <c r="BR281" s="375">
        <v>0</v>
      </c>
      <c r="BT281" s="365">
        <v>0</v>
      </c>
      <c r="BU281" s="370">
        <v>0</v>
      </c>
      <c r="BV281" s="370">
        <v>0</v>
      </c>
      <c r="BW281" s="375">
        <v>0</v>
      </c>
      <c r="BY281" s="365">
        <v>0</v>
      </c>
      <c r="BZ281" s="373">
        <v>300051310.19501489</v>
      </c>
      <c r="CA281" s="375">
        <v>0</v>
      </c>
      <c r="CC281" s="365">
        <v>0</v>
      </c>
      <c r="CD281" s="375">
        <v>0</v>
      </c>
      <c r="CF281" s="365">
        <v>0</v>
      </c>
      <c r="CG281" s="375">
        <v>0</v>
      </c>
      <c r="CI281" s="365">
        <v>0</v>
      </c>
      <c r="CJ281" s="375">
        <v>0</v>
      </c>
    </row>
    <row r="282" spans="7:88">
      <c r="G282" s="417">
        <v>278</v>
      </c>
      <c r="H282" s="251">
        <v>16</v>
      </c>
      <c r="I282" s="377">
        <v>0</v>
      </c>
      <c r="J282" s="368">
        <v>0</v>
      </c>
      <c r="K282" s="368">
        <v>0</v>
      </c>
      <c r="L282" s="369">
        <v>0</v>
      </c>
      <c r="N282" s="367">
        <v>0</v>
      </c>
      <c r="O282" s="370">
        <v>0</v>
      </c>
      <c r="P282" s="370">
        <v>0</v>
      </c>
      <c r="Q282" s="370">
        <v>0</v>
      </c>
      <c r="R282" s="370">
        <v>0</v>
      </c>
      <c r="S282" s="370">
        <v>0</v>
      </c>
      <c r="T282" s="379">
        <v>0</v>
      </c>
      <c r="U282" s="371">
        <v>0</v>
      </c>
      <c r="V282" s="371">
        <v>0</v>
      </c>
      <c r="W282" s="372">
        <v>0</v>
      </c>
      <c r="X282" s="41"/>
      <c r="Y282" s="365">
        <v>0</v>
      </c>
      <c r="Z282" s="370">
        <v>0</v>
      </c>
      <c r="AA282" s="370">
        <v>0</v>
      </c>
      <c r="AB282" s="375">
        <v>0</v>
      </c>
      <c r="AC282" s="41"/>
      <c r="AD282" s="449">
        <v>0</v>
      </c>
      <c r="AE282" s="365">
        <v>0</v>
      </c>
      <c r="AF282" s="375">
        <v>0</v>
      </c>
      <c r="AH282" s="365">
        <v>0</v>
      </c>
      <c r="AI282" s="370">
        <v>0</v>
      </c>
      <c r="AJ282" s="370">
        <v>0</v>
      </c>
      <c r="AK282" s="375">
        <v>0</v>
      </c>
      <c r="AM282" s="365">
        <v>0</v>
      </c>
      <c r="AN282" s="370">
        <v>0</v>
      </c>
      <c r="AO282" s="370">
        <v>0</v>
      </c>
      <c r="AP282" s="375">
        <v>0</v>
      </c>
      <c r="AR282" s="365">
        <v>0</v>
      </c>
      <c r="AS282" s="375">
        <v>0</v>
      </c>
      <c r="AU282" s="378">
        <v>0</v>
      </c>
      <c r="AV282" s="379">
        <v>0</v>
      </c>
      <c r="AW282" s="380">
        <v>0</v>
      </c>
      <c r="AX282" s="381">
        <v>0</v>
      </c>
      <c r="AZ282" s="365">
        <v>0</v>
      </c>
      <c r="BA282" s="370">
        <v>0</v>
      </c>
      <c r="BB282" s="370">
        <v>0</v>
      </c>
      <c r="BC282" s="375">
        <v>0</v>
      </c>
      <c r="BE282" s="365">
        <v>0</v>
      </c>
      <c r="BF282" s="370">
        <v>0</v>
      </c>
      <c r="BG282" s="370">
        <v>0</v>
      </c>
      <c r="BH282" s="375">
        <v>0</v>
      </c>
      <c r="BJ282" s="365">
        <v>0</v>
      </c>
      <c r="BK282" s="370">
        <v>0</v>
      </c>
      <c r="BL282" s="370">
        <v>0</v>
      </c>
      <c r="BM282" s="375">
        <v>0</v>
      </c>
      <c r="BO282" s="365">
        <v>0</v>
      </c>
      <c r="BP282" s="370">
        <v>0</v>
      </c>
      <c r="BQ282" s="370">
        <v>0</v>
      </c>
      <c r="BR282" s="375">
        <v>0</v>
      </c>
      <c r="BT282" s="365">
        <v>0</v>
      </c>
      <c r="BU282" s="370">
        <v>0</v>
      </c>
      <c r="BV282" s="370">
        <v>0</v>
      </c>
      <c r="BW282" s="375">
        <v>0</v>
      </c>
      <c r="BY282" s="365">
        <v>0</v>
      </c>
      <c r="BZ282" s="373">
        <v>300051310.19501489</v>
      </c>
      <c r="CA282" s="375">
        <v>0</v>
      </c>
      <c r="CC282" s="365">
        <v>0</v>
      </c>
      <c r="CD282" s="375">
        <v>0</v>
      </c>
      <c r="CF282" s="365">
        <v>0</v>
      </c>
      <c r="CG282" s="375">
        <v>0</v>
      </c>
      <c r="CI282" s="365">
        <v>0</v>
      </c>
      <c r="CJ282" s="375">
        <v>0</v>
      </c>
    </row>
    <row r="283" spans="7:88">
      <c r="G283" s="417">
        <v>279</v>
      </c>
      <c r="H283" s="251">
        <v>16</v>
      </c>
      <c r="I283" s="377">
        <v>0</v>
      </c>
      <c r="J283" s="368">
        <v>0</v>
      </c>
      <c r="K283" s="368">
        <v>0</v>
      </c>
      <c r="L283" s="369">
        <v>0</v>
      </c>
      <c r="N283" s="367">
        <v>0</v>
      </c>
      <c r="O283" s="370">
        <v>0</v>
      </c>
      <c r="P283" s="370">
        <v>0</v>
      </c>
      <c r="Q283" s="370">
        <v>0</v>
      </c>
      <c r="R283" s="370">
        <v>0</v>
      </c>
      <c r="S283" s="370">
        <v>0</v>
      </c>
      <c r="T283" s="379">
        <v>0</v>
      </c>
      <c r="U283" s="371">
        <v>0</v>
      </c>
      <c r="V283" s="371">
        <v>0</v>
      </c>
      <c r="W283" s="372">
        <v>0</v>
      </c>
      <c r="X283" s="41"/>
      <c r="Y283" s="365">
        <v>0</v>
      </c>
      <c r="Z283" s="370">
        <v>0</v>
      </c>
      <c r="AA283" s="370">
        <v>0</v>
      </c>
      <c r="AB283" s="375">
        <v>0</v>
      </c>
      <c r="AC283" s="41"/>
      <c r="AD283" s="449">
        <v>0</v>
      </c>
      <c r="AE283" s="365">
        <v>0</v>
      </c>
      <c r="AF283" s="375">
        <v>0</v>
      </c>
      <c r="AH283" s="365">
        <v>0</v>
      </c>
      <c r="AI283" s="370">
        <v>0</v>
      </c>
      <c r="AJ283" s="370">
        <v>0</v>
      </c>
      <c r="AK283" s="375">
        <v>0</v>
      </c>
      <c r="AM283" s="365">
        <v>0</v>
      </c>
      <c r="AN283" s="370">
        <v>0</v>
      </c>
      <c r="AO283" s="370">
        <v>0</v>
      </c>
      <c r="AP283" s="375">
        <v>0</v>
      </c>
      <c r="AR283" s="365">
        <v>0</v>
      </c>
      <c r="AS283" s="375">
        <v>0</v>
      </c>
      <c r="AU283" s="378">
        <v>0</v>
      </c>
      <c r="AV283" s="379">
        <v>0</v>
      </c>
      <c r="AW283" s="380">
        <v>0</v>
      </c>
      <c r="AX283" s="381">
        <v>0</v>
      </c>
      <c r="AZ283" s="365">
        <v>0</v>
      </c>
      <c r="BA283" s="370">
        <v>0</v>
      </c>
      <c r="BB283" s="370">
        <v>0</v>
      </c>
      <c r="BC283" s="375">
        <v>0</v>
      </c>
      <c r="BE283" s="365">
        <v>0</v>
      </c>
      <c r="BF283" s="370">
        <v>0</v>
      </c>
      <c r="BG283" s="370">
        <v>0</v>
      </c>
      <c r="BH283" s="375">
        <v>0</v>
      </c>
      <c r="BJ283" s="365">
        <v>0</v>
      </c>
      <c r="BK283" s="370">
        <v>0</v>
      </c>
      <c r="BL283" s="370">
        <v>0</v>
      </c>
      <c r="BM283" s="375">
        <v>0</v>
      </c>
      <c r="BO283" s="365">
        <v>0</v>
      </c>
      <c r="BP283" s="370">
        <v>0</v>
      </c>
      <c r="BQ283" s="370">
        <v>0</v>
      </c>
      <c r="BR283" s="375">
        <v>0</v>
      </c>
      <c r="BT283" s="365">
        <v>0</v>
      </c>
      <c r="BU283" s="370">
        <v>0</v>
      </c>
      <c r="BV283" s="370">
        <v>0</v>
      </c>
      <c r="BW283" s="375">
        <v>0</v>
      </c>
      <c r="BY283" s="365">
        <v>0</v>
      </c>
      <c r="BZ283" s="373">
        <v>300051310.19501489</v>
      </c>
      <c r="CA283" s="375">
        <v>0</v>
      </c>
      <c r="CC283" s="365">
        <v>0</v>
      </c>
      <c r="CD283" s="375">
        <v>0</v>
      </c>
      <c r="CF283" s="365">
        <v>0</v>
      </c>
      <c r="CG283" s="375">
        <v>0</v>
      </c>
      <c r="CI283" s="365">
        <v>0</v>
      </c>
      <c r="CJ283" s="375">
        <v>0</v>
      </c>
    </row>
    <row r="284" spans="7:88">
      <c r="G284" s="417">
        <v>280</v>
      </c>
      <c r="H284" s="251">
        <v>16</v>
      </c>
      <c r="I284" s="377">
        <v>0</v>
      </c>
      <c r="J284" s="368">
        <v>0</v>
      </c>
      <c r="K284" s="368">
        <v>0</v>
      </c>
      <c r="L284" s="369">
        <v>0</v>
      </c>
      <c r="N284" s="367">
        <v>0</v>
      </c>
      <c r="O284" s="370">
        <v>0</v>
      </c>
      <c r="P284" s="370">
        <v>0</v>
      </c>
      <c r="Q284" s="370">
        <v>0</v>
      </c>
      <c r="R284" s="370">
        <v>0</v>
      </c>
      <c r="S284" s="370">
        <v>0</v>
      </c>
      <c r="T284" s="379">
        <v>0</v>
      </c>
      <c r="U284" s="371">
        <v>0</v>
      </c>
      <c r="V284" s="371">
        <v>0</v>
      </c>
      <c r="W284" s="372">
        <v>0</v>
      </c>
      <c r="X284" s="41"/>
      <c r="Y284" s="365">
        <v>0</v>
      </c>
      <c r="Z284" s="370">
        <v>0</v>
      </c>
      <c r="AA284" s="370">
        <v>0</v>
      </c>
      <c r="AB284" s="375">
        <v>0</v>
      </c>
      <c r="AC284" s="41"/>
      <c r="AD284" s="449">
        <v>0</v>
      </c>
      <c r="AE284" s="365">
        <v>0</v>
      </c>
      <c r="AF284" s="375">
        <v>0</v>
      </c>
      <c r="AH284" s="365">
        <v>0</v>
      </c>
      <c r="AI284" s="370">
        <v>0</v>
      </c>
      <c r="AJ284" s="370">
        <v>0</v>
      </c>
      <c r="AK284" s="375">
        <v>0</v>
      </c>
      <c r="AM284" s="365">
        <v>0</v>
      </c>
      <c r="AN284" s="370">
        <v>0</v>
      </c>
      <c r="AO284" s="370">
        <v>0</v>
      </c>
      <c r="AP284" s="375">
        <v>0</v>
      </c>
      <c r="AR284" s="365">
        <v>0</v>
      </c>
      <c r="AS284" s="375">
        <v>0</v>
      </c>
      <c r="AU284" s="378">
        <v>0</v>
      </c>
      <c r="AV284" s="379">
        <v>0</v>
      </c>
      <c r="AW284" s="380">
        <v>0</v>
      </c>
      <c r="AX284" s="381">
        <v>0</v>
      </c>
      <c r="AZ284" s="365">
        <v>0</v>
      </c>
      <c r="BA284" s="370">
        <v>0</v>
      </c>
      <c r="BB284" s="370">
        <v>0</v>
      </c>
      <c r="BC284" s="375">
        <v>0</v>
      </c>
      <c r="BE284" s="365">
        <v>0</v>
      </c>
      <c r="BF284" s="370">
        <v>0</v>
      </c>
      <c r="BG284" s="370">
        <v>0</v>
      </c>
      <c r="BH284" s="375">
        <v>0</v>
      </c>
      <c r="BJ284" s="365">
        <v>0</v>
      </c>
      <c r="BK284" s="370">
        <v>0</v>
      </c>
      <c r="BL284" s="370">
        <v>0</v>
      </c>
      <c r="BM284" s="375">
        <v>0</v>
      </c>
      <c r="BO284" s="365">
        <v>0</v>
      </c>
      <c r="BP284" s="370">
        <v>0</v>
      </c>
      <c r="BQ284" s="370">
        <v>0</v>
      </c>
      <c r="BR284" s="375">
        <v>0</v>
      </c>
      <c r="BT284" s="365">
        <v>0</v>
      </c>
      <c r="BU284" s="370">
        <v>0</v>
      </c>
      <c r="BV284" s="370">
        <v>0</v>
      </c>
      <c r="BW284" s="375">
        <v>0</v>
      </c>
      <c r="BY284" s="365">
        <v>0</v>
      </c>
      <c r="BZ284" s="373">
        <v>300051310.19501489</v>
      </c>
      <c r="CA284" s="375">
        <v>0</v>
      </c>
      <c r="CC284" s="365">
        <v>0</v>
      </c>
      <c r="CD284" s="375">
        <v>0</v>
      </c>
      <c r="CF284" s="365">
        <v>0</v>
      </c>
      <c r="CG284" s="375">
        <v>0</v>
      </c>
      <c r="CI284" s="365">
        <v>0</v>
      </c>
      <c r="CJ284" s="375">
        <v>0</v>
      </c>
    </row>
    <row r="285" spans="7:88">
      <c r="G285" s="417">
        <v>281</v>
      </c>
      <c r="H285" s="251">
        <v>16</v>
      </c>
      <c r="I285" s="377">
        <v>0</v>
      </c>
      <c r="J285" s="368">
        <v>0</v>
      </c>
      <c r="K285" s="368">
        <v>0</v>
      </c>
      <c r="L285" s="369">
        <v>0</v>
      </c>
      <c r="N285" s="367">
        <v>0</v>
      </c>
      <c r="O285" s="370">
        <v>0</v>
      </c>
      <c r="P285" s="370">
        <v>0</v>
      </c>
      <c r="Q285" s="370">
        <v>0</v>
      </c>
      <c r="R285" s="370">
        <v>0</v>
      </c>
      <c r="S285" s="370">
        <v>0</v>
      </c>
      <c r="T285" s="379">
        <v>0</v>
      </c>
      <c r="U285" s="371">
        <v>0</v>
      </c>
      <c r="V285" s="371">
        <v>0</v>
      </c>
      <c r="W285" s="372">
        <v>0</v>
      </c>
      <c r="X285" s="41"/>
      <c r="Y285" s="365">
        <v>0</v>
      </c>
      <c r="Z285" s="370">
        <v>0</v>
      </c>
      <c r="AA285" s="370">
        <v>0</v>
      </c>
      <c r="AB285" s="375">
        <v>0</v>
      </c>
      <c r="AC285" s="41"/>
      <c r="AD285" s="449">
        <v>0</v>
      </c>
      <c r="AE285" s="365">
        <v>0</v>
      </c>
      <c r="AF285" s="375">
        <v>0</v>
      </c>
      <c r="AH285" s="365">
        <v>0</v>
      </c>
      <c r="AI285" s="370">
        <v>0</v>
      </c>
      <c r="AJ285" s="370">
        <v>0</v>
      </c>
      <c r="AK285" s="375">
        <v>0</v>
      </c>
      <c r="AM285" s="365">
        <v>0</v>
      </c>
      <c r="AN285" s="370">
        <v>0</v>
      </c>
      <c r="AO285" s="370">
        <v>0</v>
      </c>
      <c r="AP285" s="375">
        <v>0</v>
      </c>
      <c r="AR285" s="365">
        <v>0</v>
      </c>
      <c r="AS285" s="375">
        <v>0</v>
      </c>
      <c r="AU285" s="378">
        <v>0</v>
      </c>
      <c r="AV285" s="379">
        <v>0</v>
      </c>
      <c r="AW285" s="380">
        <v>0</v>
      </c>
      <c r="AX285" s="381">
        <v>0</v>
      </c>
      <c r="AZ285" s="365">
        <v>0</v>
      </c>
      <c r="BA285" s="370">
        <v>0</v>
      </c>
      <c r="BB285" s="370">
        <v>0</v>
      </c>
      <c r="BC285" s="375">
        <v>0</v>
      </c>
      <c r="BE285" s="365">
        <v>0</v>
      </c>
      <c r="BF285" s="370">
        <v>0</v>
      </c>
      <c r="BG285" s="370">
        <v>0</v>
      </c>
      <c r="BH285" s="375">
        <v>0</v>
      </c>
      <c r="BJ285" s="365">
        <v>0</v>
      </c>
      <c r="BK285" s="370">
        <v>0</v>
      </c>
      <c r="BL285" s="370">
        <v>0</v>
      </c>
      <c r="BM285" s="375">
        <v>0</v>
      </c>
      <c r="BO285" s="365">
        <v>0</v>
      </c>
      <c r="BP285" s="370">
        <v>0</v>
      </c>
      <c r="BQ285" s="370">
        <v>0</v>
      </c>
      <c r="BR285" s="375">
        <v>0</v>
      </c>
      <c r="BT285" s="365">
        <v>0</v>
      </c>
      <c r="BU285" s="370">
        <v>0</v>
      </c>
      <c r="BV285" s="370">
        <v>0</v>
      </c>
      <c r="BW285" s="375">
        <v>0</v>
      </c>
      <c r="BY285" s="365">
        <v>0</v>
      </c>
      <c r="BZ285" s="373">
        <v>300051310.19501489</v>
      </c>
      <c r="CA285" s="375">
        <v>0</v>
      </c>
      <c r="CC285" s="365">
        <v>0</v>
      </c>
      <c r="CD285" s="375">
        <v>0</v>
      </c>
      <c r="CF285" s="365">
        <v>0</v>
      </c>
      <c r="CG285" s="375">
        <v>0</v>
      </c>
      <c r="CI285" s="365">
        <v>0</v>
      </c>
      <c r="CJ285" s="375">
        <v>0</v>
      </c>
    </row>
    <row r="286" spans="7:88">
      <c r="G286" s="417">
        <v>282</v>
      </c>
      <c r="H286" s="251">
        <v>16</v>
      </c>
      <c r="I286" s="377">
        <v>0</v>
      </c>
      <c r="J286" s="368">
        <v>0</v>
      </c>
      <c r="K286" s="368">
        <v>0</v>
      </c>
      <c r="L286" s="369">
        <v>0</v>
      </c>
      <c r="N286" s="367">
        <v>0</v>
      </c>
      <c r="O286" s="370">
        <v>0</v>
      </c>
      <c r="P286" s="370">
        <v>0</v>
      </c>
      <c r="Q286" s="370">
        <v>0</v>
      </c>
      <c r="R286" s="370">
        <v>0</v>
      </c>
      <c r="S286" s="370">
        <v>0</v>
      </c>
      <c r="T286" s="379">
        <v>0</v>
      </c>
      <c r="U286" s="371">
        <v>0</v>
      </c>
      <c r="V286" s="371">
        <v>0</v>
      </c>
      <c r="W286" s="372">
        <v>0</v>
      </c>
      <c r="X286" s="41"/>
      <c r="Y286" s="365">
        <v>0</v>
      </c>
      <c r="Z286" s="370">
        <v>0</v>
      </c>
      <c r="AA286" s="370">
        <v>0</v>
      </c>
      <c r="AB286" s="375">
        <v>0</v>
      </c>
      <c r="AC286" s="41"/>
      <c r="AD286" s="449">
        <v>0</v>
      </c>
      <c r="AE286" s="365">
        <v>0</v>
      </c>
      <c r="AF286" s="375">
        <v>0</v>
      </c>
      <c r="AH286" s="365">
        <v>0</v>
      </c>
      <c r="AI286" s="370">
        <v>0</v>
      </c>
      <c r="AJ286" s="370">
        <v>0</v>
      </c>
      <c r="AK286" s="375">
        <v>0</v>
      </c>
      <c r="AM286" s="365">
        <v>0</v>
      </c>
      <c r="AN286" s="370">
        <v>0</v>
      </c>
      <c r="AO286" s="370">
        <v>0</v>
      </c>
      <c r="AP286" s="375">
        <v>0</v>
      </c>
      <c r="AR286" s="365">
        <v>0</v>
      </c>
      <c r="AS286" s="375">
        <v>0</v>
      </c>
      <c r="AU286" s="378">
        <v>0</v>
      </c>
      <c r="AV286" s="379">
        <v>0</v>
      </c>
      <c r="AW286" s="380">
        <v>0</v>
      </c>
      <c r="AX286" s="381">
        <v>0</v>
      </c>
      <c r="AZ286" s="365">
        <v>0</v>
      </c>
      <c r="BA286" s="370">
        <v>0</v>
      </c>
      <c r="BB286" s="370">
        <v>0</v>
      </c>
      <c r="BC286" s="375">
        <v>0</v>
      </c>
      <c r="BE286" s="365">
        <v>0</v>
      </c>
      <c r="BF286" s="370">
        <v>0</v>
      </c>
      <c r="BG286" s="370">
        <v>0</v>
      </c>
      <c r="BH286" s="375">
        <v>0</v>
      </c>
      <c r="BJ286" s="365">
        <v>0</v>
      </c>
      <c r="BK286" s="370">
        <v>0</v>
      </c>
      <c r="BL286" s="370">
        <v>0</v>
      </c>
      <c r="BM286" s="375">
        <v>0</v>
      </c>
      <c r="BO286" s="365">
        <v>0</v>
      </c>
      <c r="BP286" s="370">
        <v>0</v>
      </c>
      <c r="BQ286" s="370">
        <v>0</v>
      </c>
      <c r="BR286" s="375">
        <v>0</v>
      </c>
      <c r="BT286" s="365">
        <v>0</v>
      </c>
      <c r="BU286" s="370">
        <v>0</v>
      </c>
      <c r="BV286" s="370">
        <v>0</v>
      </c>
      <c r="BW286" s="375">
        <v>0</v>
      </c>
      <c r="BY286" s="365">
        <v>0</v>
      </c>
      <c r="BZ286" s="373">
        <v>300051310.19501489</v>
      </c>
      <c r="CA286" s="375">
        <v>0</v>
      </c>
      <c r="CC286" s="365">
        <v>0</v>
      </c>
      <c r="CD286" s="375">
        <v>0</v>
      </c>
      <c r="CF286" s="365">
        <v>0</v>
      </c>
      <c r="CG286" s="375">
        <v>0</v>
      </c>
      <c r="CI286" s="365">
        <v>0</v>
      </c>
      <c r="CJ286" s="375">
        <v>0</v>
      </c>
    </row>
    <row r="287" spans="7:88">
      <c r="G287" s="417">
        <v>283</v>
      </c>
      <c r="H287" s="251">
        <v>16</v>
      </c>
      <c r="I287" s="377">
        <v>0</v>
      </c>
      <c r="J287" s="368">
        <v>0</v>
      </c>
      <c r="K287" s="368">
        <v>0</v>
      </c>
      <c r="L287" s="369">
        <v>0</v>
      </c>
      <c r="N287" s="367">
        <v>0</v>
      </c>
      <c r="O287" s="370">
        <v>0</v>
      </c>
      <c r="P287" s="370">
        <v>0</v>
      </c>
      <c r="Q287" s="370">
        <v>0</v>
      </c>
      <c r="R287" s="370">
        <v>0</v>
      </c>
      <c r="S287" s="370">
        <v>0</v>
      </c>
      <c r="T287" s="379">
        <v>0</v>
      </c>
      <c r="U287" s="371">
        <v>0</v>
      </c>
      <c r="V287" s="371">
        <v>0</v>
      </c>
      <c r="W287" s="372">
        <v>0</v>
      </c>
      <c r="X287" s="41"/>
      <c r="Y287" s="365">
        <v>0</v>
      </c>
      <c r="Z287" s="370">
        <v>0</v>
      </c>
      <c r="AA287" s="370">
        <v>0</v>
      </c>
      <c r="AB287" s="375">
        <v>0</v>
      </c>
      <c r="AC287" s="41"/>
      <c r="AD287" s="449">
        <v>0</v>
      </c>
      <c r="AE287" s="365">
        <v>0</v>
      </c>
      <c r="AF287" s="375">
        <v>0</v>
      </c>
      <c r="AH287" s="365">
        <v>0</v>
      </c>
      <c r="AI287" s="370">
        <v>0</v>
      </c>
      <c r="AJ287" s="370">
        <v>0</v>
      </c>
      <c r="AK287" s="375">
        <v>0</v>
      </c>
      <c r="AM287" s="365">
        <v>0</v>
      </c>
      <c r="AN287" s="370">
        <v>0</v>
      </c>
      <c r="AO287" s="370">
        <v>0</v>
      </c>
      <c r="AP287" s="375">
        <v>0</v>
      </c>
      <c r="AR287" s="365">
        <v>0</v>
      </c>
      <c r="AS287" s="375">
        <v>0</v>
      </c>
      <c r="AU287" s="378">
        <v>0</v>
      </c>
      <c r="AV287" s="379">
        <v>0</v>
      </c>
      <c r="AW287" s="380">
        <v>0</v>
      </c>
      <c r="AX287" s="381">
        <v>0</v>
      </c>
      <c r="AZ287" s="365">
        <v>0</v>
      </c>
      <c r="BA287" s="370">
        <v>0</v>
      </c>
      <c r="BB287" s="370">
        <v>0</v>
      </c>
      <c r="BC287" s="375">
        <v>0</v>
      </c>
      <c r="BE287" s="365">
        <v>0</v>
      </c>
      <c r="BF287" s="370">
        <v>0</v>
      </c>
      <c r="BG287" s="370">
        <v>0</v>
      </c>
      <c r="BH287" s="375">
        <v>0</v>
      </c>
      <c r="BJ287" s="365">
        <v>0</v>
      </c>
      <c r="BK287" s="370">
        <v>0</v>
      </c>
      <c r="BL287" s="370">
        <v>0</v>
      </c>
      <c r="BM287" s="375">
        <v>0</v>
      </c>
      <c r="BO287" s="365">
        <v>0</v>
      </c>
      <c r="BP287" s="370">
        <v>0</v>
      </c>
      <c r="BQ287" s="370">
        <v>0</v>
      </c>
      <c r="BR287" s="375">
        <v>0</v>
      </c>
      <c r="BT287" s="365">
        <v>0</v>
      </c>
      <c r="BU287" s="370">
        <v>0</v>
      </c>
      <c r="BV287" s="370">
        <v>0</v>
      </c>
      <c r="BW287" s="375">
        <v>0</v>
      </c>
      <c r="BY287" s="365">
        <v>0</v>
      </c>
      <c r="BZ287" s="373">
        <v>300051310.19501489</v>
      </c>
      <c r="CA287" s="375">
        <v>0</v>
      </c>
      <c r="CC287" s="365">
        <v>0</v>
      </c>
      <c r="CD287" s="375">
        <v>0</v>
      </c>
      <c r="CF287" s="365">
        <v>0</v>
      </c>
      <c r="CG287" s="375">
        <v>0</v>
      </c>
      <c r="CI287" s="365">
        <v>0</v>
      </c>
      <c r="CJ287" s="375">
        <v>0</v>
      </c>
    </row>
    <row r="288" spans="7:88">
      <c r="G288" s="417">
        <v>284</v>
      </c>
      <c r="H288" s="251">
        <v>16</v>
      </c>
      <c r="I288" s="377">
        <v>0</v>
      </c>
      <c r="J288" s="368">
        <v>0</v>
      </c>
      <c r="K288" s="368">
        <v>0</v>
      </c>
      <c r="L288" s="369">
        <v>0</v>
      </c>
      <c r="N288" s="367">
        <v>0</v>
      </c>
      <c r="O288" s="370">
        <v>0</v>
      </c>
      <c r="P288" s="370">
        <v>0</v>
      </c>
      <c r="Q288" s="370">
        <v>0</v>
      </c>
      <c r="R288" s="370">
        <v>0</v>
      </c>
      <c r="S288" s="370">
        <v>0</v>
      </c>
      <c r="T288" s="379">
        <v>0</v>
      </c>
      <c r="U288" s="371">
        <v>0</v>
      </c>
      <c r="V288" s="371">
        <v>0</v>
      </c>
      <c r="W288" s="372">
        <v>0</v>
      </c>
      <c r="X288" s="41"/>
      <c r="Y288" s="365">
        <v>0</v>
      </c>
      <c r="Z288" s="370">
        <v>0</v>
      </c>
      <c r="AA288" s="370">
        <v>0</v>
      </c>
      <c r="AB288" s="375">
        <v>0</v>
      </c>
      <c r="AC288" s="41"/>
      <c r="AD288" s="449">
        <v>0</v>
      </c>
      <c r="AE288" s="365">
        <v>0</v>
      </c>
      <c r="AF288" s="375">
        <v>0</v>
      </c>
      <c r="AH288" s="365">
        <v>0</v>
      </c>
      <c r="AI288" s="370">
        <v>0</v>
      </c>
      <c r="AJ288" s="370">
        <v>0</v>
      </c>
      <c r="AK288" s="375">
        <v>0</v>
      </c>
      <c r="AM288" s="365">
        <v>0</v>
      </c>
      <c r="AN288" s="370">
        <v>0</v>
      </c>
      <c r="AO288" s="370">
        <v>0</v>
      </c>
      <c r="AP288" s="375">
        <v>0</v>
      </c>
      <c r="AR288" s="365">
        <v>0</v>
      </c>
      <c r="AS288" s="375">
        <v>0</v>
      </c>
      <c r="AU288" s="378">
        <v>0</v>
      </c>
      <c r="AV288" s="379">
        <v>0</v>
      </c>
      <c r="AW288" s="380">
        <v>0</v>
      </c>
      <c r="AX288" s="381">
        <v>0</v>
      </c>
      <c r="AZ288" s="365">
        <v>0</v>
      </c>
      <c r="BA288" s="370">
        <v>0</v>
      </c>
      <c r="BB288" s="370">
        <v>0</v>
      </c>
      <c r="BC288" s="375">
        <v>0</v>
      </c>
      <c r="BE288" s="365">
        <v>0</v>
      </c>
      <c r="BF288" s="370">
        <v>0</v>
      </c>
      <c r="BG288" s="370">
        <v>0</v>
      </c>
      <c r="BH288" s="375">
        <v>0</v>
      </c>
      <c r="BJ288" s="365">
        <v>0</v>
      </c>
      <c r="BK288" s="370">
        <v>0</v>
      </c>
      <c r="BL288" s="370">
        <v>0</v>
      </c>
      <c r="BM288" s="375">
        <v>0</v>
      </c>
      <c r="BO288" s="365">
        <v>0</v>
      </c>
      <c r="BP288" s="370">
        <v>0</v>
      </c>
      <c r="BQ288" s="370">
        <v>0</v>
      </c>
      <c r="BR288" s="375">
        <v>0</v>
      </c>
      <c r="BT288" s="365">
        <v>0</v>
      </c>
      <c r="BU288" s="370">
        <v>0</v>
      </c>
      <c r="BV288" s="370">
        <v>0</v>
      </c>
      <c r="BW288" s="375">
        <v>0</v>
      </c>
      <c r="BY288" s="365">
        <v>0</v>
      </c>
      <c r="BZ288" s="373">
        <v>300051310.19501489</v>
      </c>
      <c r="CA288" s="375">
        <v>0</v>
      </c>
      <c r="CC288" s="365">
        <v>0</v>
      </c>
      <c r="CD288" s="375">
        <v>0</v>
      </c>
      <c r="CF288" s="365">
        <v>0</v>
      </c>
      <c r="CG288" s="375">
        <v>0</v>
      </c>
      <c r="CI288" s="365">
        <v>0</v>
      </c>
      <c r="CJ288" s="375">
        <v>0</v>
      </c>
    </row>
    <row r="289" spans="7:88">
      <c r="G289" s="417">
        <v>285</v>
      </c>
      <c r="H289" s="251">
        <v>16</v>
      </c>
      <c r="I289" s="377">
        <v>0</v>
      </c>
      <c r="J289" s="368">
        <v>0</v>
      </c>
      <c r="K289" s="368">
        <v>0</v>
      </c>
      <c r="L289" s="369">
        <v>0</v>
      </c>
      <c r="N289" s="367">
        <v>0</v>
      </c>
      <c r="O289" s="370">
        <v>0</v>
      </c>
      <c r="P289" s="370">
        <v>0</v>
      </c>
      <c r="Q289" s="370">
        <v>0</v>
      </c>
      <c r="R289" s="370">
        <v>0</v>
      </c>
      <c r="S289" s="370">
        <v>0</v>
      </c>
      <c r="T289" s="379">
        <v>0</v>
      </c>
      <c r="U289" s="371">
        <v>0</v>
      </c>
      <c r="V289" s="371">
        <v>0</v>
      </c>
      <c r="W289" s="372">
        <v>0</v>
      </c>
      <c r="X289" s="41"/>
      <c r="Y289" s="365">
        <v>0</v>
      </c>
      <c r="Z289" s="370">
        <v>0</v>
      </c>
      <c r="AA289" s="370">
        <v>0</v>
      </c>
      <c r="AB289" s="375">
        <v>0</v>
      </c>
      <c r="AC289" s="41"/>
      <c r="AD289" s="449">
        <v>0</v>
      </c>
      <c r="AE289" s="365">
        <v>0</v>
      </c>
      <c r="AF289" s="375">
        <v>0</v>
      </c>
      <c r="AH289" s="365">
        <v>0</v>
      </c>
      <c r="AI289" s="370">
        <v>0</v>
      </c>
      <c r="AJ289" s="370">
        <v>0</v>
      </c>
      <c r="AK289" s="375">
        <v>0</v>
      </c>
      <c r="AM289" s="365">
        <v>0</v>
      </c>
      <c r="AN289" s="370">
        <v>0</v>
      </c>
      <c r="AO289" s="370">
        <v>0</v>
      </c>
      <c r="AP289" s="375">
        <v>0</v>
      </c>
      <c r="AR289" s="365">
        <v>0</v>
      </c>
      <c r="AS289" s="375">
        <v>0</v>
      </c>
      <c r="AU289" s="378">
        <v>0</v>
      </c>
      <c r="AV289" s="379">
        <v>0</v>
      </c>
      <c r="AW289" s="380">
        <v>0</v>
      </c>
      <c r="AX289" s="381">
        <v>0</v>
      </c>
      <c r="AZ289" s="365">
        <v>0</v>
      </c>
      <c r="BA289" s="370">
        <v>0</v>
      </c>
      <c r="BB289" s="370">
        <v>0</v>
      </c>
      <c r="BC289" s="375">
        <v>0</v>
      </c>
      <c r="BE289" s="365">
        <v>0</v>
      </c>
      <c r="BF289" s="370">
        <v>0</v>
      </c>
      <c r="BG289" s="370">
        <v>0</v>
      </c>
      <c r="BH289" s="375">
        <v>0</v>
      </c>
      <c r="BJ289" s="365">
        <v>0</v>
      </c>
      <c r="BK289" s="370">
        <v>0</v>
      </c>
      <c r="BL289" s="370">
        <v>0</v>
      </c>
      <c r="BM289" s="375">
        <v>0</v>
      </c>
      <c r="BO289" s="365">
        <v>0</v>
      </c>
      <c r="BP289" s="370">
        <v>0</v>
      </c>
      <c r="BQ289" s="370">
        <v>0</v>
      </c>
      <c r="BR289" s="375">
        <v>0</v>
      </c>
      <c r="BT289" s="365">
        <v>0</v>
      </c>
      <c r="BU289" s="370">
        <v>0</v>
      </c>
      <c r="BV289" s="370">
        <v>0</v>
      </c>
      <c r="BW289" s="375">
        <v>0</v>
      </c>
      <c r="BY289" s="365">
        <v>0</v>
      </c>
      <c r="BZ289" s="373">
        <v>300051310.19501489</v>
      </c>
      <c r="CA289" s="375">
        <v>0</v>
      </c>
      <c r="CC289" s="365">
        <v>0</v>
      </c>
      <c r="CD289" s="375">
        <v>0</v>
      </c>
      <c r="CF289" s="365">
        <v>0</v>
      </c>
      <c r="CG289" s="375">
        <v>0</v>
      </c>
      <c r="CI289" s="365">
        <v>0</v>
      </c>
      <c r="CJ289" s="375">
        <v>0</v>
      </c>
    </row>
    <row r="290" spans="7:88">
      <c r="G290" s="417">
        <v>286</v>
      </c>
      <c r="H290" s="251">
        <v>16</v>
      </c>
      <c r="I290" s="377">
        <v>0</v>
      </c>
      <c r="J290" s="368">
        <v>0</v>
      </c>
      <c r="K290" s="368">
        <v>0</v>
      </c>
      <c r="L290" s="369">
        <v>0</v>
      </c>
      <c r="N290" s="367">
        <v>0</v>
      </c>
      <c r="O290" s="370">
        <v>0</v>
      </c>
      <c r="P290" s="370">
        <v>0</v>
      </c>
      <c r="Q290" s="370">
        <v>0</v>
      </c>
      <c r="R290" s="370">
        <v>0</v>
      </c>
      <c r="S290" s="370">
        <v>0</v>
      </c>
      <c r="T290" s="379">
        <v>0</v>
      </c>
      <c r="U290" s="371">
        <v>0</v>
      </c>
      <c r="V290" s="371">
        <v>0</v>
      </c>
      <c r="W290" s="372">
        <v>0</v>
      </c>
      <c r="X290" s="41"/>
      <c r="Y290" s="365">
        <v>0</v>
      </c>
      <c r="Z290" s="370">
        <v>0</v>
      </c>
      <c r="AA290" s="370">
        <v>0</v>
      </c>
      <c r="AB290" s="375">
        <v>0</v>
      </c>
      <c r="AC290" s="41"/>
      <c r="AD290" s="449">
        <v>0</v>
      </c>
      <c r="AE290" s="365">
        <v>0</v>
      </c>
      <c r="AF290" s="375">
        <v>0</v>
      </c>
      <c r="AH290" s="365">
        <v>0</v>
      </c>
      <c r="AI290" s="370">
        <v>0</v>
      </c>
      <c r="AJ290" s="370">
        <v>0</v>
      </c>
      <c r="AK290" s="375">
        <v>0</v>
      </c>
      <c r="AM290" s="365">
        <v>0</v>
      </c>
      <c r="AN290" s="370">
        <v>0</v>
      </c>
      <c r="AO290" s="370">
        <v>0</v>
      </c>
      <c r="AP290" s="375">
        <v>0</v>
      </c>
      <c r="AR290" s="365">
        <v>0</v>
      </c>
      <c r="AS290" s="375">
        <v>0</v>
      </c>
      <c r="AU290" s="378">
        <v>0</v>
      </c>
      <c r="AV290" s="379">
        <v>0</v>
      </c>
      <c r="AW290" s="380">
        <v>0</v>
      </c>
      <c r="AX290" s="381">
        <v>0</v>
      </c>
      <c r="AZ290" s="365">
        <v>0</v>
      </c>
      <c r="BA290" s="370">
        <v>0</v>
      </c>
      <c r="BB290" s="370">
        <v>0</v>
      </c>
      <c r="BC290" s="375">
        <v>0</v>
      </c>
      <c r="BE290" s="365">
        <v>0</v>
      </c>
      <c r="BF290" s="370">
        <v>0</v>
      </c>
      <c r="BG290" s="370">
        <v>0</v>
      </c>
      <c r="BH290" s="375">
        <v>0</v>
      </c>
      <c r="BJ290" s="365">
        <v>0</v>
      </c>
      <c r="BK290" s="370">
        <v>0</v>
      </c>
      <c r="BL290" s="370">
        <v>0</v>
      </c>
      <c r="BM290" s="375">
        <v>0</v>
      </c>
      <c r="BO290" s="365">
        <v>0</v>
      </c>
      <c r="BP290" s="370">
        <v>0</v>
      </c>
      <c r="BQ290" s="370">
        <v>0</v>
      </c>
      <c r="BR290" s="375">
        <v>0</v>
      </c>
      <c r="BT290" s="365">
        <v>0</v>
      </c>
      <c r="BU290" s="370">
        <v>0</v>
      </c>
      <c r="BV290" s="370">
        <v>0</v>
      </c>
      <c r="BW290" s="375">
        <v>0</v>
      </c>
      <c r="BY290" s="365">
        <v>0</v>
      </c>
      <c r="BZ290" s="373">
        <v>300051310.19501489</v>
      </c>
      <c r="CA290" s="375">
        <v>0</v>
      </c>
      <c r="CC290" s="365">
        <v>0</v>
      </c>
      <c r="CD290" s="375">
        <v>0</v>
      </c>
      <c r="CF290" s="365">
        <v>0</v>
      </c>
      <c r="CG290" s="375">
        <v>0</v>
      </c>
      <c r="CI290" s="365">
        <v>0</v>
      </c>
      <c r="CJ290" s="375">
        <v>0</v>
      </c>
    </row>
    <row r="291" spans="7:88">
      <c r="G291" s="417">
        <v>287</v>
      </c>
      <c r="H291" s="251">
        <v>16</v>
      </c>
      <c r="I291" s="377">
        <v>0</v>
      </c>
      <c r="J291" s="368">
        <v>0</v>
      </c>
      <c r="K291" s="368">
        <v>0</v>
      </c>
      <c r="L291" s="369">
        <v>0</v>
      </c>
      <c r="N291" s="367">
        <v>0</v>
      </c>
      <c r="O291" s="370">
        <v>0</v>
      </c>
      <c r="P291" s="370">
        <v>0</v>
      </c>
      <c r="Q291" s="370">
        <v>0</v>
      </c>
      <c r="R291" s="370">
        <v>0</v>
      </c>
      <c r="S291" s="370">
        <v>0</v>
      </c>
      <c r="T291" s="379">
        <v>0</v>
      </c>
      <c r="U291" s="371">
        <v>0</v>
      </c>
      <c r="V291" s="371">
        <v>0</v>
      </c>
      <c r="W291" s="372">
        <v>0</v>
      </c>
      <c r="X291" s="41"/>
      <c r="Y291" s="365">
        <v>0</v>
      </c>
      <c r="Z291" s="370">
        <v>0</v>
      </c>
      <c r="AA291" s="370">
        <v>0</v>
      </c>
      <c r="AB291" s="375">
        <v>0</v>
      </c>
      <c r="AC291" s="41"/>
      <c r="AD291" s="449">
        <v>0</v>
      </c>
      <c r="AE291" s="365">
        <v>0</v>
      </c>
      <c r="AF291" s="375">
        <v>0</v>
      </c>
      <c r="AH291" s="365">
        <v>0</v>
      </c>
      <c r="AI291" s="370">
        <v>0</v>
      </c>
      <c r="AJ291" s="370">
        <v>0</v>
      </c>
      <c r="AK291" s="375">
        <v>0</v>
      </c>
      <c r="AM291" s="365">
        <v>0</v>
      </c>
      <c r="AN291" s="370">
        <v>0</v>
      </c>
      <c r="AO291" s="370">
        <v>0</v>
      </c>
      <c r="AP291" s="375">
        <v>0</v>
      </c>
      <c r="AR291" s="365">
        <v>0</v>
      </c>
      <c r="AS291" s="375">
        <v>0</v>
      </c>
      <c r="AU291" s="378">
        <v>0</v>
      </c>
      <c r="AV291" s="379">
        <v>0</v>
      </c>
      <c r="AW291" s="380">
        <v>0</v>
      </c>
      <c r="AX291" s="381">
        <v>0</v>
      </c>
      <c r="AZ291" s="365">
        <v>0</v>
      </c>
      <c r="BA291" s="370">
        <v>0</v>
      </c>
      <c r="BB291" s="370">
        <v>0</v>
      </c>
      <c r="BC291" s="375">
        <v>0</v>
      </c>
      <c r="BE291" s="365">
        <v>0</v>
      </c>
      <c r="BF291" s="370">
        <v>0</v>
      </c>
      <c r="BG291" s="370">
        <v>0</v>
      </c>
      <c r="BH291" s="375">
        <v>0</v>
      </c>
      <c r="BJ291" s="365">
        <v>0</v>
      </c>
      <c r="BK291" s="370">
        <v>0</v>
      </c>
      <c r="BL291" s="370">
        <v>0</v>
      </c>
      <c r="BM291" s="375">
        <v>0</v>
      </c>
      <c r="BO291" s="365">
        <v>0</v>
      </c>
      <c r="BP291" s="370">
        <v>0</v>
      </c>
      <c r="BQ291" s="370">
        <v>0</v>
      </c>
      <c r="BR291" s="375">
        <v>0</v>
      </c>
      <c r="BT291" s="365">
        <v>0</v>
      </c>
      <c r="BU291" s="370">
        <v>0</v>
      </c>
      <c r="BV291" s="370">
        <v>0</v>
      </c>
      <c r="BW291" s="375">
        <v>0</v>
      </c>
      <c r="BY291" s="365">
        <v>0</v>
      </c>
      <c r="BZ291" s="373">
        <v>300051310.19501489</v>
      </c>
      <c r="CA291" s="375">
        <v>0</v>
      </c>
      <c r="CC291" s="365">
        <v>0</v>
      </c>
      <c r="CD291" s="375">
        <v>0</v>
      </c>
      <c r="CF291" s="365">
        <v>0</v>
      </c>
      <c r="CG291" s="375">
        <v>0</v>
      </c>
      <c r="CI291" s="365">
        <v>0</v>
      </c>
      <c r="CJ291" s="375">
        <v>0</v>
      </c>
    </row>
    <row r="292" spans="7:88">
      <c r="G292" s="417">
        <v>288</v>
      </c>
      <c r="H292" s="251">
        <v>16</v>
      </c>
      <c r="I292" s="377">
        <v>0</v>
      </c>
      <c r="J292" s="368">
        <v>0</v>
      </c>
      <c r="K292" s="368">
        <v>0</v>
      </c>
      <c r="L292" s="369">
        <v>0</v>
      </c>
      <c r="N292" s="367">
        <v>0</v>
      </c>
      <c r="O292" s="370">
        <v>0</v>
      </c>
      <c r="P292" s="370">
        <v>0</v>
      </c>
      <c r="Q292" s="370">
        <v>0</v>
      </c>
      <c r="R292" s="370">
        <v>0</v>
      </c>
      <c r="S292" s="370">
        <v>0</v>
      </c>
      <c r="T292" s="379">
        <v>0</v>
      </c>
      <c r="U292" s="371">
        <v>0</v>
      </c>
      <c r="V292" s="371">
        <v>0</v>
      </c>
      <c r="W292" s="372">
        <v>0</v>
      </c>
      <c r="X292" s="41"/>
      <c r="Y292" s="365">
        <v>0</v>
      </c>
      <c r="Z292" s="370">
        <v>0</v>
      </c>
      <c r="AA292" s="370">
        <v>0</v>
      </c>
      <c r="AB292" s="375">
        <v>0</v>
      </c>
      <c r="AC292" s="41"/>
      <c r="AD292" s="449">
        <v>0</v>
      </c>
      <c r="AE292" s="365">
        <v>0</v>
      </c>
      <c r="AF292" s="375">
        <v>0</v>
      </c>
      <c r="AH292" s="365">
        <v>0</v>
      </c>
      <c r="AI292" s="370">
        <v>0</v>
      </c>
      <c r="AJ292" s="370">
        <v>0</v>
      </c>
      <c r="AK292" s="375">
        <v>0</v>
      </c>
      <c r="AM292" s="365">
        <v>0</v>
      </c>
      <c r="AN292" s="370">
        <v>0</v>
      </c>
      <c r="AO292" s="370">
        <v>0</v>
      </c>
      <c r="AP292" s="375">
        <v>0</v>
      </c>
      <c r="AR292" s="365">
        <v>0</v>
      </c>
      <c r="AS292" s="375">
        <v>0</v>
      </c>
      <c r="AU292" s="378">
        <v>0</v>
      </c>
      <c r="AV292" s="379">
        <v>0</v>
      </c>
      <c r="AW292" s="380">
        <v>0</v>
      </c>
      <c r="AX292" s="381">
        <v>0</v>
      </c>
      <c r="AZ292" s="365">
        <v>0</v>
      </c>
      <c r="BA292" s="370">
        <v>0</v>
      </c>
      <c r="BB292" s="370">
        <v>0</v>
      </c>
      <c r="BC292" s="375">
        <v>0</v>
      </c>
      <c r="BE292" s="365">
        <v>0</v>
      </c>
      <c r="BF292" s="370">
        <v>0</v>
      </c>
      <c r="BG292" s="370">
        <v>0</v>
      </c>
      <c r="BH292" s="375">
        <v>0</v>
      </c>
      <c r="BJ292" s="365">
        <v>0</v>
      </c>
      <c r="BK292" s="370">
        <v>0</v>
      </c>
      <c r="BL292" s="370">
        <v>0</v>
      </c>
      <c r="BM292" s="375">
        <v>0</v>
      </c>
      <c r="BO292" s="365">
        <v>0</v>
      </c>
      <c r="BP292" s="370">
        <v>0</v>
      </c>
      <c r="BQ292" s="370">
        <v>0</v>
      </c>
      <c r="BR292" s="375">
        <v>0</v>
      </c>
      <c r="BT292" s="365">
        <v>0</v>
      </c>
      <c r="BU292" s="370">
        <v>0</v>
      </c>
      <c r="BV292" s="370">
        <v>0</v>
      </c>
      <c r="BW292" s="375">
        <v>0</v>
      </c>
      <c r="BY292" s="365">
        <v>0</v>
      </c>
      <c r="BZ292" s="373">
        <v>300051310.19501489</v>
      </c>
      <c r="CA292" s="375">
        <v>0</v>
      </c>
      <c r="CC292" s="365">
        <v>0</v>
      </c>
      <c r="CD292" s="375">
        <v>0</v>
      </c>
      <c r="CF292" s="365">
        <v>0</v>
      </c>
      <c r="CG292" s="375">
        <v>0</v>
      </c>
      <c r="CI292" s="365">
        <v>0</v>
      </c>
      <c r="CJ292" s="375">
        <v>0</v>
      </c>
    </row>
    <row r="293" spans="7:88">
      <c r="G293" s="417">
        <v>289</v>
      </c>
      <c r="H293" s="251">
        <v>16</v>
      </c>
      <c r="I293" s="377">
        <v>0</v>
      </c>
      <c r="J293" s="368">
        <v>0</v>
      </c>
      <c r="K293" s="368">
        <v>0</v>
      </c>
      <c r="L293" s="369">
        <v>0</v>
      </c>
      <c r="N293" s="367">
        <v>0</v>
      </c>
      <c r="O293" s="370">
        <v>0</v>
      </c>
      <c r="P293" s="370">
        <v>0</v>
      </c>
      <c r="Q293" s="370">
        <v>0</v>
      </c>
      <c r="R293" s="370">
        <v>0</v>
      </c>
      <c r="S293" s="370">
        <v>0</v>
      </c>
      <c r="T293" s="379">
        <v>0</v>
      </c>
      <c r="U293" s="371">
        <v>0</v>
      </c>
      <c r="V293" s="371">
        <v>0</v>
      </c>
      <c r="W293" s="372">
        <v>0</v>
      </c>
      <c r="X293" s="41"/>
      <c r="Y293" s="365">
        <v>0</v>
      </c>
      <c r="Z293" s="370">
        <v>0</v>
      </c>
      <c r="AA293" s="370">
        <v>0</v>
      </c>
      <c r="AB293" s="375">
        <v>0</v>
      </c>
      <c r="AC293" s="41"/>
      <c r="AD293" s="449">
        <v>0</v>
      </c>
      <c r="AE293" s="365">
        <v>0</v>
      </c>
      <c r="AF293" s="375">
        <v>0</v>
      </c>
      <c r="AH293" s="365">
        <v>0</v>
      </c>
      <c r="AI293" s="370">
        <v>0</v>
      </c>
      <c r="AJ293" s="370">
        <v>0</v>
      </c>
      <c r="AK293" s="375">
        <v>0</v>
      </c>
      <c r="AM293" s="365">
        <v>0</v>
      </c>
      <c r="AN293" s="370">
        <v>0</v>
      </c>
      <c r="AO293" s="370">
        <v>0</v>
      </c>
      <c r="AP293" s="375">
        <v>0</v>
      </c>
      <c r="AR293" s="365">
        <v>0</v>
      </c>
      <c r="AS293" s="375">
        <v>0</v>
      </c>
      <c r="AU293" s="378">
        <v>0</v>
      </c>
      <c r="AV293" s="379">
        <v>0</v>
      </c>
      <c r="AW293" s="380">
        <v>0</v>
      </c>
      <c r="AX293" s="381">
        <v>0</v>
      </c>
      <c r="AZ293" s="365">
        <v>0</v>
      </c>
      <c r="BA293" s="370">
        <v>0</v>
      </c>
      <c r="BB293" s="370">
        <v>0</v>
      </c>
      <c r="BC293" s="375">
        <v>0</v>
      </c>
      <c r="BE293" s="365">
        <v>0</v>
      </c>
      <c r="BF293" s="370">
        <v>0</v>
      </c>
      <c r="BG293" s="370">
        <v>0</v>
      </c>
      <c r="BH293" s="375">
        <v>0</v>
      </c>
      <c r="BJ293" s="365">
        <v>0</v>
      </c>
      <c r="BK293" s="370">
        <v>0</v>
      </c>
      <c r="BL293" s="370">
        <v>0</v>
      </c>
      <c r="BM293" s="375">
        <v>0</v>
      </c>
      <c r="BO293" s="365">
        <v>0</v>
      </c>
      <c r="BP293" s="370">
        <v>0</v>
      </c>
      <c r="BQ293" s="370">
        <v>0</v>
      </c>
      <c r="BR293" s="375">
        <v>0</v>
      </c>
      <c r="BT293" s="365">
        <v>0</v>
      </c>
      <c r="BU293" s="370">
        <v>0</v>
      </c>
      <c r="BV293" s="370">
        <v>0</v>
      </c>
      <c r="BW293" s="375">
        <v>0</v>
      </c>
      <c r="BY293" s="365">
        <v>0</v>
      </c>
      <c r="BZ293" s="373">
        <v>300051310.19501489</v>
      </c>
      <c r="CA293" s="375">
        <v>0</v>
      </c>
      <c r="CC293" s="365">
        <v>0</v>
      </c>
      <c r="CD293" s="375">
        <v>0</v>
      </c>
      <c r="CF293" s="365">
        <v>0</v>
      </c>
      <c r="CG293" s="375">
        <v>0</v>
      </c>
      <c r="CI293" s="365">
        <v>0</v>
      </c>
      <c r="CJ293" s="375">
        <v>0</v>
      </c>
    </row>
    <row r="294" spans="7:88">
      <c r="G294" s="417">
        <v>290</v>
      </c>
      <c r="H294" s="251">
        <v>16</v>
      </c>
      <c r="I294" s="377">
        <v>0</v>
      </c>
      <c r="J294" s="368">
        <v>0</v>
      </c>
      <c r="K294" s="368">
        <v>0</v>
      </c>
      <c r="L294" s="369">
        <v>0</v>
      </c>
      <c r="N294" s="367">
        <v>0</v>
      </c>
      <c r="O294" s="370">
        <v>0</v>
      </c>
      <c r="P294" s="370">
        <v>0</v>
      </c>
      <c r="Q294" s="370">
        <v>0</v>
      </c>
      <c r="R294" s="370">
        <v>0</v>
      </c>
      <c r="S294" s="370">
        <v>0</v>
      </c>
      <c r="T294" s="379">
        <v>0</v>
      </c>
      <c r="U294" s="371">
        <v>0</v>
      </c>
      <c r="V294" s="371">
        <v>0</v>
      </c>
      <c r="W294" s="372">
        <v>0</v>
      </c>
      <c r="X294" s="41"/>
      <c r="Y294" s="365">
        <v>0</v>
      </c>
      <c r="Z294" s="370">
        <v>0</v>
      </c>
      <c r="AA294" s="370">
        <v>0</v>
      </c>
      <c r="AB294" s="375">
        <v>0</v>
      </c>
      <c r="AC294" s="41"/>
      <c r="AD294" s="449">
        <v>0</v>
      </c>
      <c r="AE294" s="365">
        <v>0</v>
      </c>
      <c r="AF294" s="375">
        <v>0</v>
      </c>
      <c r="AH294" s="365">
        <v>0</v>
      </c>
      <c r="AI294" s="370">
        <v>0</v>
      </c>
      <c r="AJ294" s="370">
        <v>0</v>
      </c>
      <c r="AK294" s="375">
        <v>0</v>
      </c>
      <c r="AM294" s="365">
        <v>0</v>
      </c>
      <c r="AN294" s="370">
        <v>0</v>
      </c>
      <c r="AO294" s="370">
        <v>0</v>
      </c>
      <c r="AP294" s="375">
        <v>0</v>
      </c>
      <c r="AR294" s="365">
        <v>0</v>
      </c>
      <c r="AS294" s="375">
        <v>0</v>
      </c>
      <c r="AU294" s="378">
        <v>0</v>
      </c>
      <c r="AV294" s="379">
        <v>0</v>
      </c>
      <c r="AW294" s="380">
        <v>0</v>
      </c>
      <c r="AX294" s="381">
        <v>0</v>
      </c>
      <c r="AZ294" s="365">
        <v>0</v>
      </c>
      <c r="BA294" s="370">
        <v>0</v>
      </c>
      <c r="BB294" s="370">
        <v>0</v>
      </c>
      <c r="BC294" s="375">
        <v>0</v>
      </c>
      <c r="BE294" s="365">
        <v>0</v>
      </c>
      <c r="BF294" s="370">
        <v>0</v>
      </c>
      <c r="BG294" s="370">
        <v>0</v>
      </c>
      <c r="BH294" s="375">
        <v>0</v>
      </c>
      <c r="BJ294" s="365">
        <v>0</v>
      </c>
      <c r="BK294" s="370">
        <v>0</v>
      </c>
      <c r="BL294" s="370">
        <v>0</v>
      </c>
      <c r="BM294" s="375">
        <v>0</v>
      </c>
      <c r="BO294" s="365">
        <v>0</v>
      </c>
      <c r="BP294" s="370">
        <v>0</v>
      </c>
      <c r="BQ294" s="370">
        <v>0</v>
      </c>
      <c r="BR294" s="375">
        <v>0</v>
      </c>
      <c r="BT294" s="365">
        <v>0</v>
      </c>
      <c r="BU294" s="370">
        <v>0</v>
      </c>
      <c r="BV294" s="370">
        <v>0</v>
      </c>
      <c r="BW294" s="375">
        <v>0</v>
      </c>
      <c r="BY294" s="365">
        <v>0</v>
      </c>
      <c r="BZ294" s="373">
        <v>300051310.19501489</v>
      </c>
      <c r="CA294" s="375">
        <v>0</v>
      </c>
      <c r="CC294" s="365">
        <v>0</v>
      </c>
      <c r="CD294" s="375">
        <v>0</v>
      </c>
      <c r="CF294" s="365">
        <v>0</v>
      </c>
      <c r="CG294" s="375">
        <v>0</v>
      </c>
      <c r="CI294" s="365">
        <v>0</v>
      </c>
      <c r="CJ294" s="375">
        <v>0</v>
      </c>
    </row>
    <row r="295" spans="7:88">
      <c r="G295" s="417">
        <v>291</v>
      </c>
      <c r="H295" s="251">
        <v>16</v>
      </c>
      <c r="I295" s="377">
        <v>0</v>
      </c>
      <c r="J295" s="368">
        <v>0</v>
      </c>
      <c r="K295" s="368">
        <v>0</v>
      </c>
      <c r="L295" s="369">
        <v>0</v>
      </c>
      <c r="N295" s="367">
        <v>0</v>
      </c>
      <c r="O295" s="370">
        <v>0</v>
      </c>
      <c r="P295" s="370">
        <v>0</v>
      </c>
      <c r="Q295" s="370">
        <v>0</v>
      </c>
      <c r="R295" s="370">
        <v>0</v>
      </c>
      <c r="S295" s="370">
        <v>0</v>
      </c>
      <c r="T295" s="379">
        <v>0</v>
      </c>
      <c r="U295" s="371">
        <v>0</v>
      </c>
      <c r="V295" s="371">
        <v>0</v>
      </c>
      <c r="W295" s="372">
        <v>0</v>
      </c>
      <c r="X295" s="41"/>
      <c r="Y295" s="365">
        <v>0</v>
      </c>
      <c r="Z295" s="370">
        <v>0</v>
      </c>
      <c r="AA295" s="370">
        <v>0</v>
      </c>
      <c r="AB295" s="375">
        <v>0</v>
      </c>
      <c r="AC295" s="41"/>
      <c r="AD295" s="449">
        <v>0</v>
      </c>
      <c r="AE295" s="365">
        <v>0</v>
      </c>
      <c r="AF295" s="375">
        <v>0</v>
      </c>
      <c r="AH295" s="365">
        <v>0</v>
      </c>
      <c r="AI295" s="370">
        <v>0</v>
      </c>
      <c r="AJ295" s="370">
        <v>0</v>
      </c>
      <c r="AK295" s="375">
        <v>0</v>
      </c>
      <c r="AM295" s="365">
        <v>0</v>
      </c>
      <c r="AN295" s="370">
        <v>0</v>
      </c>
      <c r="AO295" s="370">
        <v>0</v>
      </c>
      <c r="AP295" s="375">
        <v>0</v>
      </c>
      <c r="AR295" s="365">
        <v>0</v>
      </c>
      <c r="AS295" s="375">
        <v>0</v>
      </c>
      <c r="AU295" s="378">
        <v>0</v>
      </c>
      <c r="AV295" s="379">
        <v>0</v>
      </c>
      <c r="AW295" s="380">
        <v>0</v>
      </c>
      <c r="AX295" s="381">
        <v>0</v>
      </c>
      <c r="AZ295" s="365">
        <v>0</v>
      </c>
      <c r="BA295" s="370">
        <v>0</v>
      </c>
      <c r="BB295" s="370">
        <v>0</v>
      </c>
      <c r="BC295" s="375">
        <v>0</v>
      </c>
      <c r="BE295" s="365">
        <v>0</v>
      </c>
      <c r="BF295" s="370">
        <v>0</v>
      </c>
      <c r="BG295" s="370">
        <v>0</v>
      </c>
      <c r="BH295" s="375">
        <v>0</v>
      </c>
      <c r="BJ295" s="365">
        <v>0</v>
      </c>
      <c r="BK295" s="370">
        <v>0</v>
      </c>
      <c r="BL295" s="370">
        <v>0</v>
      </c>
      <c r="BM295" s="375">
        <v>0</v>
      </c>
      <c r="BO295" s="365">
        <v>0</v>
      </c>
      <c r="BP295" s="370">
        <v>0</v>
      </c>
      <c r="BQ295" s="370">
        <v>0</v>
      </c>
      <c r="BR295" s="375">
        <v>0</v>
      </c>
      <c r="BT295" s="365">
        <v>0</v>
      </c>
      <c r="BU295" s="370">
        <v>0</v>
      </c>
      <c r="BV295" s="370">
        <v>0</v>
      </c>
      <c r="BW295" s="375">
        <v>0</v>
      </c>
      <c r="BY295" s="365">
        <v>0</v>
      </c>
      <c r="BZ295" s="373">
        <v>300051310.19501489</v>
      </c>
      <c r="CA295" s="375">
        <v>0</v>
      </c>
      <c r="CC295" s="365">
        <v>0</v>
      </c>
      <c r="CD295" s="375">
        <v>0</v>
      </c>
      <c r="CF295" s="365">
        <v>0</v>
      </c>
      <c r="CG295" s="375">
        <v>0</v>
      </c>
      <c r="CI295" s="365">
        <v>0</v>
      </c>
      <c r="CJ295" s="375">
        <v>0</v>
      </c>
    </row>
    <row r="296" spans="7:88">
      <c r="G296" s="417">
        <v>292</v>
      </c>
      <c r="H296" s="251">
        <v>16</v>
      </c>
      <c r="I296" s="377">
        <v>0</v>
      </c>
      <c r="J296" s="368">
        <v>0</v>
      </c>
      <c r="K296" s="368">
        <v>0</v>
      </c>
      <c r="L296" s="369">
        <v>0</v>
      </c>
      <c r="N296" s="367">
        <v>0</v>
      </c>
      <c r="O296" s="370">
        <v>0</v>
      </c>
      <c r="P296" s="370">
        <v>0</v>
      </c>
      <c r="Q296" s="370">
        <v>0</v>
      </c>
      <c r="R296" s="370">
        <v>0</v>
      </c>
      <c r="S296" s="370">
        <v>0</v>
      </c>
      <c r="T296" s="379">
        <v>0</v>
      </c>
      <c r="U296" s="371">
        <v>0</v>
      </c>
      <c r="V296" s="371">
        <v>0</v>
      </c>
      <c r="W296" s="372">
        <v>0</v>
      </c>
      <c r="X296" s="41"/>
      <c r="Y296" s="365">
        <v>0</v>
      </c>
      <c r="Z296" s="370">
        <v>0</v>
      </c>
      <c r="AA296" s="370">
        <v>0</v>
      </c>
      <c r="AB296" s="375">
        <v>0</v>
      </c>
      <c r="AC296" s="41"/>
      <c r="AD296" s="449">
        <v>0</v>
      </c>
      <c r="AE296" s="365">
        <v>0</v>
      </c>
      <c r="AF296" s="375">
        <v>0</v>
      </c>
      <c r="AH296" s="365">
        <v>0</v>
      </c>
      <c r="AI296" s="370">
        <v>0</v>
      </c>
      <c r="AJ296" s="370">
        <v>0</v>
      </c>
      <c r="AK296" s="375">
        <v>0</v>
      </c>
      <c r="AM296" s="365">
        <v>0</v>
      </c>
      <c r="AN296" s="370">
        <v>0</v>
      </c>
      <c r="AO296" s="370">
        <v>0</v>
      </c>
      <c r="AP296" s="375">
        <v>0</v>
      </c>
      <c r="AR296" s="365">
        <v>0</v>
      </c>
      <c r="AS296" s="375">
        <v>0</v>
      </c>
      <c r="AU296" s="378">
        <v>0</v>
      </c>
      <c r="AV296" s="379">
        <v>0</v>
      </c>
      <c r="AW296" s="380">
        <v>0</v>
      </c>
      <c r="AX296" s="381">
        <v>0</v>
      </c>
      <c r="AZ296" s="365">
        <v>0</v>
      </c>
      <c r="BA296" s="370">
        <v>0</v>
      </c>
      <c r="BB296" s="370">
        <v>0</v>
      </c>
      <c r="BC296" s="375">
        <v>0</v>
      </c>
      <c r="BE296" s="365">
        <v>0</v>
      </c>
      <c r="BF296" s="370">
        <v>0</v>
      </c>
      <c r="BG296" s="370">
        <v>0</v>
      </c>
      <c r="BH296" s="375">
        <v>0</v>
      </c>
      <c r="BJ296" s="365">
        <v>0</v>
      </c>
      <c r="BK296" s="370">
        <v>0</v>
      </c>
      <c r="BL296" s="370">
        <v>0</v>
      </c>
      <c r="BM296" s="375">
        <v>0</v>
      </c>
      <c r="BO296" s="365">
        <v>0</v>
      </c>
      <c r="BP296" s="370">
        <v>0</v>
      </c>
      <c r="BQ296" s="370">
        <v>0</v>
      </c>
      <c r="BR296" s="375">
        <v>0</v>
      </c>
      <c r="BT296" s="365">
        <v>0</v>
      </c>
      <c r="BU296" s="370">
        <v>0</v>
      </c>
      <c r="BV296" s="370">
        <v>0</v>
      </c>
      <c r="BW296" s="375">
        <v>0</v>
      </c>
      <c r="BY296" s="365">
        <v>0</v>
      </c>
      <c r="BZ296" s="373">
        <v>300051310.19501489</v>
      </c>
      <c r="CA296" s="375">
        <v>0</v>
      </c>
      <c r="CC296" s="365">
        <v>0</v>
      </c>
      <c r="CD296" s="375">
        <v>0</v>
      </c>
      <c r="CF296" s="365">
        <v>0</v>
      </c>
      <c r="CG296" s="375">
        <v>0</v>
      </c>
      <c r="CI296" s="365">
        <v>0</v>
      </c>
      <c r="CJ296" s="375">
        <v>0</v>
      </c>
    </row>
    <row r="297" spans="7:88">
      <c r="G297" s="417">
        <v>293</v>
      </c>
      <c r="H297" s="251">
        <v>16</v>
      </c>
      <c r="I297" s="377">
        <v>0</v>
      </c>
      <c r="J297" s="368">
        <v>0</v>
      </c>
      <c r="K297" s="368">
        <v>0</v>
      </c>
      <c r="L297" s="369">
        <v>0</v>
      </c>
      <c r="N297" s="367">
        <v>0</v>
      </c>
      <c r="O297" s="370">
        <v>0</v>
      </c>
      <c r="P297" s="370">
        <v>0</v>
      </c>
      <c r="Q297" s="370">
        <v>0</v>
      </c>
      <c r="R297" s="370">
        <v>0</v>
      </c>
      <c r="S297" s="370">
        <v>0</v>
      </c>
      <c r="T297" s="379">
        <v>0</v>
      </c>
      <c r="U297" s="371">
        <v>0</v>
      </c>
      <c r="V297" s="371">
        <v>0</v>
      </c>
      <c r="W297" s="372">
        <v>0</v>
      </c>
      <c r="X297" s="41"/>
      <c r="Y297" s="365">
        <v>0</v>
      </c>
      <c r="Z297" s="370">
        <v>0</v>
      </c>
      <c r="AA297" s="370">
        <v>0</v>
      </c>
      <c r="AB297" s="375">
        <v>0</v>
      </c>
      <c r="AC297" s="41"/>
      <c r="AD297" s="449">
        <v>0</v>
      </c>
      <c r="AE297" s="365">
        <v>0</v>
      </c>
      <c r="AF297" s="375">
        <v>0</v>
      </c>
      <c r="AH297" s="365">
        <v>0</v>
      </c>
      <c r="AI297" s="370">
        <v>0</v>
      </c>
      <c r="AJ297" s="370">
        <v>0</v>
      </c>
      <c r="AK297" s="375">
        <v>0</v>
      </c>
      <c r="AM297" s="365">
        <v>0</v>
      </c>
      <c r="AN297" s="370">
        <v>0</v>
      </c>
      <c r="AO297" s="370">
        <v>0</v>
      </c>
      <c r="AP297" s="375">
        <v>0</v>
      </c>
      <c r="AR297" s="365">
        <v>0</v>
      </c>
      <c r="AS297" s="375">
        <v>0</v>
      </c>
      <c r="AU297" s="378">
        <v>0</v>
      </c>
      <c r="AV297" s="379">
        <v>0</v>
      </c>
      <c r="AW297" s="380">
        <v>0</v>
      </c>
      <c r="AX297" s="381">
        <v>0</v>
      </c>
      <c r="AZ297" s="365">
        <v>0</v>
      </c>
      <c r="BA297" s="370">
        <v>0</v>
      </c>
      <c r="BB297" s="370">
        <v>0</v>
      </c>
      <c r="BC297" s="375">
        <v>0</v>
      </c>
      <c r="BE297" s="365">
        <v>0</v>
      </c>
      <c r="BF297" s="370">
        <v>0</v>
      </c>
      <c r="BG297" s="370">
        <v>0</v>
      </c>
      <c r="BH297" s="375">
        <v>0</v>
      </c>
      <c r="BJ297" s="365">
        <v>0</v>
      </c>
      <c r="BK297" s="370">
        <v>0</v>
      </c>
      <c r="BL297" s="370">
        <v>0</v>
      </c>
      <c r="BM297" s="375">
        <v>0</v>
      </c>
      <c r="BO297" s="365">
        <v>0</v>
      </c>
      <c r="BP297" s="370">
        <v>0</v>
      </c>
      <c r="BQ297" s="370">
        <v>0</v>
      </c>
      <c r="BR297" s="375">
        <v>0</v>
      </c>
      <c r="BT297" s="365">
        <v>0</v>
      </c>
      <c r="BU297" s="370">
        <v>0</v>
      </c>
      <c r="BV297" s="370">
        <v>0</v>
      </c>
      <c r="BW297" s="375">
        <v>0</v>
      </c>
      <c r="BY297" s="365">
        <v>0</v>
      </c>
      <c r="BZ297" s="373">
        <v>300051310.19501489</v>
      </c>
      <c r="CA297" s="375">
        <v>0</v>
      </c>
      <c r="CC297" s="365">
        <v>0</v>
      </c>
      <c r="CD297" s="375">
        <v>0</v>
      </c>
      <c r="CF297" s="365">
        <v>0</v>
      </c>
      <c r="CG297" s="375">
        <v>0</v>
      </c>
      <c r="CI297" s="365">
        <v>0</v>
      </c>
      <c r="CJ297" s="375">
        <v>0</v>
      </c>
    </row>
    <row r="298" spans="7:88">
      <c r="G298" s="417">
        <v>294</v>
      </c>
      <c r="H298" s="251">
        <v>16</v>
      </c>
      <c r="I298" s="377">
        <v>0</v>
      </c>
      <c r="J298" s="368">
        <v>0</v>
      </c>
      <c r="K298" s="368">
        <v>0</v>
      </c>
      <c r="L298" s="369">
        <v>0</v>
      </c>
      <c r="N298" s="367">
        <v>0</v>
      </c>
      <c r="O298" s="370">
        <v>0</v>
      </c>
      <c r="P298" s="370">
        <v>0</v>
      </c>
      <c r="Q298" s="370">
        <v>0</v>
      </c>
      <c r="R298" s="370">
        <v>0</v>
      </c>
      <c r="S298" s="370">
        <v>0</v>
      </c>
      <c r="T298" s="379">
        <v>0</v>
      </c>
      <c r="U298" s="371">
        <v>0</v>
      </c>
      <c r="V298" s="371">
        <v>0</v>
      </c>
      <c r="W298" s="372">
        <v>0</v>
      </c>
      <c r="X298" s="41"/>
      <c r="Y298" s="365">
        <v>0</v>
      </c>
      <c r="Z298" s="370">
        <v>0</v>
      </c>
      <c r="AA298" s="370">
        <v>0</v>
      </c>
      <c r="AB298" s="375">
        <v>0</v>
      </c>
      <c r="AC298" s="41"/>
      <c r="AD298" s="449">
        <v>0</v>
      </c>
      <c r="AE298" s="365">
        <v>0</v>
      </c>
      <c r="AF298" s="375">
        <v>0</v>
      </c>
      <c r="AH298" s="365">
        <v>0</v>
      </c>
      <c r="AI298" s="370">
        <v>0</v>
      </c>
      <c r="AJ298" s="370">
        <v>0</v>
      </c>
      <c r="AK298" s="375">
        <v>0</v>
      </c>
      <c r="AM298" s="365">
        <v>0</v>
      </c>
      <c r="AN298" s="370">
        <v>0</v>
      </c>
      <c r="AO298" s="370">
        <v>0</v>
      </c>
      <c r="AP298" s="375">
        <v>0</v>
      </c>
      <c r="AR298" s="365">
        <v>0</v>
      </c>
      <c r="AS298" s="375">
        <v>0</v>
      </c>
      <c r="AU298" s="378">
        <v>0</v>
      </c>
      <c r="AV298" s="379">
        <v>0</v>
      </c>
      <c r="AW298" s="380">
        <v>0</v>
      </c>
      <c r="AX298" s="381">
        <v>0</v>
      </c>
      <c r="AZ298" s="365">
        <v>0</v>
      </c>
      <c r="BA298" s="370">
        <v>0</v>
      </c>
      <c r="BB298" s="370">
        <v>0</v>
      </c>
      <c r="BC298" s="375">
        <v>0</v>
      </c>
      <c r="BE298" s="365">
        <v>0</v>
      </c>
      <c r="BF298" s="370">
        <v>0</v>
      </c>
      <c r="BG298" s="370">
        <v>0</v>
      </c>
      <c r="BH298" s="375">
        <v>0</v>
      </c>
      <c r="BJ298" s="365">
        <v>0</v>
      </c>
      <c r="BK298" s="370">
        <v>0</v>
      </c>
      <c r="BL298" s="370">
        <v>0</v>
      </c>
      <c r="BM298" s="375">
        <v>0</v>
      </c>
      <c r="BO298" s="365">
        <v>0</v>
      </c>
      <c r="BP298" s="370">
        <v>0</v>
      </c>
      <c r="BQ298" s="370">
        <v>0</v>
      </c>
      <c r="BR298" s="375">
        <v>0</v>
      </c>
      <c r="BT298" s="365">
        <v>0</v>
      </c>
      <c r="BU298" s="370">
        <v>0</v>
      </c>
      <c r="BV298" s="370">
        <v>0</v>
      </c>
      <c r="BW298" s="375">
        <v>0</v>
      </c>
      <c r="BY298" s="365">
        <v>0</v>
      </c>
      <c r="BZ298" s="373">
        <v>300051310.19501489</v>
      </c>
      <c r="CA298" s="375">
        <v>0</v>
      </c>
      <c r="CC298" s="365">
        <v>0</v>
      </c>
      <c r="CD298" s="375">
        <v>0</v>
      </c>
      <c r="CF298" s="365">
        <v>0</v>
      </c>
      <c r="CG298" s="375">
        <v>0</v>
      </c>
      <c r="CI298" s="365">
        <v>0</v>
      </c>
      <c r="CJ298" s="375">
        <v>0</v>
      </c>
    </row>
    <row r="299" spans="7:88">
      <c r="G299" s="417">
        <v>295</v>
      </c>
      <c r="H299" s="251">
        <v>16</v>
      </c>
      <c r="I299" s="377">
        <v>0</v>
      </c>
      <c r="J299" s="368">
        <v>0</v>
      </c>
      <c r="K299" s="368">
        <v>0</v>
      </c>
      <c r="L299" s="369">
        <v>0</v>
      </c>
      <c r="N299" s="367">
        <v>0</v>
      </c>
      <c r="O299" s="370">
        <v>0</v>
      </c>
      <c r="P299" s="370">
        <v>0</v>
      </c>
      <c r="Q299" s="370">
        <v>0</v>
      </c>
      <c r="R299" s="370">
        <v>0</v>
      </c>
      <c r="S299" s="370">
        <v>0</v>
      </c>
      <c r="T299" s="379">
        <v>0</v>
      </c>
      <c r="U299" s="371">
        <v>0</v>
      </c>
      <c r="V299" s="371">
        <v>0</v>
      </c>
      <c r="W299" s="372">
        <v>0</v>
      </c>
      <c r="X299" s="41"/>
      <c r="Y299" s="365">
        <v>0</v>
      </c>
      <c r="Z299" s="370">
        <v>0</v>
      </c>
      <c r="AA299" s="370">
        <v>0</v>
      </c>
      <c r="AB299" s="375">
        <v>0</v>
      </c>
      <c r="AC299" s="41"/>
      <c r="AD299" s="449">
        <v>0</v>
      </c>
      <c r="AE299" s="365">
        <v>0</v>
      </c>
      <c r="AF299" s="375">
        <v>0</v>
      </c>
      <c r="AH299" s="365">
        <v>0</v>
      </c>
      <c r="AI299" s="370">
        <v>0</v>
      </c>
      <c r="AJ299" s="370">
        <v>0</v>
      </c>
      <c r="AK299" s="375">
        <v>0</v>
      </c>
      <c r="AM299" s="365">
        <v>0</v>
      </c>
      <c r="AN299" s="370">
        <v>0</v>
      </c>
      <c r="AO299" s="370">
        <v>0</v>
      </c>
      <c r="AP299" s="375">
        <v>0</v>
      </c>
      <c r="AR299" s="365">
        <v>0</v>
      </c>
      <c r="AS299" s="375">
        <v>0</v>
      </c>
      <c r="AU299" s="378">
        <v>0</v>
      </c>
      <c r="AV299" s="379">
        <v>0</v>
      </c>
      <c r="AW299" s="380">
        <v>0</v>
      </c>
      <c r="AX299" s="381">
        <v>0</v>
      </c>
      <c r="AZ299" s="365">
        <v>0</v>
      </c>
      <c r="BA299" s="370">
        <v>0</v>
      </c>
      <c r="BB299" s="370">
        <v>0</v>
      </c>
      <c r="BC299" s="375">
        <v>0</v>
      </c>
      <c r="BE299" s="365">
        <v>0</v>
      </c>
      <c r="BF299" s="370">
        <v>0</v>
      </c>
      <c r="BG299" s="370">
        <v>0</v>
      </c>
      <c r="BH299" s="375">
        <v>0</v>
      </c>
      <c r="BJ299" s="365">
        <v>0</v>
      </c>
      <c r="BK299" s="370">
        <v>0</v>
      </c>
      <c r="BL299" s="370">
        <v>0</v>
      </c>
      <c r="BM299" s="375">
        <v>0</v>
      </c>
      <c r="BO299" s="365">
        <v>0</v>
      </c>
      <c r="BP299" s="370">
        <v>0</v>
      </c>
      <c r="BQ299" s="370">
        <v>0</v>
      </c>
      <c r="BR299" s="375">
        <v>0</v>
      </c>
      <c r="BT299" s="365">
        <v>0</v>
      </c>
      <c r="BU299" s="370">
        <v>0</v>
      </c>
      <c r="BV299" s="370">
        <v>0</v>
      </c>
      <c r="BW299" s="375">
        <v>0</v>
      </c>
      <c r="BY299" s="365">
        <v>0</v>
      </c>
      <c r="BZ299" s="373">
        <v>300051310.19501489</v>
      </c>
      <c r="CA299" s="375">
        <v>0</v>
      </c>
      <c r="CC299" s="365">
        <v>0</v>
      </c>
      <c r="CD299" s="375">
        <v>0</v>
      </c>
      <c r="CF299" s="365">
        <v>0</v>
      </c>
      <c r="CG299" s="375">
        <v>0</v>
      </c>
      <c r="CI299" s="365">
        <v>0</v>
      </c>
      <c r="CJ299" s="375">
        <v>0</v>
      </c>
    </row>
    <row r="300" spans="7:88">
      <c r="G300" s="417">
        <v>296</v>
      </c>
      <c r="H300" s="251">
        <v>16</v>
      </c>
      <c r="I300" s="377">
        <v>0</v>
      </c>
      <c r="J300" s="368">
        <v>0</v>
      </c>
      <c r="K300" s="368">
        <v>0</v>
      </c>
      <c r="L300" s="369">
        <v>0</v>
      </c>
      <c r="N300" s="367">
        <v>0</v>
      </c>
      <c r="O300" s="370">
        <v>0</v>
      </c>
      <c r="P300" s="370">
        <v>0</v>
      </c>
      <c r="Q300" s="370">
        <v>0</v>
      </c>
      <c r="R300" s="370">
        <v>0</v>
      </c>
      <c r="S300" s="370">
        <v>0</v>
      </c>
      <c r="T300" s="379">
        <v>0</v>
      </c>
      <c r="U300" s="371">
        <v>0</v>
      </c>
      <c r="V300" s="371">
        <v>0</v>
      </c>
      <c r="W300" s="372">
        <v>0</v>
      </c>
      <c r="X300" s="41"/>
      <c r="Y300" s="365">
        <v>0</v>
      </c>
      <c r="Z300" s="370">
        <v>0</v>
      </c>
      <c r="AA300" s="370">
        <v>0</v>
      </c>
      <c r="AB300" s="375">
        <v>0</v>
      </c>
      <c r="AC300" s="41"/>
      <c r="AD300" s="449">
        <v>0</v>
      </c>
      <c r="AE300" s="365">
        <v>0</v>
      </c>
      <c r="AF300" s="375">
        <v>0</v>
      </c>
      <c r="AH300" s="365">
        <v>0</v>
      </c>
      <c r="AI300" s="370">
        <v>0</v>
      </c>
      <c r="AJ300" s="370">
        <v>0</v>
      </c>
      <c r="AK300" s="375">
        <v>0</v>
      </c>
      <c r="AM300" s="365">
        <v>0</v>
      </c>
      <c r="AN300" s="370">
        <v>0</v>
      </c>
      <c r="AO300" s="370">
        <v>0</v>
      </c>
      <c r="AP300" s="375">
        <v>0</v>
      </c>
      <c r="AR300" s="365">
        <v>0</v>
      </c>
      <c r="AS300" s="375">
        <v>0</v>
      </c>
      <c r="AU300" s="378">
        <v>0</v>
      </c>
      <c r="AV300" s="379">
        <v>0</v>
      </c>
      <c r="AW300" s="380">
        <v>0</v>
      </c>
      <c r="AX300" s="381">
        <v>0</v>
      </c>
      <c r="AZ300" s="365">
        <v>0</v>
      </c>
      <c r="BA300" s="370">
        <v>0</v>
      </c>
      <c r="BB300" s="370">
        <v>0</v>
      </c>
      <c r="BC300" s="375">
        <v>0</v>
      </c>
      <c r="BE300" s="365">
        <v>0</v>
      </c>
      <c r="BF300" s="370">
        <v>0</v>
      </c>
      <c r="BG300" s="370">
        <v>0</v>
      </c>
      <c r="BH300" s="375">
        <v>0</v>
      </c>
      <c r="BJ300" s="365">
        <v>0</v>
      </c>
      <c r="BK300" s="370">
        <v>0</v>
      </c>
      <c r="BL300" s="370">
        <v>0</v>
      </c>
      <c r="BM300" s="375">
        <v>0</v>
      </c>
      <c r="BO300" s="365">
        <v>0</v>
      </c>
      <c r="BP300" s="370">
        <v>0</v>
      </c>
      <c r="BQ300" s="370">
        <v>0</v>
      </c>
      <c r="BR300" s="375">
        <v>0</v>
      </c>
      <c r="BT300" s="365">
        <v>0</v>
      </c>
      <c r="BU300" s="370">
        <v>0</v>
      </c>
      <c r="BV300" s="370">
        <v>0</v>
      </c>
      <c r="BW300" s="375">
        <v>0</v>
      </c>
      <c r="BY300" s="365">
        <v>0</v>
      </c>
      <c r="BZ300" s="373">
        <v>300051310.19501489</v>
      </c>
      <c r="CA300" s="375">
        <v>0</v>
      </c>
      <c r="CC300" s="365">
        <v>0</v>
      </c>
      <c r="CD300" s="375">
        <v>0</v>
      </c>
      <c r="CF300" s="365">
        <v>0</v>
      </c>
      <c r="CG300" s="375">
        <v>0</v>
      </c>
      <c r="CI300" s="365">
        <v>0</v>
      </c>
      <c r="CJ300" s="375">
        <v>0</v>
      </c>
    </row>
    <row r="301" spans="7:88">
      <c r="G301" s="417">
        <v>297</v>
      </c>
      <c r="H301" s="251">
        <v>16</v>
      </c>
      <c r="I301" s="377">
        <v>0</v>
      </c>
      <c r="J301" s="368">
        <v>0</v>
      </c>
      <c r="K301" s="368">
        <v>0</v>
      </c>
      <c r="L301" s="369">
        <v>0</v>
      </c>
      <c r="N301" s="367">
        <v>0</v>
      </c>
      <c r="O301" s="370">
        <v>0</v>
      </c>
      <c r="P301" s="370">
        <v>0</v>
      </c>
      <c r="Q301" s="370">
        <v>0</v>
      </c>
      <c r="R301" s="370">
        <v>0</v>
      </c>
      <c r="S301" s="370">
        <v>0</v>
      </c>
      <c r="T301" s="379">
        <v>0</v>
      </c>
      <c r="U301" s="371">
        <v>0</v>
      </c>
      <c r="V301" s="371">
        <v>0</v>
      </c>
      <c r="W301" s="372">
        <v>0</v>
      </c>
      <c r="X301" s="41"/>
      <c r="Y301" s="365">
        <v>0</v>
      </c>
      <c r="Z301" s="370">
        <v>0</v>
      </c>
      <c r="AA301" s="370">
        <v>0</v>
      </c>
      <c r="AB301" s="375">
        <v>0</v>
      </c>
      <c r="AC301" s="41"/>
      <c r="AD301" s="449">
        <v>0</v>
      </c>
      <c r="AE301" s="365">
        <v>0</v>
      </c>
      <c r="AF301" s="375">
        <v>0</v>
      </c>
      <c r="AH301" s="365">
        <v>0</v>
      </c>
      <c r="AI301" s="370">
        <v>0</v>
      </c>
      <c r="AJ301" s="370">
        <v>0</v>
      </c>
      <c r="AK301" s="375">
        <v>0</v>
      </c>
      <c r="AM301" s="365">
        <v>0</v>
      </c>
      <c r="AN301" s="370">
        <v>0</v>
      </c>
      <c r="AO301" s="370">
        <v>0</v>
      </c>
      <c r="AP301" s="375">
        <v>0</v>
      </c>
      <c r="AR301" s="365">
        <v>0</v>
      </c>
      <c r="AS301" s="375">
        <v>0</v>
      </c>
      <c r="AU301" s="378">
        <v>0</v>
      </c>
      <c r="AV301" s="379">
        <v>0</v>
      </c>
      <c r="AW301" s="380">
        <v>0</v>
      </c>
      <c r="AX301" s="381">
        <v>0</v>
      </c>
      <c r="AZ301" s="365">
        <v>0</v>
      </c>
      <c r="BA301" s="370">
        <v>0</v>
      </c>
      <c r="BB301" s="370">
        <v>0</v>
      </c>
      <c r="BC301" s="375">
        <v>0</v>
      </c>
      <c r="BE301" s="365">
        <v>0</v>
      </c>
      <c r="BF301" s="370">
        <v>0</v>
      </c>
      <c r="BG301" s="370">
        <v>0</v>
      </c>
      <c r="BH301" s="375">
        <v>0</v>
      </c>
      <c r="BJ301" s="365">
        <v>0</v>
      </c>
      <c r="BK301" s="370">
        <v>0</v>
      </c>
      <c r="BL301" s="370">
        <v>0</v>
      </c>
      <c r="BM301" s="375">
        <v>0</v>
      </c>
      <c r="BO301" s="365">
        <v>0</v>
      </c>
      <c r="BP301" s="370">
        <v>0</v>
      </c>
      <c r="BQ301" s="370">
        <v>0</v>
      </c>
      <c r="BR301" s="375">
        <v>0</v>
      </c>
      <c r="BT301" s="365">
        <v>0</v>
      </c>
      <c r="BU301" s="370">
        <v>0</v>
      </c>
      <c r="BV301" s="370">
        <v>0</v>
      </c>
      <c r="BW301" s="375">
        <v>0</v>
      </c>
      <c r="BY301" s="365">
        <v>0</v>
      </c>
      <c r="BZ301" s="373">
        <v>300051310.19501489</v>
      </c>
      <c r="CA301" s="375">
        <v>0</v>
      </c>
      <c r="CC301" s="365">
        <v>0</v>
      </c>
      <c r="CD301" s="375">
        <v>0</v>
      </c>
      <c r="CF301" s="365">
        <v>0</v>
      </c>
      <c r="CG301" s="375">
        <v>0</v>
      </c>
      <c r="CI301" s="365">
        <v>0</v>
      </c>
      <c r="CJ301" s="375">
        <v>0</v>
      </c>
    </row>
    <row r="302" spans="7:88">
      <c r="G302" s="417">
        <v>298</v>
      </c>
      <c r="H302" s="251">
        <v>16</v>
      </c>
      <c r="I302" s="377">
        <v>0</v>
      </c>
      <c r="J302" s="368">
        <v>0</v>
      </c>
      <c r="K302" s="368">
        <v>0</v>
      </c>
      <c r="L302" s="369">
        <v>0</v>
      </c>
      <c r="N302" s="367">
        <v>0</v>
      </c>
      <c r="O302" s="370">
        <v>0</v>
      </c>
      <c r="P302" s="370">
        <v>0</v>
      </c>
      <c r="Q302" s="370">
        <v>0</v>
      </c>
      <c r="R302" s="370">
        <v>0</v>
      </c>
      <c r="S302" s="370">
        <v>0</v>
      </c>
      <c r="T302" s="379">
        <v>0</v>
      </c>
      <c r="U302" s="371">
        <v>0</v>
      </c>
      <c r="V302" s="371">
        <v>0</v>
      </c>
      <c r="W302" s="372">
        <v>0</v>
      </c>
      <c r="X302" s="41"/>
      <c r="Y302" s="365">
        <v>0</v>
      </c>
      <c r="Z302" s="370">
        <v>0</v>
      </c>
      <c r="AA302" s="370">
        <v>0</v>
      </c>
      <c r="AB302" s="375">
        <v>0</v>
      </c>
      <c r="AC302" s="41"/>
      <c r="AD302" s="449">
        <v>0</v>
      </c>
      <c r="AE302" s="365">
        <v>0</v>
      </c>
      <c r="AF302" s="375">
        <v>0</v>
      </c>
      <c r="AH302" s="365">
        <v>0</v>
      </c>
      <c r="AI302" s="370">
        <v>0</v>
      </c>
      <c r="AJ302" s="370">
        <v>0</v>
      </c>
      <c r="AK302" s="375">
        <v>0</v>
      </c>
      <c r="AM302" s="365">
        <v>0</v>
      </c>
      <c r="AN302" s="370">
        <v>0</v>
      </c>
      <c r="AO302" s="370">
        <v>0</v>
      </c>
      <c r="AP302" s="375">
        <v>0</v>
      </c>
      <c r="AR302" s="365">
        <v>0</v>
      </c>
      <c r="AS302" s="375">
        <v>0</v>
      </c>
      <c r="AU302" s="378">
        <v>0</v>
      </c>
      <c r="AV302" s="379">
        <v>0</v>
      </c>
      <c r="AW302" s="380">
        <v>0</v>
      </c>
      <c r="AX302" s="381">
        <v>0</v>
      </c>
      <c r="AZ302" s="365">
        <v>0</v>
      </c>
      <c r="BA302" s="370">
        <v>0</v>
      </c>
      <c r="BB302" s="370">
        <v>0</v>
      </c>
      <c r="BC302" s="375">
        <v>0</v>
      </c>
      <c r="BE302" s="365">
        <v>0</v>
      </c>
      <c r="BF302" s="370">
        <v>0</v>
      </c>
      <c r="BG302" s="370">
        <v>0</v>
      </c>
      <c r="BH302" s="375">
        <v>0</v>
      </c>
      <c r="BJ302" s="365">
        <v>0</v>
      </c>
      <c r="BK302" s="370">
        <v>0</v>
      </c>
      <c r="BL302" s="370">
        <v>0</v>
      </c>
      <c r="BM302" s="375">
        <v>0</v>
      </c>
      <c r="BO302" s="365">
        <v>0</v>
      </c>
      <c r="BP302" s="370">
        <v>0</v>
      </c>
      <c r="BQ302" s="370">
        <v>0</v>
      </c>
      <c r="BR302" s="375">
        <v>0</v>
      </c>
      <c r="BT302" s="365">
        <v>0</v>
      </c>
      <c r="BU302" s="370">
        <v>0</v>
      </c>
      <c r="BV302" s="370">
        <v>0</v>
      </c>
      <c r="BW302" s="375">
        <v>0</v>
      </c>
      <c r="BY302" s="365">
        <v>0</v>
      </c>
      <c r="BZ302" s="373">
        <v>300051310.19501489</v>
      </c>
      <c r="CA302" s="375">
        <v>0</v>
      </c>
      <c r="CC302" s="365">
        <v>0</v>
      </c>
      <c r="CD302" s="375">
        <v>0</v>
      </c>
      <c r="CF302" s="365">
        <v>0</v>
      </c>
      <c r="CG302" s="375">
        <v>0</v>
      </c>
      <c r="CI302" s="365">
        <v>0</v>
      </c>
      <c r="CJ302" s="375">
        <v>0</v>
      </c>
    </row>
    <row r="303" spans="7:88">
      <c r="G303" s="417">
        <v>299</v>
      </c>
      <c r="H303" s="251">
        <v>16</v>
      </c>
      <c r="I303" s="377">
        <v>0</v>
      </c>
      <c r="J303" s="368">
        <v>0</v>
      </c>
      <c r="K303" s="368">
        <v>0</v>
      </c>
      <c r="L303" s="369">
        <v>0</v>
      </c>
      <c r="N303" s="367">
        <v>0</v>
      </c>
      <c r="O303" s="370">
        <v>0</v>
      </c>
      <c r="P303" s="370">
        <v>0</v>
      </c>
      <c r="Q303" s="370">
        <v>0</v>
      </c>
      <c r="R303" s="370">
        <v>0</v>
      </c>
      <c r="S303" s="370">
        <v>0</v>
      </c>
      <c r="T303" s="379">
        <v>0</v>
      </c>
      <c r="U303" s="371">
        <v>0</v>
      </c>
      <c r="V303" s="371">
        <v>0</v>
      </c>
      <c r="W303" s="372">
        <v>0</v>
      </c>
      <c r="X303" s="41"/>
      <c r="Y303" s="365">
        <v>0</v>
      </c>
      <c r="Z303" s="370">
        <v>0</v>
      </c>
      <c r="AA303" s="370">
        <v>0</v>
      </c>
      <c r="AB303" s="375">
        <v>0</v>
      </c>
      <c r="AC303" s="41"/>
      <c r="AD303" s="449">
        <v>0</v>
      </c>
      <c r="AE303" s="365">
        <v>0</v>
      </c>
      <c r="AF303" s="375">
        <v>0</v>
      </c>
      <c r="AH303" s="365">
        <v>0</v>
      </c>
      <c r="AI303" s="370">
        <v>0</v>
      </c>
      <c r="AJ303" s="370">
        <v>0</v>
      </c>
      <c r="AK303" s="375">
        <v>0</v>
      </c>
      <c r="AM303" s="365">
        <v>0</v>
      </c>
      <c r="AN303" s="370">
        <v>0</v>
      </c>
      <c r="AO303" s="370">
        <v>0</v>
      </c>
      <c r="AP303" s="375">
        <v>0</v>
      </c>
      <c r="AR303" s="365">
        <v>0</v>
      </c>
      <c r="AS303" s="375">
        <v>0</v>
      </c>
      <c r="AU303" s="378">
        <v>0</v>
      </c>
      <c r="AV303" s="379">
        <v>0</v>
      </c>
      <c r="AW303" s="380">
        <v>0</v>
      </c>
      <c r="AX303" s="381">
        <v>0</v>
      </c>
      <c r="AZ303" s="365">
        <v>0</v>
      </c>
      <c r="BA303" s="370">
        <v>0</v>
      </c>
      <c r="BB303" s="370">
        <v>0</v>
      </c>
      <c r="BC303" s="375">
        <v>0</v>
      </c>
      <c r="BE303" s="365">
        <v>0</v>
      </c>
      <c r="BF303" s="370">
        <v>0</v>
      </c>
      <c r="BG303" s="370">
        <v>0</v>
      </c>
      <c r="BH303" s="375">
        <v>0</v>
      </c>
      <c r="BJ303" s="365">
        <v>0</v>
      </c>
      <c r="BK303" s="370">
        <v>0</v>
      </c>
      <c r="BL303" s="370">
        <v>0</v>
      </c>
      <c r="BM303" s="375">
        <v>0</v>
      </c>
      <c r="BO303" s="365">
        <v>0</v>
      </c>
      <c r="BP303" s="370">
        <v>0</v>
      </c>
      <c r="BQ303" s="370">
        <v>0</v>
      </c>
      <c r="BR303" s="375">
        <v>0</v>
      </c>
      <c r="BT303" s="365">
        <v>0</v>
      </c>
      <c r="BU303" s="370">
        <v>0</v>
      </c>
      <c r="BV303" s="370">
        <v>0</v>
      </c>
      <c r="BW303" s="375">
        <v>0</v>
      </c>
      <c r="BY303" s="365">
        <v>0</v>
      </c>
      <c r="BZ303" s="373">
        <v>300051310.19501489</v>
      </c>
      <c r="CA303" s="375">
        <v>0</v>
      </c>
      <c r="CC303" s="365">
        <v>0</v>
      </c>
      <c r="CD303" s="375">
        <v>0</v>
      </c>
      <c r="CF303" s="365">
        <v>0</v>
      </c>
      <c r="CG303" s="375">
        <v>0</v>
      </c>
      <c r="CI303" s="365">
        <v>0</v>
      </c>
      <c r="CJ303" s="375">
        <v>0</v>
      </c>
    </row>
    <row r="304" spans="7:88">
      <c r="G304" s="417">
        <v>300</v>
      </c>
      <c r="H304" s="251">
        <v>16</v>
      </c>
      <c r="I304" s="377">
        <v>0</v>
      </c>
      <c r="J304" s="368">
        <v>0</v>
      </c>
      <c r="K304" s="368">
        <v>0</v>
      </c>
      <c r="L304" s="369">
        <v>0</v>
      </c>
      <c r="N304" s="367">
        <v>0</v>
      </c>
      <c r="O304" s="370">
        <v>0</v>
      </c>
      <c r="P304" s="370">
        <v>0</v>
      </c>
      <c r="Q304" s="370">
        <v>0</v>
      </c>
      <c r="R304" s="370">
        <v>0</v>
      </c>
      <c r="S304" s="370">
        <v>0</v>
      </c>
      <c r="T304" s="379">
        <v>0</v>
      </c>
      <c r="U304" s="371">
        <v>0</v>
      </c>
      <c r="V304" s="371">
        <v>0</v>
      </c>
      <c r="W304" s="372">
        <v>0</v>
      </c>
      <c r="X304" s="41"/>
      <c r="Y304" s="365">
        <v>0</v>
      </c>
      <c r="Z304" s="370">
        <v>0</v>
      </c>
      <c r="AA304" s="370">
        <v>0</v>
      </c>
      <c r="AB304" s="375">
        <v>0</v>
      </c>
      <c r="AC304" s="41"/>
      <c r="AD304" s="449">
        <v>0</v>
      </c>
      <c r="AE304" s="365">
        <v>0</v>
      </c>
      <c r="AF304" s="375">
        <v>0</v>
      </c>
      <c r="AH304" s="365">
        <v>0</v>
      </c>
      <c r="AI304" s="370">
        <v>0</v>
      </c>
      <c r="AJ304" s="370">
        <v>0</v>
      </c>
      <c r="AK304" s="375">
        <v>0</v>
      </c>
      <c r="AM304" s="365">
        <v>0</v>
      </c>
      <c r="AN304" s="370">
        <v>0</v>
      </c>
      <c r="AO304" s="370">
        <v>0</v>
      </c>
      <c r="AP304" s="375">
        <v>0</v>
      </c>
      <c r="AR304" s="365">
        <v>0</v>
      </c>
      <c r="AS304" s="375">
        <v>0</v>
      </c>
      <c r="AU304" s="378">
        <v>0</v>
      </c>
      <c r="AV304" s="379">
        <v>0</v>
      </c>
      <c r="AW304" s="380">
        <v>0</v>
      </c>
      <c r="AX304" s="381">
        <v>0</v>
      </c>
      <c r="AZ304" s="365">
        <v>0</v>
      </c>
      <c r="BA304" s="370">
        <v>0</v>
      </c>
      <c r="BB304" s="370">
        <v>0</v>
      </c>
      <c r="BC304" s="375">
        <v>0</v>
      </c>
      <c r="BE304" s="365">
        <v>0</v>
      </c>
      <c r="BF304" s="370">
        <v>0</v>
      </c>
      <c r="BG304" s="370">
        <v>0</v>
      </c>
      <c r="BH304" s="375">
        <v>0</v>
      </c>
      <c r="BJ304" s="365">
        <v>0</v>
      </c>
      <c r="BK304" s="370">
        <v>0</v>
      </c>
      <c r="BL304" s="370">
        <v>0</v>
      </c>
      <c r="BM304" s="375">
        <v>0</v>
      </c>
      <c r="BO304" s="365">
        <v>0</v>
      </c>
      <c r="BP304" s="370">
        <v>0</v>
      </c>
      <c r="BQ304" s="370">
        <v>0</v>
      </c>
      <c r="BR304" s="375">
        <v>0</v>
      </c>
      <c r="BT304" s="365">
        <v>0</v>
      </c>
      <c r="BU304" s="370">
        <v>0</v>
      </c>
      <c r="BV304" s="370">
        <v>0</v>
      </c>
      <c r="BW304" s="375">
        <v>0</v>
      </c>
      <c r="BY304" s="365">
        <v>0</v>
      </c>
      <c r="BZ304" s="373">
        <v>300051310.19501489</v>
      </c>
      <c r="CA304" s="375">
        <v>0</v>
      </c>
      <c r="CC304" s="365">
        <v>0</v>
      </c>
      <c r="CD304" s="375">
        <v>0</v>
      </c>
      <c r="CF304" s="365">
        <v>0</v>
      </c>
      <c r="CG304" s="375">
        <v>0</v>
      </c>
      <c r="CI304" s="365">
        <v>0</v>
      </c>
      <c r="CJ304" s="375">
        <v>0</v>
      </c>
    </row>
    <row r="305" spans="7:88">
      <c r="G305" s="417">
        <v>301</v>
      </c>
      <c r="H305" s="251">
        <v>16</v>
      </c>
      <c r="I305" s="377">
        <v>0</v>
      </c>
      <c r="J305" s="368">
        <v>0</v>
      </c>
      <c r="K305" s="368">
        <v>0</v>
      </c>
      <c r="L305" s="369">
        <v>0</v>
      </c>
      <c r="N305" s="367">
        <v>0</v>
      </c>
      <c r="O305" s="370">
        <v>0</v>
      </c>
      <c r="P305" s="370">
        <v>0</v>
      </c>
      <c r="Q305" s="370">
        <v>0</v>
      </c>
      <c r="R305" s="370">
        <v>0</v>
      </c>
      <c r="S305" s="370">
        <v>0</v>
      </c>
      <c r="T305" s="379">
        <v>0</v>
      </c>
      <c r="U305" s="371">
        <v>0</v>
      </c>
      <c r="V305" s="371">
        <v>0</v>
      </c>
      <c r="W305" s="372">
        <v>0</v>
      </c>
      <c r="X305" s="41"/>
      <c r="Y305" s="365">
        <v>0</v>
      </c>
      <c r="Z305" s="370">
        <v>0</v>
      </c>
      <c r="AA305" s="370">
        <v>0</v>
      </c>
      <c r="AB305" s="375">
        <v>0</v>
      </c>
      <c r="AC305" s="41"/>
      <c r="AD305" s="449">
        <v>0</v>
      </c>
      <c r="AE305" s="365">
        <v>0</v>
      </c>
      <c r="AF305" s="375">
        <v>0</v>
      </c>
      <c r="AH305" s="365">
        <v>0</v>
      </c>
      <c r="AI305" s="370">
        <v>0</v>
      </c>
      <c r="AJ305" s="370">
        <v>0</v>
      </c>
      <c r="AK305" s="375">
        <v>0</v>
      </c>
      <c r="AM305" s="365">
        <v>0</v>
      </c>
      <c r="AN305" s="370">
        <v>0</v>
      </c>
      <c r="AO305" s="370">
        <v>0</v>
      </c>
      <c r="AP305" s="375">
        <v>0</v>
      </c>
      <c r="AR305" s="365">
        <v>0</v>
      </c>
      <c r="AS305" s="375">
        <v>0</v>
      </c>
      <c r="AU305" s="378">
        <v>0</v>
      </c>
      <c r="AV305" s="379">
        <v>0</v>
      </c>
      <c r="AW305" s="380">
        <v>0</v>
      </c>
      <c r="AX305" s="381">
        <v>0</v>
      </c>
      <c r="AZ305" s="365">
        <v>0</v>
      </c>
      <c r="BA305" s="370">
        <v>0</v>
      </c>
      <c r="BB305" s="370">
        <v>0</v>
      </c>
      <c r="BC305" s="375">
        <v>0</v>
      </c>
      <c r="BE305" s="365">
        <v>0</v>
      </c>
      <c r="BF305" s="370">
        <v>0</v>
      </c>
      <c r="BG305" s="370">
        <v>0</v>
      </c>
      <c r="BH305" s="375">
        <v>0</v>
      </c>
      <c r="BJ305" s="365">
        <v>0</v>
      </c>
      <c r="BK305" s="370">
        <v>0</v>
      </c>
      <c r="BL305" s="370">
        <v>0</v>
      </c>
      <c r="BM305" s="375">
        <v>0</v>
      </c>
      <c r="BO305" s="365">
        <v>0</v>
      </c>
      <c r="BP305" s="370">
        <v>0</v>
      </c>
      <c r="BQ305" s="370">
        <v>0</v>
      </c>
      <c r="BR305" s="375">
        <v>0</v>
      </c>
      <c r="BT305" s="365">
        <v>0</v>
      </c>
      <c r="BU305" s="370">
        <v>0</v>
      </c>
      <c r="BV305" s="370">
        <v>0</v>
      </c>
      <c r="BW305" s="375">
        <v>0</v>
      </c>
      <c r="BY305" s="365">
        <v>0</v>
      </c>
      <c r="BZ305" s="373">
        <v>300051310.19501489</v>
      </c>
      <c r="CA305" s="375">
        <v>0</v>
      </c>
      <c r="CC305" s="365">
        <v>0</v>
      </c>
      <c r="CD305" s="375">
        <v>0</v>
      </c>
      <c r="CF305" s="365">
        <v>0</v>
      </c>
      <c r="CG305" s="375">
        <v>0</v>
      </c>
      <c r="CI305" s="365">
        <v>0</v>
      </c>
      <c r="CJ305" s="375">
        <v>0</v>
      </c>
    </row>
    <row r="306" spans="7:88">
      <c r="G306" s="417">
        <v>302</v>
      </c>
      <c r="H306" s="251">
        <v>16</v>
      </c>
      <c r="I306" s="377">
        <v>0</v>
      </c>
      <c r="J306" s="368">
        <v>0</v>
      </c>
      <c r="K306" s="368">
        <v>0</v>
      </c>
      <c r="L306" s="369">
        <v>0</v>
      </c>
      <c r="N306" s="367">
        <v>0</v>
      </c>
      <c r="O306" s="370">
        <v>0</v>
      </c>
      <c r="P306" s="370">
        <v>0</v>
      </c>
      <c r="Q306" s="370">
        <v>0</v>
      </c>
      <c r="R306" s="370">
        <v>0</v>
      </c>
      <c r="S306" s="370">
        <v>0</v>
      </c>
      <c r="T306" s="379">
        <v>0</v>
      </c>
      <c r="U306" s="371">
        <v>0</v>
      </c>
      <c r="V306" s="371">
        <v>0</v>
      </c>
      <c r="W306" s="372">
        <v>0</v>
      </c>
      <c r="X306" s="41"/>
      <c r="Y306" s="365">
        <v>0</v>
      </c>
      <c r="Z306" s="370">
        <v>0</v>
      </c>
      <c r="AA306" s="370">
        <v>0</v>
      </c>
      <c r="AB306" s="375">
        <v>0</v>
      </c>
      <c r="AC306" s="41"/>
      <c r="AD306" s="449">
        <v>0</v>
      </c>
      <c r="AE306" s="365">
        <v>0</v>
      </c>
      <c r="AF306" s="375">
        <v>0</v>
      </c>
      <c r="AH306" s="365">
        <v>0</v>
      </c>
      <c r="AI306" s="370">
        <v>0</v>
      </c>
      <c r="AJ306" s="370">
        <v>0</v>
      </c>
      <c r="AK306" s="375">
        <v>0</v>
      </c>
      <c r="AM306" s="365">
        <v>0</v>
      </c>
      <c r="AN306" s="370">
        <v>0</v>
      </c>
      <c r="AO306" s="370">
        <v>0</v>
      </c>
      <c r="AP306" s="375">
        <v>0</v>
      </c>
      <c r="AR306" s="365">
        <v>0</v>
      </c>
      <c r="AS306" s="375">
        <v>0</v>
      </c>
      <c r="AU306" s="378">
        <v>0</v>
      </c>
      <c r="AV306" s="379">
        <v>0</v>
      </c>
      <c r="AW306" s="380">
        <v>0</v>
      </c>
      <c r="AX306" s="381">
        <v>0</v>
      </c>
      <c r="AZ306" s="365">
        <v>0</v>
      </c>
      <c r="BA306" s="370">
        <v>0</v>
      </c>
      <c r="BB306" s="370">
        <v>0</v>
      </c>
      <c r="BC306" s="375">
        <v>0</v>
      </c>
      <c r="BE306" s="365">
        <v>0</v>
      </c>
      <c r="BF306" s="370">
        <v>0</v>
      </c>
      <c r="BG306" s="370">
        <v>0</v>
      </c>
      <c r="BH306" s="375">
        <v>0</v>
      </c>
      <c r="BJ306" s="365">
        <v>0</v>
      </c>
      <c r="BK306" s="370">
        <v>0</v>
      </c>
      <c r="BL306" s="370">
        <v>0</v>
      </c>
      <c r="BM306" s="375">
        <v>0</v>
      </c>
      <c r="BO306" s="365">
        <v>0</v>
      </c>
      <c r="BP306" s="370">
        <v>0</v>
      </c>
      <c r="BQ306" s="370">
        <v>0</v>
      </c>
      <c r="BR306" s="375">
        <v>0</v>
      </c>
      <c r="BT306" s="365">
        <v>0</v>
      </c>
      <c r="BU306" s="370">
        <v>0</v>
      </c>
      <c r="BV306" s="370">
        <v>0</v>
      </c>
      <c r="BW306" s="375">
        <v>0</v>
      </c>
      <c r="BY306" s="365">
        <v>0</v>
      </c>
      <c r="BZ306" s="373">
        <v>300051310.19501489</v>
      </c>
      <c r="CA306" s="375">
        <v>0</v>
      </c>
      <c r="CC306" s="365">
        <v>0</v>
      </c>
      <c r="CD306" s="375">
        <v>0</v>
      </c>
      <c r="CF306" s="365">
        <v>0</v>
      </c>
      <c r="CG306" s="375">
        <v>0</v>
      </c>
      <c r="CI306" s="365">
        <v>0</v>
      </c>
      <c r="CJ306" s="375">
        <v>0</v>
      </c>
    </row>
    <row r="307" spans="7:88">
      <c r="G307" s="417">
        <v>303</v>
      </c>
      <c r="H307" s="251">
        <v>16</v>
      </c>
      <c r="I307" s="377">
        <v>0</v>
      </c>
      <c r="J307" s="368">
        <v>0</v>
      </c>
      <c r="K307" s="368">
        <v>0</v>
      </c>
      <c r="L307" s="369">
        <v>0</v>
      </c>
      <c r="N307" s="367">
        <v>0</v>
      </c>
      <c r="O307" s="370">
        <v>0</v>
      </c>
      <c r="P307" s="370">
        <v>0</v>
      </c>
      <c r="Q307" s="370">
        <v>0</v>
      </c>
      <c r="R307" s="370">
        <v>0</v>
      </c>
      <c r="S307" s="370">
        <v>0</v>
      </c>
      <c r="T307" s="379">
        <v>0</v>
      </c>
      <c r="U307" s="371">
        <v>0</v>
      </c>
      <c r="V307" s="371">
        <v>0</v>
      </c>
      <c r="W307" s="372">
        <v>0</v>
      </c>
      <c r="X307" s="41"/>
      <c r="Y307" s="365">
        <v>0</v>
      </c>
      <c r="Z307" s="370">
        <v>0</v>
      </c>
      <c r="AA307" s="370">
        <v>0</v>
      </c>
      <c r="AB307" s="375">
        <v>0</v>
      </c>
      <c r="AC307" s="41"/>
      <c r="AD307" s="449">
        <v>0</v>
      </c>
      <c r="AE307" s="365">
        <v>0</v>
      </c>
      <c r="AF307" s="375">
        <v>0</v>
      </c>
      <c r="AH307" s="365">
        <v>0</v>
      </c>
      <c r="AI307" s="370">
        <v>0</v>
      </c>
      <c r="AJ307" s="370">
        <v>0</v>
      </c>
      <c r="AK307" s="375">
        <v>0</v>
      </c>
      <c r="AM307" s="365">
        <v>0</v>
      </c>
      <c r="AN307" s="370">
        <v>0</v>
      </c>
      <c r="AO307" s="370">
        <v>0</v>
      </c>
      <c r="AP307" s="375">
        <v>0</v>
      </c>
      <c r="AR307" s="365">
        <v>0</v>
      </c>
      <c r="AS307" s="375">
        <v>0</v>
      </c>
      <c r="AU307" s="378">
        <v>0</v>
      </c>
      <c r="AV307" s="379">
        <v>0</v>
      </c>
      <c r="AW307" s="380">
        <v>0</v>
      </c>
      <c r="AX307" s="381">
        <v>0</v>
      </c>
      <c r="AZ307" s="365">
        <v>0</v>
      </c>
      <c r="BA307" s="370">
        <v>0</v>
      </c>
      <c r="BB307" s="370">
        <v>0</v>
      </c>
      <c r="BC307" s="375">
        <v>0</v>
      </c>
      <c r="BE307" s="365">
        <v>0</v>
      </c>
      <c r="BF307" s="370">
        <v>0</v>
      </c>
      <c r="BG307" s="370">
        <v>0</v>
      </c>
      <c r="BH307" s="375">
        <v>0</v>
      </c>
      <c r="BJ307" s="365">
        <v>0</v>
      </c>
      <c r="BK307" s="370">
        <v>0</v>
      </c>
      <c r="BL307" s="370">
        <v>0</v>
      </c>
      <c r="BM307" s="375">
        <v>0</v>
      </c>
      <c r="BO307" s="365">
        <v>0</v>
      </c>
      <c r="BP307" s="370">
        <v>0</v>
      </c>
      <c r="BQ307" s="370">
        <v>0</v>
      </c>
      <c r="BR307" s="375">
        <v>0</v>
      </c>
      <c r="BT307" s="365">
        <v>0</v>
      </c>
      <c r="BU307" s="370">
        <v>0</v>
      </c>
      <c r="BV307" s="370">
        <v>0</v>
      </c>
      <c r="BW307" s="375">
        <v>0</v>
      </c>
      <c r="BY307" s="365">
        <v>0</v>
      </c>
      <c r="BZ307" s="373">
        <v>300051310.19501489</v>
      </c>
      <c r="CA307" s="375">
        <v>0</v>
      </c>
      <c r="CC307" s="365">
        <v>0</v>
      </c>
      <c r="CD307" s="375">
        <v>0</v>
      </c>
      <c r="CF307" s="365">
        <v>0</v>
      </c>
      <c r="CG307" s="375">
        <v>0</v>
      </c>
      <c r="CI307" s="365">
        <v>0</v>
      </c>
      <c r="CJ307" s="375">
        <v>0</v>
      </c>
    </row>
    <row r="308" spans="7:88">
      <c r="G308" s="417">
        <v>304</v>
      </c>
      <c r="H308" s="251">
        <v>16</v>
      </c>
      <c r="I308" s="377">
        <v>0</v>
      </c>
      <c r="J308" s="368">
        <v>0</v>
      </c>
      <c r="K308" s="368">
        <v>0</v>
      </c>
      <c r="L308" s="369">
        <v>0</v>
      </c>
      <c r="N308" s="367">
        <v>0</v>
      </c>
      <c r="O308" s="370">
        <v>0</v>
      </c>
      <c r="P308" s="370">
        <v>0</v>
      </c>
      <c r="Q308" s="370">
        <v>0</v>
      </c>
      <c r="R308" s="370">
        <v>0</v>
      </c>
      <c r="S308" s="370">
        <v>0</v>
      </c>
      <c r="T308" s="379">
        <v>0</v>
      </c>
      <c r="U308" s="371">
        <v>0</v>
      </c>
      <c r="V308" s="371">
        <v>0</v>
      </c>
      <c r="W308" s="372">
        <v>0</v>
      </c>
      <c r="X308" s="41"/>
      <c r="Y308" s="365">
        <v>0</v>
      </c>
      <c r="Z308" s="370">
        <v>0</v>
      </c>
      <c r="AA308" s="370">
        <v>0</v>
      </c>
      <c r="AB308" s="375">
        <v>0</v>
      </c>
      <c r="AC308" s="41"/>
      <c r="AD308" s="449">
        <v>0</v>
      </c>
      <c r="AE308" s="365">
        <v>0</v>
      </c>
      <c r="AF308" s="375">
        <v>0</v>
      </c>
      <c r="AH308" s="365">
        <v>0</v>
      </c>
      <c r="AI308" s="370">
        <v>0</v>
      </c>
      <c r="AJ308" s="370">
        <v>0</v>
      </c>
      <c r="AK308" s="375">
        <v>0</v>
      </c>
      <c r="AM308" s="365">
        <v>0</v>
      </c>
      <c r="AN308" s="370">
        <v>0</v>
      </c>
      <c r="AO308" s="370">
        <v>0</v>
      </c>
      <c r="AP308" s="375">
        <v>0</v>
      </c>
      <c r="AR308" s="365">
        <v>0</v>
      </c>
      <c r="AS308" s="375">
        <v>0</v>
      </c>
      <c r="AU308" s="378">
        <v>0</v>
      </c>
      <c r="AV308" s="379">
        <v>0</v>
      </c>
      <c r="AW308" s="380">
        <v>0</v>
      </c>
      <c r="AX308" s="381">
        <v>0</v>
      </c>
      <c r="AZ308" s="365">
        <v>0</v>
      </c>
      <c r="BA308" s="370">
        <v>0</v>
      </c>
      <c r="BB308" s="370">
        <v>0</v>
      </c>
      <c r="BC308" s="375">
        <v>0</v>
      </c>
      <c r="BE308" s="365">
        <v>0</v>
      </c>
      <c r="BF308" s="370">
        <v>0</v>
      </c>
      <c r="BG308" s="370">
        <v>0</v>
      </c>
      <c r="BH308" s="375">
        <v>0</v>
      </c>
      <c r="BJ308" s="365">
        <v>0</v>
      </c>
      <c r="BK308" s="370">
        <v>0</v>
      </c>
      <c r="BL308" s="370">
        <v>0</v>
      </c>
      <c r="BM308" s="375">
        <v>0</v>
      </c>
      <c r="BO308" s="365">
        <v>0</v>
      </c>
      <c r="BP308" s="370">
        <v>0</v>
      </c>
      <c r="BQ308" s="370">
        <v>0</v>
      </c>
      <c r="BR308" s="375">
        <v>0</v>
      </c>
      <c r="BT308" s="365">
        <v>0</v>
      </c>
      <c r="BU308" s="370">
        <v>0</v>
      </c>
      <c r="BV308" s="370">
        <v>0</v>
      </c>
      <c r="BW308" s="375">
        <v>0</v>
      </c>
      <c r="BY308" s="365">
        <v>0</v>
      </c>
      <c r="BZ308" s="373">
        <v>300051310.19501489</v>
      </c>
      <c r="CA308" s="375">
        <v>0</v>
      </c>
      <c r="CC308" s="365">
        <v>0</v>
      </c>
      <c r="CD308" s="375">
        <v>0</v>
      </c>
      <c r="CF308" s="365">
        <v>0</v>
      </c>
      <c r="CG308" s="375">
        <v>0</v>
      </c>
      <c r="CI308" s="365">
        <v>0</v>
      </c>
      <c r="CJ308" s="375">
        <v>0</v>
      </c>
    </row>
    <row r="309" spans="7:88">
      <c r="G309" s="417">
        <v>305</v>
      </c>
      <c r="H309" s="251">
        <v>16</v>
      </c>
      <c r="I309" s="377">
        <v>0</v>
      </c>
      <c r="J309" s="368">
        <v>0</v>
      </c>
      <c r="K309" s="368">
        <v>0</v>
      </c>
      <c r="L309" s="369">
        <v>0</v>
      </c>
      <c r="N309" s="367">
        <v>0</v>
      </c>
      <c r="O309" s="370">
        <v>0</v>
      </c>
      <c r="P309" s="370">
        <v>0</v>
      </c>
      <c r="Q309" s="370">
        <v>0</v>
      </c>
      <c r="R309" s="370">
        <v>0</v>
      </c>
      <c r="S309" s="370">
        <v>0</v>
      </c>
      <c r="T309" s="379">
        <v>0</v>
      </c>
      <c r="U309" s="371">
        <v>0</v>
      </c>
      <c r="V309" s="371">
        <v>0</v>
      </c>
      <c r="W309" s="372">
        <v>0</v>
      </c>
      <c r="X309" s="41"/>
      <c r="Y309" s="365">
        <v>0</v>
      </c>
      <c r="Z309" s="370">
        <v>0</v>
      </c>
      <c r="AA309" s="370">
        <v>0</v>
      </c>
      <c r="AB309" s="375">
        <v>0</v>
      </c>
      <c r="AC309" s="41"/>
      <c r="AD309" s="449">
        <v>0</v>
      </c>
      <c r="AE309" s="365">
        <v>0</v>
      </c>
      <c r="AF309" s="375">
        <v>0</v>
      </c>
      <c r="AH309" s="365">
        <v>0</v>
      </c>
      <c r="AI309" s="370">
        <v>0</v>
      </c>
      <c r="AJ309" s="370">
        <v>0</v>
      </c>
      <c r="AK309" s="375">
        <v>0</v>
      </c>
      <c r="AM309" s="365">
        <v>0</v>
      </c>
      <c r="AN309" s="370">
        <v>0</v>
      </c>
      <c r="AO309" s="370">
        <v>0</v>
      </c>
      <c r="AP309" s="375">
        <v>0</v>
      </c>
      <c r="AR309" s="365">
        <v>0</v>
      </c>
      <c r="AS309" s="375">
        <v>0</v>
      </c>
      <c r="AU309" s="378">
        <v>0</v>
      </c>
      <c r="AV309" s="379">
        <v>0</v>
      </c>
      <c r="AW309" s="380">
        <v>0</v>
      </c>
      <c r="AX309" s="381">
        <v>0</v>
      </c>
      <c r="AZ309" s="365">
        <v>0</v>
      </c>
      <c r="BA309" s="370">
        <v>0</v>
      </c>
      <c r="BB309" s="370">
        <v>0</v>
      </c>
      <c r="BC309" s="375">
        <v>0</v>
      </c>
      <c r="BE309" s="365">
        <v>0</v>
      </c>
      <c r="BF309" s="370">
        <v>0</v>
      </c>
      <c r="BG309" s="370">
        <v>0</v>
      </c>
      <c r="BH309" s="375">
        <v>0</v>
      </c>
      <c r="BJ309" s="365">
        <v>0</v>
      </c>
      <c r="BK309" s="370">
        <v>0</v>
      </c>
      <c r="BL309" s="370">
        <v>0</v>
      </c>
      <c r="BM309" s="375">
        <v>0</v>
      </c>
      <c r="BO309" s="365">
        <v>0</v>
      </c>
      <c r="BP309" s="370">
        <v>0</v>
      </c>
      <c r="BQ309" s="370">
        <v>0</v>
      </c>
      <c r="BR309" s="375">
        <v>0</v>
      </c>
      <c r="BT309" s="365">
        <v>0</v>
      </c>
      <c r="BU309" s="370">
        <v>0</v>
      </c>
      <c r="BV309" s="370">
        <v>0</v>
      </c>
      <c r="BW309" s="375">
        <v>0</v>
      </c>
      <c r="BY309" s="365">
        <v>0</v>
      </c>
      <c r="BZ309" s="373">
        <v>300051310.19501489</v>
      </c>
      <c r="CA309" s="375">
        <v>0</v>
      </c>
      <c r="CC309" s="365">
        <v>0</v>
      </c>
      <c r="CD309" s="375">
        <v>0</v>
      </c>
      <c r="CF309" s="365">
        <v>0</v>
      </c>
      <c r="CG309" s="375">
        <v>0</v>
      </c>
      <c r="CI309" s="365">
        <v>0</v>
      </c>
      <c r="CJ309" s="375">
        <v>0</v>
      </c>
    </row>
    <row r="310" spans="7:88">
      <c r="G310" s="417">
        <v>306</v>
      </c>
      <c r="H310" s="251">
        <v>16</v>
      </c>
      <c r="I310" s="377">
        <v>0</v>
      </c>
      <c r="J310" s="368">
        <v>0</v>
      </c>
      <c r="K310" s="368">
        <v>0</v>
      </c>
      <c r="L310" s="369">
        <v>0</v>
      </c>
      <c r="N310" s="367">
        <v>0</v>
      </c>
      <c r="O310" s="370">
        <v>0</v>
      </c>
      <c r="P310" s="370">
        <v>0</v>
      </c>
      <c r="Q310" s="370">
        <v>0</v>
      </c>
      <c r="R310" s="370">
        <v>0</v>
      </c>
      <c r="S310" s="370">
        <v>0</v>
      </c>
      <c r="T310" s="379">
        <v>0</v>
      </c>
      <c r="U310" s="371">
        <v>0</v>
      </c>
      <c r="V310" s="371">
        <v>0</v>
      </c>
      <c r="W310" s="372">
        <v>0</v>
      </c>
      <c r="X310" s="41"/>
      <c r="Y310" s="365">
        <v>0</v>
      </c>
      <c r="Z310" s="370">
        <v>0</v>
      </c>
      <c r="AA310" s="370">
        <v>0</v>
      </c>
      <c r="AB310" s="375">
        <v>0</v>
      </c>
      <c r="AC310" s="41"/>
      <c r="AD310" s="449">
        <v>0</v>
      </c>
      <c r="AE310" s="365">
        <v>0</v>
      </c>
      <c r="AF310" s="375">
        <v>0</v>
      </c>
      <c r="AH310" s="365">
        <v>0</v>
      </c>
      <c r="AI310" s="370">
        <v>0</v>
      </c>
      <c r="AJ310" s="370">
        <v>0</v>
      </c>
      <c r="AK310" s="375">
        <v>0</v>
      </c>
      <c r="AM310" s="365">
        <v>0</v>
      </c>
      <c r="AN310" s="370">
        <v>0</v>
      </c>
      <c r="AO310" s="370">
        <v>0</v>
      </c>
      <c r="AP310" s="375">
        <v>0</v>
      </c>
      <c r="AR310" s="365">
        <v>0</v>
      </c>
      <c r="AS310" s="375">
        <v>0</v>
      </c>
      <c r="AU310" s="378">
        <v>0</v>
      </c>
      <c r="AV310" s="379">
        <v>0</v>
      </c>
      <c r="AW310" s="380">
        <v>0</v>
      </c>
      <c r="AX310" s="381">
        <v>0</v>
      </c>
      <c r="AZ310" s="365">
        <v>0</v>
      </c>
      <c r="BA310" s="370">
        <v>0</v>
      </c>
      <c r="BB310" s="370">
        <v>0</v>
      </c>
      <c r="BC310" s="375">
        <v>0</v>
      </c>
      <c r="BE310" s="365">
        <v>0</v>
      </c>
      <c r="BF310" s="370">
        <v>0</v>
      </c>
      <c r="BG310" s="370">
        <v>0</v>
      </c>
      <c r="BH310" s="375">
        <v>0</v>
      </c>
      <c r="BJ310" s="365">
        <v>0</v>
      </c>
      <c r="BK310" s="370">
        <v>0</v>
      </c>
      <c r="BL310" s="370">
        <v>0</v>
      </c>
      <c r="BM310" s="375">
        <v>0</v>
      </c>
      <c r="BO310" s="365">
        <v>0</v>
      </c>
      <c r="BP310" s="370">
        <v>0</v>
      </c>
      <c r="BQ310" s="370">
        <v>0</v>
      </c>
      <c r="BR310" s="375">
        <v>0</v>
      </c>
      <c r="BT310" s="365">
        <v>0</v>
      </c>
      <c r="BU310" s="370">
        <v>0</v>
      </c>
      <c r="BV310" s="370">
        <v>0</v>
      </c>
      <c r="BW310" s="375">
        <v>0</v>
      </c>
      <c r="BY310" s="365">
        <v>0</v>
      </c>
      <c r="BZ310" s="373">
        <v>300051310.19501489</v>
      </c>
      <c r="CA310" s="375">
        <v>0</v>
      </c>
      <c r="CC310" s="365">
        <v>0</v>
      </c>
      <c r="CD310" s="375">
        <v>0</v>
      </c>
      <c r="CF310" s="365">
        <v>0</v>
      </c>
      <c r="CG310" s="375">
        <v>0</v>
      </c>
      <c r="CI310" s="365">
        <v>0</v>
      </c>
      <c r="CJ310" s="375">
        <v>0</v>
      </c>
    </row>
    <row r="311" spans="7:88">
      <c r="G311" s="417">
        <v>307</v>
      </c>
      <c r="H311" s="251">
        <v>16</v>
      </c>
      <c r="I311" s="377">
        <v>0</v>
      </c>
      <c r="J311" s="368">
        <v>0</v>
      </c>
      <c r="K311" s="368">
        <v>0</v>
      </c>
      <c r="L311" s="369">
        <v>0</v>
      </c>
      <c r="N311" s="367">
        <v>0</v>
      </c>
      <c r="O311" s="370">
        <v>0</v>
      </c>
      <c r="P311" s="370">
        <v>0</v>
      </c>
      <c r="Q311" s="370">
        <v>0</v>
      </c>
      <c r="R311" s="370">
        <v>0</v>
      </c>
      <c r="S311" s="370">
        <v>0</v>
      </c>
      <c r="T311" s="379">
        <v>0</v>
      </c>
      <c r="U311" s="371">
        <v>0</v>
      </c>
      <c r="V311" s="371">
        <v>0</v>
      </c>
      <c r="W311" s="372">
        <v>0</v>
      </c>
      <c r="X311" s="41"/>
      <c r="Y311" s="365">
        <v>0</v>
      </c>
      <c r="Z311" s="370">
        <v>0</v>
      </c>
      <c r="AA311" s="370">
        <v>0</v>
      </c>
      <c r="AB311" s="375">
        <v>0</v>
      </c>
      <c r="AC311" s="41"/>
      <c r="AD311" s="449">
        <v>0</v>
      </c>
      <c r="AE311" s="365">
        <v>0</v>
      </c>
      <c r="AF311" s="375">
        <v>0</v>
      </c>
      <c r="AH311" s="365">
        <v>0</v>
      </c>
      <c r="AI311" s="370">
        <v>0</v>
      </c>
      <c r="AJ311" s="370">
        <v>0</v>
      </c>
      <c r="AK311" s="375">
        <v>0</v>
      </c>
      <c r="AM311" s="365">
        <v>0</v>
      </c>
      <c r="AN311" s="370">
        <v>0</v>
      </c>
      <c r="AO311" s="370">
        <v>0</v>
      </c>
      <c r="AP311" s="375">
        <v>0</v>
      </c>
      <c r="AR311" s="365">
        <v>0</v>
      </c>
      <c r="AS311" s="375">
        <v>0</v>
      </c>
      <c r="AU311" s="378">
        <v>0</v>
      </c>
      <c r="AV311" s="379">
        <v>0</v>
      </c>
      <c r="AW311" s="380">
        <v>0</v>
      </c>
      <c r="AX311" s="381">
        <v>0</v>
      </c>
      <c r="AZ311" s="365">
        <v>0</v>
      </c>
      <c r="BA311" s="370">
        <v>0</v>
      </c>
      <c r="BB311" s="370">
        <v>0</v>
      </c>
      <c r="BC311" s="375">
        <v>0</v>
      </c>
      <c r="BE311" s="365">
        <v>0</v>
      </c>
      <c r="BF311" s="370">
        <v>0</v>
      </c>
      <c r="BG311" s="370">
        <v>0</v>
      </c>
      <c r="BH311" s="375">
        <v>0</v>
      </c>
      <c r="BJ311" s="365">
        <v>0</v>
      </c>
      <c r="BK311" s="370">
        <v>0</v>
      </c>
      <c r="BL311" s="370">
        <v>0</v>
      </c>
      <c r="BM311" s="375">
        <v>0</v>
      </c>
      <c r="BO311" s="365">
        <v>0</v>
      </c>
      <c r="BP311" s="370">
        <v>0</v>
      </c>
      <c r="BQ311" s="370">
        <v>0</v>
      </c>
      <c r="BR311" s="375">
        <v>0</v>
      </c>
      <c r="BT311" s="365">
        <v>0</v>
      </c>
      <c r="BU311" s="370">
        <v>0</v>
      </c>
      <c r="BV311" s="370">
        <v>0</v>
      </c>
      <c r="BW311" s="375">
        <v>0</v>
      </c>
      <c r="BY311" s="365">
        <v>0</v>
      </c>
      <c r="BZ311" s="373">
        <v>300051310.19501489</v>
      </c>
      <c r="CA311" s="375">
        <v>0</v>
      </c>
      <c r="CC311" s="365">
        <v>0</v>
      </c>
      <c r="CD311" s="375">
        <v>0</v>
      </c>
      <c r="CF311" s="365">
        <v>0</v>
      </c>
      <c r="CG311" s="375">
        <v>0</v>
      </c>
      <c r="CI311" s="365">
        <v>0</v>
      </c>
      <c r="CJ311" s="375">
        <v>0</v>
      </c>
    </row>
    <row r="312" spans="7:88">
      <c r="G312" s="417">
        <v>308</v>
      </c>
      <c r="H312" s="251">
        <v>16</v>
      </c>
      <c r="I312" s="377">
        <v>0</v>
      </c>
      <c r="J312" s="368">
        <v>0</v>
      </c>
      <c r="K312" s="368">
        <v>0</v>
      </c>
      <c r="L312" s="369">
        <v>0</v>
      </c>
      <c r="N312" s="367">
        <v>0</v>
      </c>
      <c r="O312" s="370">
        <v>0</v>
      </c>
      <c r="P312" s="370">
        <v>0</v>
      </c>
      <c r="Q312" s="370">
        <v>0</v>
      </c>
      <c r="R312" s="370">
        <v>0</v>
      </c>
      <c r="S312" s="370">
        <v>0</v>
      </c>
      <c r="T312" s="379">
        <v>0</v>
      </c>
      <c r="U312" s="371">
        <v>0</v>
      </c>
      <c r="V312" s="371">
        <v>0</v>
      </c>
      <c r="W312" s="372">
        <v>0</v>
      </c>
      <c r="X312" s="41"/>
      <c r="Y312" s="365">
        <v>0</v>
      </c>
      <c r="Z312" s="370">
        <v>0</v>
      </c>
      <c r="AA312" s="370">
        <v>0</v>
      </c>
      <c r="AB312" s="375">
        <v>0</v>
      </c>
      <c r="AC312" s="41"/>
      <c r="AD312" s="449">
        <v>0</v>
      </c>
      <c r="AE312" s="365">
        <v>0</v>
      </c>
      <c r="AF312" s="375">
        <v>0</v>
      </c>
      <c r="AH312" s="365">
        <v>0</v>
      </c>
      <c r="AI312" s="370">
        <v>0</v>
      </c>
      <c r="AJ312" s="370">
        <v>0</v>
      </c>
      <c r="AK312" s="375">
        <v>0</v>
      </c>
      <c r="AM312" s="365">
        <v>0</v>
      </c>
      <c r="AN312" s="370">
        <v>0</v>
      </c>
      <c r="AO312" s="370">
        <v>0</v>
      </c>
      <c r="AP312" s="375">
        <v>0</v>
      </c>
      <c r="AR312" s="365">
        <v>0</v>
      </c>
      <c r="AS312" s="375">
        <v>0</v>
      </c>
      <c r="AU312" s="378">
        <v>0</v>
      </c>
      <c r="AV312" s="379">
        <v>0</v>
      </c>
      <c r="AW312" s="380">
        <v>0</v>
      </c>
      <c r="AX312" s="381">
        <v>0</v>
      </c>
      <c r="AZ312" s="365">
        <v>0</v>
      </c>
      <c r="BA312" s="370">
        <v>0</v>
      </c>
      <c r="BB312" s="370">
        <v>0</v>
      </c>
      <c r="BC312" s="375">
        <v>0</v>
      </c>
      <c r="BE312" s="365">
        <v>0</v>
      </c>
      <c r="BF312" s="370">
        <v>0</v>
      </c>
      <c r="BG312" s="370">
        <v>0</v>
      </c>
      <c r="BH312" s="375">
        <v>0</v>
      </c>
      <c r="BJ312" s="365">
        <v>0</v>
      </c>
      <c r="BK312" s="370">
        <v>0</v>
      </c>
      <c r="BL312" s="370">
        <v>0</v>
      </c>
      <c r="BM312" s="375">
        <v>0</v>
      </c>
      <c r="BO312" s="365">
        <v>0</v>
      </c>
      <c r="BP312" s="370">
        <v>0</v>
      </c>
      <c r="BQ312" s="370">
        <v>0</v>
      </c>
      <c r="BR312" s="375">
        <v>0</v>
      </c>
      <c r="BT312" s="365">
        <v>0</v>
      </c>
      <c r="BU312" s="370">
        <v>0</v>
      </c>
      <c r="BV312" s="370">
        <v>0</v>
      </c>
      <c r="BW312" s="375">
        <v>0</v>
      </c>
      <c r="BY312" s="365">
        <v>0</v>
      </c>
      <c r="BZ312" s="373">
        <v>300051310.19501489</v>
      </c>
      <c r="CA312" s="375">
        <v>0</v>
      </c>
      <c r="CC312" s="365">
        <v>0</v>
      </c>
      <c r="CD312" s="375">
        <v>0</v>
      </c>
      <c r="CF312" s="365">
        <v>0</v>
      </c>
      <c r="CG312" s="375">
        <v>0</v>
      </c>
      <c r="CI312" s="365">
        <v>0</v>
      </c>
      <c r="CJ312" s="375">
        <v>0</v>
      </c>
    </row>
    <row r="313" spans="7:88">
      <c r="G313" s="417">
        <v>309</v>
      </c>
      <c r="H313" s="251">
        <v>16</v>
      </c>
      <c r="I313" s="377">
        <v>0</v>
      </c>
      <c r="J313" s="368">
        <v>0</v>
      </c>
      <c r="K313" s="368">
        <v>0</v>
      </c>
      <c r="L313" s="369">
        <v>0</v>
      </c>
      <c r="N313" s="367">
        <v>0</v>
      </c>
      <c r="O313" s="370">
        <v>0</v>
      </c>
      <c r="P313" s="370">
        <v>0</v>
      </c>
      <c r="Q313" s="370">
        <v>0</v>
      </c>
      <c r="R313" s="370">
        <v>0</v>
      </c>
      <c r="S313" s="370">
        <v>0</v>
      </c>
      <c r="T313" s="379">
        <v>0</v>
      </c>
      <c r="U313" s="371">
        <v>0</v>
      </c>
      <c r="V313" s="371">
        <v>0</v>
      </c>
      <c r="W313" s="372">
        <v>0</v>
      </c>
      <c r="X313" s="41"/>
      <c r="Y313" s="365">
        <v>0</v>
      </c>
      <c r="Z313" s="370">
        <v>0</v>
      </c>
      <c r="AA313" s="370">
        <v>0</v>
      </c>
      <c r="AB313" s="375">
        <v>0</v>
      </c>
      <c r="AC313" s="41"/>
      <c r="AD313" s="449">
        <v>0</v>
      </c>
      <c r="AE313" s="365">
        <v>0</v>
      </c>
      <c r="AF313" s="375">
        <v>0</v>
      </c>
      <c r="AH313" s="365">
        <v>0</v>
      </c>
      <c r="AI313" s="370">
        <v>0</v>
      </c>
      <c r="AJ313" s="370">
        <v>0</v>
      </c>
      <c r="AK313" s="375">
        <v>0</v>
      </c>
      <c r="AM313" s="365">
        <v>0</v>
      </c>
      <c r="AN313" s="370">
        <v>0</v>
      </c>
      <c r="AO313" s="370">
        <v>0</v>
      </c>
      <c r="AP313" s="375">
        <v>0</v>
      </c>
      <c r="AR313" s="365">
        <v>0</v>
      </c>
      <c r="AS313" s="375">
        <v>0</v>
      </c>
      <c r="AU313" s="378">
        <v>0</v>
      </c>
      <c r="AV313" s="379">
        <v>0</v>
      </c>
      <c r="AW313" s="380">
        <v>0</v>
      </c>
      <c r="AX313" s="381">
        <v>0</v>
      </c>
      <c r="AZ313" s="365">
        <v>0</v>
      </c>
      <c r="BA313" s="370">
        <v>0</v>
      </c>
      <c r="BB313" s="370">
        <v>0</v>
      </c>
      <c r="BC313" s="375">
        <v>0</v>
      </c>
      <c r="BE313" s="365">
        <v>0</v>
      </c>
      <c r="BF313" s="370">
        <v>0</v>
      </c>
      <c r="BG313" s="370">
        <v>0</v>
      </c>
      <c r="BH313" s="375">
        <v>0</v>
      </c>
      <c r="BJ313" s="365">
        <v>0</v>
      </c>
      <c r="BK313" s="370">
        <v>0</v>
      </c>
      <c r="BL313" s="370">
        <v>0</v>
      </c>
      <c r="BM313" s="375">
        <v>0</v>
      </c>
      <c r="BO313" s="365">
        <v>0</v>
      </c>
      <c r="BP313" s="370">
        <v>0</v>
      </c>
      <c r="BQ313" s="370">
        <v>0</v>
      </c>
      <c r="BR313" s="375">
        <v>0</v>
      </c>
      <c r="BT313" s="365">
        <v>0</v>
      </c>
      <c r="BU313" s="370">
        <v>0</v>
      </c>
      <c r="BV313" s="370">
        <v>0</v>
      </c>
      <c r="BW313" s="375">
        <v>0</v>
      </c>
      <c r="BY313" s="365">
        <v>0</v>
      </c>
      <c r="BZ313" s="373">
        <v>300051310.19501489</v>
      </c>
      <c r="CA313" s="375">
        <v>0</v>
      </c>
      <c r="CC313" s="365">
        <v>0</v>
      </c>
      <c r="CD313" s="375">
        <v>0</v>
      </c>
      <c r="CF313" s="365">
        <v>0</v>
      </c>
      <c r="CG313" s="375">
        <v>0</v>
      </c>
      <c r="CI313" s="365">
        <v>0</v>
      </c>
      <c r="CJ313" s="375">
        <v>0</v>
      </c>
    </row>
    <row r="314" spans="7:88">
      <c r="G314" s="417">
        <v>310</v>
      </c>
      <c r="H314" s="251">
        <v>16</v>
      </c>
      <c r="I314" s="377">
        <v>0</v>
      </c>
      <c r="J314" s="368">
        <v>0</v>
      </c>
      <c r="K314" s="368">
        <v>0</v>
      </c>
      <c r="L314" s="369">
        <v>0</v>
      </c>
      <c r="N314" s="367">
        <v>0</v>
      </c>
      <c r="O314" s="370">
        <v>0</v>
      </c>
      <c r="P314" s="370">
        <v>0</v>
      </c>
      <c r="Q314" s="370">
        <v>0</v>
      </c>
      <c r="R314" s="370">
        <v>0</v>
      </c>
      <c r="S314" s="370">
        <v>0</v>
      </c>
      <c r="T314" s="379">
        <v>0</v>
      </c>
      <c r="U314" s="371">
        <v>0</v>
      </c>
      <c r="V314" s="371">
        <v>0</v>
      </c>
      <c r="W314" s="372">
        <v>0</v>
      </c>
      <c r="X314" s="41"/>
      <c r="Y314" s="365">
        <v>0</v>
      </c>
      <c r="Z314" s="370">
        <v>0</v>
      </c>
      <c r="AA314" s="370">
        <v>0</v>
      </c>
      <c r="AB314" s="375">
        <v>0</v>
      </c>
      <c r="AC314" s="41"/>
      <c r="AD314" s="449">
        <v>0</v>
      </c>
      <c r="AE314" s="365">
        <v>0</v>
      </c>
      <c r="AF314" s="375">
        <v>0</v>
      </c>
      <c r="AH314" s="365">
        <v>0</v>
      </c>
      <c r="AI314" s="370">
        <v>0</v>
      </c>
      <c r="AJ314" s="370">
        <v>0</v>
      </c>
      <c r="AK314" s="375">
        <v>0</v>
      </c>
      <c r="AM314" s="365">
        <v>0</v>
      </c>
      <c r="AN314" s="370">
        <v>0</v>
      </c>
      <c r="AO314" s="370">
        <v>0</v>
      </c>
      <c r="AP314" s="375">
        <v>0</v>
      </c>
      <c r="AR314" s="365">
        <v>0</v>
      </c>
      <c r="AS314" s="375">
        <v>0</v>
      </c>
      <c r="AU314" s="378">
        <v>0</v>
      </c>
      <c r="AV314" s="379">
        <v>0</v>
      </c>
      <c r="AW314" s="380">
        <v>0</v>
      </c>
      <c r="AX314" s="381">
        <v>0</v>
      </c>
      <c r="AZ314" s="365">
        <v>0</v>
      </c>
      <c r="BA314" s="370">
        <v>0</v>
      </c>
      <c r="BB314" s="370">
        <v>0</v>
      </c>
      <c r="BC314" s="375">
        <v>0</v>
      </c>
      <c r="BE314" s="365">
        <v>0</v>
      </c>
      <c r="BF314" s="370">
        <v>0</v>
      </c>
      <c r="BG314" s="370">
        <v>0</v>
      </c>
      <c r="BH314" s="375">
        <v>0</v>
      </c>
      <c r="BJ314" s="365">
        <v>0</v>
      </c>
      <c r="BK314" s="370">
        <v>0</v>
      </c>
      <c r="BL314" s="370">
        <v>0</v>
      </c>
      <c r="BM314" s="375">
        <v>0</v>
      </c>
      <c r="BO314" s="365">
        <v>0</v>
      </c>
      <c r="BP314" s="370">
        <v>0</v>
      </c>
      <c r="BQ314" s="370">
        <v>0</v>
      </c>
      <c r="BR314" s="375">
        <v>0</v>
      </c>
      <c r="BT314" s="365">
        <v>0</v>
      </c>
      <c r="BU314" s="370">
        <v>0</v>
      </c>
      <c r="BV314" s="370">
        <v>0</v>
      </c>
      <c r="BW314" s="375">
        <v>0</v>
      </c>
      <c r="BY314" s="365">
        <v>0</v>
      </c>
      <c r="BZ314" s="373">
        <v>300051310.19501489</v>
      </c>
      <c r="CA314" s="375">
        <v>0</v>
      </c>
      <c r="CC314" s="365">
        <v>0</v>
      </c>
      <c r="CD314" s="375">
        <v>0</v>
      </c>
      <c r="CF314" s="365">
        <v>0</v>
      </c>
      <c r="CG314" s="375">
        <v>0</v>
      </c>
      <c r="CI314" s="365">
        <v>0</v>
      </c>
      <c r="CJ314" s="375">
        <v>0</v>
      </c>
    </row>
    <row r="315" spans="7:88">
      <c r="G315" s="417">
        <v>311</v>
      </c>
      <c r="H315" s="251">
        <v>16</v>
      </c>
      <c r="I315" s="377">
        <v>0</v>
      </c>
      <c r="J315" s="368">
        <v>0</v>
      </c>
      <c r="K315" s="368">
        <v>0</v>
      </c>
      <c r="L315" s="369">
        <v>0</v>
      </c>
      <c r="N315" s="367">
        <v>0</v>
      </c>
      <c r="O315" s="370">
        <v>0</v>
      </c>
      <c r="P315" s="370">
        <v>0</v>
      </c>
      <c r="Q315" s="370">
        <v>0</v>
      </c>
      <c r="R315" s="370">
        <v>0</v>
      </c>
      <c r="S315" s="370">
        <v>0</v>
      </c>
      <c r="T315" s="379">
        <v>0</v>
      </c>
      <c r="U315" s="371">
        <v>0</v>
      </c>
      <c r="V315" s="371">
        <v>0</v>
      </c>
      <c r="W315" s="372">
        <v>0</v>
      </c>
      <c r="X315" s="41"/>
      <c r="Y315" s="365">
        <v>0</v>
      </c>
      <c r="Z315" s="370">
        <v>0</v>
      </c>
      <c r="AA315" s="370">
        <v>0</v>
      </c>
      <c r="AB315" s="375">
        <v>0</v>
      </c>
      <c r="AC315" s="41"/>
      <c r="AD315" s="449">
        <v>0</v>
      </c>
      <c r="AE315" s="365">
        <v>0</v>
      </c>
      <c r="AF315" s="375">
        <v>0</v>
      </c>
      <c r="AH315" s="365">
        <v>0</v>
      </c>
      <c r="AI315" s="370">
        <v>0</v>
      </c>
      <c r="AJ315" s="370">
        <v>0</v>
      </c>
      <c r="AK315" s="375">
        <v>0</v>
      </c>
      <c r="AM315" s="365">
        <v>0</v>
      </c>
      <c r="AN315" s="370">
        <v>0</v>
      </c>
      <c r="AO315" s="370">
        <v>0</v>
      </c>
      <c r="AP315" s="375">
        <v>0</v>
      </c>
      <c r="AR315" s="365">
        <v>0</v>
      </c>
      <c r="AS315" s="375">
        <v>0</v>
      </c>
      <c r="AU315" s="378">
        <v>0</v>
      </c>
      <c r="AV315" s="379">
        <v>0</v>
      </c>
      <c r="AW315" s="380">
        <v>0</v>
      </c>
      <c r="AX315" s="381">
        <v>0</v>
      </c>
      <c r="AZ315" s="365">
        <v>0</v>
      </c>
      <c r="BA315" s="370">
        <v>0</v>
      </c>
      <c r="BB315" s="370">
        <v>0</v>
      </c>
      <c r="BC315" s="375">
        <v>0</v>
      </c>
      <c r="BE315" s="365">
        <v>0</v>
      </c>
      <c r="BF315" s="370">
        <v>0</v>
      </c>
      <c r="BG315" s="370">
        <v>0</v>
      </c>
      <c r="BH315" s="375">
        <v>0</v>
      </c>
      <c r="BJ315" s="365">
        <v>0</v>
      </c>
      <c r="BK315" s="370">
        <v>0</v>
      </c>
      <c r="BL315" s="370">
        <v>0</v>
      </c>
      <c r="BM315" s="375">
        <v>0</v>
      </c>
      <c r="BO315" s="365">
        <v>0</v>
      </c>
      <c r="BP315" s="370">
        <v>0</v>
      </c>
      <c r="BQ315" s="370">
        <v>0</v>
      </c>
      <c r="BR315" s="375">
        <v>0</v>
      </c>
      <c r="BT315" s="365">
        <v>0</v>
      </c>
      <c r="BU315" s="370">
        <v>0</v>
      </c>
      <c r="BV315" s="370">
        <v>0</v>
      </c>
      <c r="BW315" s="375">
        <v>0</v>
      </c>
      <c r="BY315" s="365">
        <v>0</v>
      </c>
      <c r="BZ315" s="373">
        <v>300051310.19501489</v>
      </c>
      <c r="CA315" s="375">
        <v>0</v>
      </c>
      <c r="CC315" s="365">
        <v>0</v>
      </c>
      <c r="CD315" s="375">
        <v>0</v>
      </c>
      <c r="CF315" s="365">
        <v>0</v>
      </c>
      <c r="CG315" s="375">
        <v>0</v>
      </c>
      <c r="CI315" s="365">
        <v>0</v>
      </c>
      <c r="CJ315" s="375">
        <v>0</v>
      </c>
    </row>
    <row r="316" spans="7:88">
      <c r="G316" s="417">
        <v>312</v>
      </c>
      <c r="H316" s="251">
        <v>16</v>
      </c>
      <c r="I316" s="377">
        <v>0</v>
      </c>
      <c r="J316" s="368">
        <v>0</v>
      </c>
      <c r="K316" s="368">
        <v>0</v>
      </c>
      <c r="L316" s="369">
        <v>0</v>
      </c>
      <c r="N316" s="367">
        <v>0</v>
      </c>
      <c r="O316" s="370">
        <v>0</v>
      </c>
      <c r="P316" s="370">
        <v>0</v>
      </c>
      <c r="Q316" s="370">
        <v>0</v>
      </c>
      <c r="R316" s="370">
        <v>0</v>
      </c>
      <c r="S316" s="370">
        <v>0</v>
      </c>
      <c r="T316" s="379">
        <v>0</v>
      </c>
      <c r="U316" s="371">
        <v>0</v>
      </c>
      <c r="V316" s="371">
        <v>0</v>
      </c>
      <c r="W316" s="372">
        <v>0</v>
      </c>
      <c r="X316" s="41"/>
      <c r="Y316" s="365">
        <v>0</v>
      </c>
      <c r="Z316" s="370">
        <v>0</v>
      </c>
      <c r="AA316" s="370">
        <v>0</v>
      </c>
      <c r="AB316" s="375">
        <v>0</v>
      </c>
      <c r="AC316" s="41"/>
      <c r="AD316" s="449">
        <v>0</v>
      </c>
      <c r="AE316" s="365">
        <v>0</v>
      </c>
      <c r="AF316" s="375">
        <v>0</v>
      </c>
      <c r="AH316" s="365">
        <v>0</v>
      </c>
      <c r="AI316" s="370">
        <v>0</v>
      </c>
      <c r="AJ316" s="370">
        <v>0</v>
      </c>
      <c r="AK316" s="375">
        <v>0</v>
      </c>
      <c r="AM316" s="365">
        <v>0</v>
      </c>
      <c r="AN316" s="370">
        <v>0</v>
      </c>
      <c r="AO316" s="370">
        <v>0</v>
      </c>
      <c r="AP316" s="375">
        <v>0</v>
      </c>
      <c r="AR316" s="365">
        <v>0</v>
      </c>
      <c r="AS316" s="375">
        <v>0</v>
      </c>
      <c r="AU316" s="378">
        <v>0</v>
      </c>
      <c r="AV316" s="379">
        <v>0</v>
      </c>
      <c r="AW316" s="380">
        <v>0</v>
      </c>
      <c r="AX316" s="381">
        <v>0</v>
      </c>
      <c r="AZ316" s="365">
        <v>0</v>
      </c>
      <c r="BA316" s="370">
        <v>0</v>
      </c>
      <c r="BB316" s="370">
        <v>0</v>
      </c>
      <c r="BC316" s="375">
        <v>0</v>
      </c>
      <c r="BE316" s="365">
        <v>0</v>
      </c>
      <c r="BF316" s="370">
        <v>0</v>
      </c>
      <c r="BG316" s="370">
        <v>0</v>
      </c>
      <c r="BH316" s="375">
        <v>0</v>
      </c>
      <c r="BJ316" s="365">
        <v>0</v>
      </c>
      <c r="BK316" s="370">
        <v>0</v>
      </c>
      <c r="BL316" s="370">
        <v>0</v>
      </c>
      <c r="BM316" s="375">
        <v>0</v>
      </c>
      <c r="BO316" s="365">
        <v>0</v>
      </c>
      <c r="BP316" s="370">
        <v>0</v>
      </c>
      <c r="BQ316" s="370">
        <v>0</v>
      </c>
      <c r="BR316" s="375">
        <v>0</v>
      </c>
      <c r="BT316" s="365">
        <v>0</v>
      </c>
      <c r="BU316" s="370">
        <v>0</v>
      </c>
      <c r="BV316" s="370">
        <v>0</v>
      </c>
      <c r="BW316" s="375">
        <v>0</v>
      </c>
      <c r="BY316" s="365">
        <v>0</v>
      </c>
      <c r="BZ316" s="373">
        <v>300051310.19501489</v>
      </c>
      <c r="CA316" s="375">
        <v>0</v>
      </c>
      <c r="CC316" s="365">
        <v>0</v>
      </c>
      <c r="CD316" s="375">
        <v>0</v>
      </c>
      <c r="CF316" s="365">
        <v>0</v>
      </c>
      <c r="CG316" s="375">
        <v>0</v>
      </c>
      <c r="CI316" s="365">
        <v>0</v>
      </c>
      <c r="CJ316" s="375">
        <v>0</v>
      </c>
    </row>
    <row r="317" spans="7:88">
      <c r="G317" s="417">
        <v>313</v>
      </c>
      <c r="H317" s="251">
        <v>16</v>
      </c>
      <c r="I317" s="377">
        <v>0</v>
      </c>
      <c r="J317" s="368">
        <v>0</v>
      </c>
      <c r="K317" s="368">
        <v>0</v>
      </c>
      <c r="L317" s="369">
        <v>0</v>
      </c>
      <c r="N317" s="367">
        <v>0</v>
      </c>
      <c r="O317" s="370">
        <v>0</v>
      </c>
      <c r="P317" s="370">
        <v>0</v>
      </c>
      <c r="Q317" s="370">
        <v>0</v>
      </c>
      <c r="R317" s="370">
        <v>0</v>
      </c>
      <c r="S317" s="370">
        <v>0</v>
      </c>
      <c r="T317" s="379">
        <v>0</v>
      </c>
      <c r="U317" s="371">
        <v>0</v>
      </c>
      <c r="V317" s="371">
        <v>0</v>
      </c>
      <c r="W317" s="372">
        <v>0</v>
      </c>
      <c r="X317" s="41"/>
      <c r="Y317" s="365">
        <v>0</v>
      </c>
      <c r="Z317" s="370">
        <v>0</v>
      </c>
      <c r="AA317" s="370">
        <v>0</v>
      </c>
      <c r="AB317" s="375">
        <v>0</v>
      </c>
      <c r="AC317" s="41"/>
      <c r="AD317" s="449">
        <v>0</v>
      </c>
      <c r="AE317" s="365">
        <v>0</v>
      </c>
      <c r="AF317" s="375">
        <v>0</v>
      </c>
      <c r="AH317" s="365">
        <v>0</v>
      </c>
      <c r="AI317" s="370">
        <v>0</v>
      </c>
      <c r="AJ317" s="370">
        <v>0</v>
      </c>
      <c r="AK317" s="375">
        <v>0</v>
      </c>
      <c r="AM317" s="365">
        <v>0</v>
      </c>
      <c r="AN317" s="370">
        <v>0</v>
      </c>
      <c r="AO317" s="370">
        <v>0</v>
      </c>
      <c r="AP317" s="375">
        <v>0</v>
      </c>
      <c r="AR317" s="365">
        <v>0</v>
      </c>
      <c r="AS317" s="375">
        <v>0</v>
      </c>
      <c r="AU317" s="378">
        <v>0</v>
      </c>
      <c r="AV317" s="379">
        <v>0</v>
      </c>
      <c r="AW317" s="380">
        <v>0</v>
      </c>
      <c r="AX317" s="381">
        <v>0</v>
      </c>
      <c r="AZ317" s="365">
        <v>0</v>
      </c>
      <c r="BA317" s="370">
        <v>0</v>
      </c>
      <c r="BB317" s="370">
        <v>0</v>
      </c>
      <c r="BC317" s="375">
        <v>0</v>
      </c>
      <c r="BE317" s="365">
        <v>0</v>
      </c>
      <c r="BF317" s="370">
        <v>0</v>
      </c>
      <c r="BG317" s="370">
        <v>0</v>
      </c>
      <c r="BH317" s="375">
        <v>0</v>
      </c>
      <c r="BJ317" s="365">
        <v>0</v>
      </c>
      <c r="BK317" s="370">
        <v>0</v>
      </c>
      <c r="BL317" s="370">
        <v>0</v>
      </c>
      <c r="BM317" s="375">
        <v>0</v>
      </c>
      <c r="BO317" s="365">
        <v>0</v>
      </c>
      <c r="BP317" s="370">
        <v>0</v>
      </c>
      <c r="BQ317" s="370">
        <v>0</v>
      </c>
      <c r="BR317" s="375">
        <v>0</v>
      </c>
      <c r="BT317" s="365">
        <v>0</v>
      </c>
      <c r="BU317" s="370">
        <v>0</v>
      </c>
      <c r="BV317" s="370">
        <v>0</v>
      </c>
      <c r="BW317" s="375">
        <v>0</v>
      </c>
      <c r="BY317" s="365">
        <v>0</v>
      </c>
      <c r="BZ317" s="373">
        <v>300051310.19501489</v>
      </c>
      <c r="CA317" s="375">
        <v>0</v>
      </c>
      <c r="CC317" s="365">
        <v>0</v>
      </c>
      <c r="CD317" s="375">
        <v>0</v>
      </c>
      <c r="CF317" s="365">
        <v>0</v>
      </c>
      <c r="CG317" s="375">
        <v>0</v>
      </c>
      <c r="CI317" s="365">
        <v>0</v>
      </c>
      <c r="CJ317" s="375">
        <v>0</v>
      </c>
    </row>
    <row r="318" spans="7:88">
      <c r="G318" s="417">
        <v>314</v>
      </c>
      <c r="H318" s="251">
        <v>16</v>
      </c>
      <c r="I318" s="377">
        <v>0</v>
      </c>
      <c r="J318" s="368">
        <v>0</v>
      </c>
      <c r="K318" s="368">
        <v>0</v>
      </c>
      <c r="L318" s="369">
        <v>0</v>
      </c>
      <c r="N318" s="367">
        <v>0</v>
      </c>
      <c r="O318" s="370">
        <v>0</v>
      </c>
      <c r="P318" s="370">
        <v>0</v>
      </c>
      <c r="Q318" s="370">
        <v>0</v>
      </c>
      <c r="R318" s="370">
        <v>0</v>
      </c>
      <c r="S318" s="370">
        <v>0</v>
      </c>
      <c r="T318" s="379">
        <v>0</v>
      </c>
      <c r="U318" s="371">
        <v>0</v>
      </c>
      <c r="V318" s="371">
        <v>0</v>
      </c>
      <c r="W318" s="372">
        <v>0</v>
      </c>
      <c r="X318" s="41"/>
      <c r="Y318" s="365">
        <v>0</v>
      </c>
      <c r="Z318" s="370">
        <v>0</v>
      </c>
      <c r="AA318" s="370">
        <v>0</v>
      </c>
      <c r="AB318" s="375">
        <v>0</v>
      </c>
      <c r="AC318" s="41"/>
      <c r="AD318" s="449">
        <v>0</v>
      </c>
      <c r="AE318" s="365">
        <v>0</v>
      </c>
      <c r="AF318" s="375">
        <v>0</v>
      </c>
      <c r="AH318" s="365">
        <v>0</v>
      </c>
      <c r="AI318" s="370">
        <v>0</v>
      </c>
      <c r="AJ318" s="370">
        <v>0</v>
      </c>
      <c r="AK318" s="375">
        <v>0</v>
      </c>
      <c r="AM318" s="365">
        <v>0</v>
      </c>
      <c r="AN318" s="370">
        <v>0</v>
      </c>
      <c r="AO318" s="370">
        <v>0</v>
      </c>
      <c r="AP318" s="375">
        <v>0</v>
      </c>
      <c r="AR318" s="365">
        <v>0</v>
      </c>
      <c r="AS318" s="375">
        <v>0</v>
      </c>
      <c r="AU318" s="378">
        <v>0</v>
      </c>
      <c r="AV318" s="379">
        <v>0</v>
      </c>
      <c r="AW318" s="380">
        <v>0</v>
      </c>
      <c r="AX318" s="381">
        <v>0</v>
      </c>
      <c r="AZ318" s="365">
        <v>0</v>
      </c>
      <c r="BA318" s="370">
        <v>0</v>
      </c>
      <c r="BB318" s="370">
        <v>0</v>
      </c>
      <c r="BC318" s="375">
        <v>0</v>
      </c>
      <c r="BE318" s="365">
        <v>0</v>
      </c>
      <c r="BF318" s="370">
        <v>0</v>
      </c>
      <c r="BG318" s="370">
        <v>0</v>
      </c>
      <c r="BH318" s="375">
        <v>0</v>
      </c>
      <c r="BJ318" s="365">
        <v>0</v>
      </c>
      <c r="BK318" s="370">
        <v>0</v>
      </c>
      <c r="BL318" s="370">
        <v>0</v>
      </c>
      <c r="BM318" s="375">
        <v>0</v>
      </c>
      <c r="BO318" s="365">
        <v>0</v>
      </c>
      <c r="BP318" s="370">
        <v>0</v>
      </c>
      <c r="BQ318" s="370">
        <v>0</v>
      </c>
      <c r="BR318" s="375">
        <v>0</v>
      </c>
      <c r="BT318" s="365">
        <v>0</v>
      </c>
      <c r="BU318" s="370">
        <v>0</v>
      </c>
      <c r="BV318" s="370">
        <v>0</v>
      </c>
      <c r="BW318" s="375">
        <v>0</v>
      </c>
      <c r="BY318" s="365">
        <v>0</v>
      </c>
      <c r="BZ318" s="373">
        <v>300051310.19501489</v>
      </c>
      <c r="CA318" s="375">
        <v>0</v>
      </c>
      <c r="CC318" s="365">
        <v>0</v>
      </c>
      <c r="CD318" s="375">
        <v>0</v>
      </c>
      <c r="CF318" s="365">
        <v>0</v>
      </c>
      <c r="CG318" s="375">
        <v>0</v>
      </c>
      <c r="CI318" s="365">
        <v>0</v>
      </c>
      <c r="CJ318" s="375">
        <v>0</v>
      </c>
    </row>
    <row r="319" spans="7:88">
      <c r="G319" s="417">
        <v>315</v>
      </c>
      <c r="H319" s="251">
        <v>16</v>
      </c>
      <c r="I319" s="377">
        <v>0</v>
      </c>
      <c r="J319" s="368">
        <v>0</v>
      </c>
      <c r="K319" s="368">
        <v>0</v>
      </c>
      <c r="L319" s="369">
        <v>0</v>
      </c>
      <c r="N319" s="367">
        <v>0</v>
      </c>
      <c r="O319" s="370">
        <v>0</v>
      </c>
      <c r="P319" s="370">
        <v>0</v>
      </c>
      <c r="Q319" s="370">
        <v>0</v>
      </c>
      <c r="R319" s="370">
        <v>0</v>
      </c>
      <c r="S319" s="370">
        <v>0</v>
      </c>
      <c r="T319" s="379">
        <v>0</v>
      </c>
      <c r="U319" s="371">
        <v>0</v>
      </c>
      <c r="V319" s="371">
        <v>0</v>
      </c>
      <c r="W319" s="372">
        <v>0</v>
      </c>
      <c r="X319" s="41"/>
      <c r="Y319" s="365">
        <v>0</v>
      </c>
      <c r="Z319" s="370">
        <v>0</v>
      </c>
      <c r="AA319" s="370">
        <v>0</v>
      </c>
      <c r="AB319" s="375">
        <v>0</v>
      </c>
      <c r="AC319" s="41"/>
      <c r="AD319" s="449">
        <v>0</v>
      </c>
      <c r="AE319" s="365">
        <v>0</v>
      </c>
      <c r="AF319" s="375">
        <v>0</v>
      </c>
      <c r="AH319" s="365">
        <v>0</v>
      </c>
      <c r="AI319" s="370">
        <v>0</v>
      </c>
      <c r="AJ319" s="370">
        <v>0</v>
      </c>
      <c r="AK319" s="375">
        <v>0</v>
      </c>
      <c r="AM319" s="365">
        <v>0</v>
      </c>
      <c r="AN319" s="370">
        <v>0</v>
      </c>
      <c r="AO319" s="370">
        <v>0</v>
      </c>
      <c r="AP319" s="375">
        <v>0</v>
      </c>
      <c r="AR319" s="365">
        <v>0</v>
      </c>
      <c r="AS319" s="375">
        <v>0</v>
      </c>
      <c r="AU319" s="378">
        <v>0</v>
      </c>
      <c r="AV319" s="379">
        <v>0</v>
      </c>
      <c r="AW319" s="380">
        <v>0</v>
      </c>
      <c r="AX319" s="381">
        <v>0</v>
      </c>
      <c r="AZ319" s="365">
        <v>0</v>
      </c>
      <c r="BA319" s="370">
        <v>0</v>
      </c>
      <c r="BB319" s="370">
        <v>0</v>
      </c>
      <c r="BC319" s="375">
        <v>0</v>
      </c>
      <c r="BE319" s="365">
        <v>0</v>
      </c>
      <c r="BF319" s="370">
        <v>0</v>
      </c>
      <c r="BG319" s="370">
        <v>0</v>
      </c>
      <c r="BH319" s="375">
        <v>0</v>
      </c>
      <c r="BJ319" s="365">
        <v>0</v>
      </c>
      <c r="BK319" s="370">
        <v>0</v>
      </c>
      <c r="BL319" s="370">
        <v>0</v>
      </c>
      <c r="BM319" s="375">
        <v>0</v>
      </c>
      <c r="BO319" s="365">
        <v>0</v>
      </c>
      <c r="BP319" s="370">
        <v>0</v>
      </c>
      <c r="BQ319" s="370">
        <v>0</v>
      </c>
      <c r="BR319" s="375">
        <v>0</v>
      </c>
      <c r="BT319" s="365">
        <v>0</v>
      </c>
      <c r="BU319" s="370">
        <v>0</v>
      </c>
      <c r="BV319" s="370">
        <v>0</v>
      </c>
      <c r="BW319" s="375">
        <v>0</v>
      </c>
      <c r="BY319" s="365">
        <v>0</v>
      </c>
      <c r="BZ319" s="373">
        <v>300051310.19501489</v>
      </c>
      <c r="CA319" s="375">
        <v>0</v>
      </c>
      <c r="CC319" s="365">
        <v>0</v>
      </c>
      <c r="CD319" s="375">
        <v>0</v>
      </c>
      <c r="CF319" s="365">
        <v>0</v>
      </c>
      <c r="CG319" s="375">
        <v>0</v>
      </c>
      <c r="CI319" s="365">
        <v>0</v>
      </c>
      <c r="CJ319" s="375">
        <v>0</v>
      </c>
    </row>
    <row r="320" spans="7:88">
      <c r="G320" s="417">
        <v>316</v>
      </c>
      <c r="H320" s="251">
        <v>16</v>
      </c>
      <c r="I320" s="377">
        <v>0</v>
      </c>
      <c r="J320" s="368">
        <v>0</v>
      </c>
      <c r="K320" s="368">
        <v>0</v>
      </c>
      <c r="L320" s="369">
        <v>0</v>
      </c>
      <c r="N320" s="367">
        <v>0</v>
      </c>
      <c r="O320" s="370">
        <v>0</v>
      </c>
      <c r="P320" s="370">
        <v>0</v>
      </c>
      <c r="Q320" s="370">
        <v>0</v>
      </c>
      <c r="R320" s="370">
        <v>0</v>
      </c>
      <c r="S320" s="370">
        <v>0</v>
      </c>
      <c r="T320" s="379">
        <v>0</v>
      </c>
      <c r="U320" s="371">
        <v>0</v>
      </c>
      <c r="V320" s="371">
        <v>0</v>
      </c>
      <c r="W320" s="372">
        <v>0</v>
      </c>
      <c r="X320" s="41"/>
      <c r="Y320" s="365">
        <v>0</v>
      </c>
      <c r="Z320" s="370">
        <v>0</v>
      </c>
      <c r="AA320" s="370">
        <v>0</v>
      </c>
      <c r="AB320" s="375">
        <v>0</v>
      </c>
      <c r="AC320" s="41"/>
      <c r="AD320" s="449">
        <v>0</v>
      </c>
      <c r="AE320" s="365">
        <v>0</v>
      </c>
      <c r="AF320" s="375">
        <v>0</v>
      </c>
      <c r="AH320" s="365">
        <v>0</v>
      </c>
      <c r="AI320" s="370">
        <v>0</v>
      </c>
      <c r="AJ320" s="370">
        <v>0</v>
      </c>
      <c r="AK320" s="375">
        <v>0</v>
      </c>
      <c r="AM320" s="365">
        <v>0</v>
      </c>
      <c r="AN320" s="370">
        <v>0</v>
      </c>
      <c r="AO320" s="370">
        <v>0</v>
      </c>
      <c r="AP320" s="375">
        <v>0</v>
      </c>
      <c r="AR320" s="365">
        <v>0</v>
      </c>
      <c r="AS320" s="375">
        <v>0</v>
      </c>
      <c r="AU320" s="378">
        <v>0</v>
      </c>
      <c r="AV320" s="379">
        <v>0</v>
      </c>
      <c r="AW320" s="380">
        <v>0</v>
      </c>
      <c r="AX320" s="381">
        <v>0</v>
      </c>
      <c r="AZ320" s="365">
        <v>0</v>
      </c>
      <c r="BA320" s="370">
        <v>0</v>
      </c>
      <c r="BB320" s="370">
        <v>0</v>
      </c>
      <c r="BC320" s="375">
        <v>0</v>
      </c>
      <c r="BE320" s="365">
        <v>0</v>
      </c>
      <c r="BF320" s="370">
        <v>0</v>
      </c>
      <c r="BG320" s="370">
        <v>0</v>
      </c>
      <c r="BH320" s="375">
        <v>0</v>
      </c>
      <c r="BJ320" s="365">
        <v>0</v>
      </c>
      <c r="BK320" s="370">
        <v>0</v>
      </c>
      <c r="BL320" s="370">
        <v>0</v>
      </c>
      <c r="BM320" s="375">
        <v>0</v>
      </c>
      <c r="BO320" s="365">
        <v>0</v>
      </c>
      <c r="BP320" s="370">
        <v>0</v>
      </c>
      <c r="BQ320" s="370">
        <v>0</v>
      </c>
      <c r="BR320" s="375">
        <v>0</v>
      </c>
      <c r="BT320" s="365">
        <v>0</v>
      </c>
      <c r="BU320" s="370">
        <v>0</v>
      </c>
      <c r="BV320" s="370">
        <v>0</v>
      </c>
      <c r="BW320" s="375">
        <v>0</v>
      </c>
      <c r="BY320" s="365">
        <v>0</v>
      </c>
      <c r="BZ320" s="373">
        <v>300051310.19501489</v>
      </c>
      <c r="CA320" s="375">
        <v>0</v>
      </c>
      <c r="CC320" s="365">
        <v>0</v>
      </c>
      <c r="CD320" s="375">
        <v>0</v>
      </c>
      <c r="CF320" s="365">
        <v>0</v>
      </c>
      <c r="CG320" s="375">
        <v>0</v>
      </c>
      <c r="CI320" s="365">
        <v>0</v>
      </c>
      <c r="CJ320" s="375">
        <v>0</v>
      </c>
    </row>
    <row r="321" spans="7:88">
      <c r="G321" s="417">
        <v>317</v>
      </c>
      <c r="H321" s="251">
        <v>16</v>
      </c>
      <c r="I321" s="377">
        <v>0</v>
      </c>
      <c r="J321" s="368">
        <v>0</v>
      </c>
      <c r="K321" s="368">
        <v>0</v>
      </c>
      <c r="L321" s="369">
        <v>0</v>
      </c>
      <c r="N321" s="367">
        <v>0</v>
      </c>
      <c r="O321" s="370">
        <v>0</v>
      </c>
      <c r="P321" s="370">
        <v>0</v>
      </c>
      <c r="Q321" s="370">
        <v>0</v>
      </c>
      <c r="R321" s="370">
        <v>0</v>
      </c>
      <c r="S321" s="370">
        <v>0</v>
      </c>
      <c r="T321" s="379">
        <v>0</v>
      </c>
      <c r="U321" s="371">
        <v>0</v>
      </c>
      <c r="V321" s="371">
        <v>0</v>
      </c>
      <c r="W321" s="372">
        <v>0</v>
      </c>
      <c r="X321" s="41"/>
      <c r="Y321" s="365">
        <v>0</v>
      </c>
      <c r="Z321" s="370">
        <v>0</v>
      </c>
      <c r="AA321" s="370">
        <v>0</v>
      </c>
      <c r="AB321" s="375">
        <v>0</v>
      </c>
      <c r="AC321" s="41"/>
      <c r="AD321" s="449">
        <v>0</v>
      </c>
      <c r="AE321" s="365">
        <v>0</v>
      </c>
      <c r="AF321" s="375">
        <v>0</v>
      </c>
      <c r="AH321" s="365">
        <v>0</v>
      </c>
      <c r="AI321" s="370">
        <v>0</v>
      </c>
      <c r="AJ321" s="370">
        <v>0</v>
      </c>
      <c r="AK321" s="375">
        <v>0</v>
      </c>
      <c r="AM321" s="365">
        <v>0</v>
      </c>
      <c r="AN321" s="370">
        <v>0</v>
      </c>
      <c r="AO321" s="370">
        <v>0</v>
      </c>
      <c r="AP321" s="375">
        <v>0</v>
      </c>
      <c r="AR321" s="365">
        <v>0</v>
      </c>
      <c r="AS321" s="375">
        <v>0</v>
      </c>
      <c r="AU321" s="378">
        <v>0</v>
      </c>
      <c r="AV321" s="379">
        <v>0</v>
      </c>
      <c r="AW321" s="380">
        <v>0</v>
      </c>
      <c r="AX321" s="381">
        <v>0</v>
      </c>
      <c r="AZ321" s="365">
        <v>0</v>
      </c>
      <c r="BA321" s="370">
        <v>0</v>
      </c>
      <c r="BB321" s="370">
        <v>0</v>
      </c>
      <c r="BC321" s="375">
        <v>0</v>
      </c>
      <c r="BE321" s="365">
        <v>0</v>
      </c>
      <c r="BF321" s="370">
        <v>0</v>
      </c>
      <c r="BG321" s="370">
        <v>0</v>
      </c>
      <c r="BH321" s="375">
        <v>0</v>
      </c>
      <c r="BJ321" s="365">
        <v>0</v>
      </c>
      <c r="BK321" s="370">
        <v>0</v>
      </c>
      <c r="BL321" s="370">
        <v>0</v>
      </c>
      <c r="BM321" s="375">
        <v>0</v>
      </c>
      <c r="BO321" s="365">
        <v>0</v>
      </c>
      <c r="BP321" s="370">
        <v>0</v>
      </c>
      <c r="BQ321" s="370">
        <v>0</v>
      </c>
      <c r="BR321" s="375">
        <v>0</v>
      </c>
      <c r="BT321" s="365">
        <v>0</v>
      </c>
      <c r="BU321" s="370">
        <v>0</v>
      </c>
      <c r="BV321" s="370">
        <v>0</v>
      </c>
      <c r="BW321" s="375">
        <v>0</v>
      </c>
      <c r="BY321" s="365">
        <v>0</v>
      </c>
      <c r="BZ321" s="373">
        <v>300051310.19501489</v>
      </c>
      <c r="CA321" s="375">
        <v>0</v>
      </c>
      <c r="CC321" s="365">
        <v>0</v>
      </c>
      <c r="CD321" s="375">
        <v>0</v>
      </c>
      <c r="CF321" s="365">
        <v>0</v>
      </c>
      <c r="CG321" s="375">
        <v>0</v>
      </c>
      <c r="CI321" s="365">
        <v>0</v>
      </c>
      <c r="CJ321" s="375">
        <v>0</v>
      </c>
    </row>
    <row r="322" spans="7:88">
      <c r="G322" s="417">
        <v>318</v>
      </c>
      <c r="H322" s="251">
        <v>16</v>
      </c>
      <c r="I322" s="377">
        <v>0</v>
      </c>
      <c r="J322" s="368">
        <v>0</v>
      </c>
      <c r="K322" s="368">
        <v>0</v>
      </c>
      <c r="L322" s="369">
        <v>0</v>
      </c>
      <c r="N322" s="367">
        <v>0</v>
      </c>
      <c r="O322" s="370">
        <v>0</v>
      </c>
      <c r="P322" s="370">
        <v>0</v>
      </c>
      <c r="Q322" s="370">
        <v>0</v>
      </c>
      <c r="R322" s="370">
        <v>0</v>
      </c>
      <c r="S322" s="370">
        <v>0</v>
      </c>
      <c r="T322" s="379">
        <v>0</v>
      </c>
      <c r="U322" s="371">
        <v>0</v>
      </c>
      <c r="V322" s="371">
        <v>0</v>
      </c>
      <c r="W322" s="372">
        <v>0</v>
      </c>
      <c r="X322" s="41"/>
      <c r="Y322" s="365">
        <v>0</v>
      </c>
      <c r="Z322" s="370">
        <v>0</v>
      </c>
      <c r="AA322" s="370">
        <v>0</v>
      </c>
      <c r="AB322" s="375">
        <v>0</v>
      </c>
      <c r="AC322" s="41"/>
      <c r="AD322" s="449">
        <v>0</v>
      </c>
      <c r="AE322" s="365">
        <v>0</v>
      </c>
      <c r="AF322" s="375">
        <v>0</v>
      </c>
      <c r="AH322" s="365">
        <v>0</v>
      </c>
      <c r="AI322" s="370">
        <v>0</v>
      </c>
      <c r="AJ322" s="370">
        <v>0</v>
      </c>
      <c r="AK322" s="375">
        <v>0</v>
      </c>
      <c r="AM322" s="365">
        <v>0</v>
      </c>
      <c r="AN322" s="370">
        <v>0</v>
      </c>
      <c r="AO322" s="370">
        <v>0</v>
      </c>
      <c r="AP322" s="375">
        <v>0</v>
      </c>
      <c r="AR322" s="365">
        <v>0</v>
      </c>
      <c r="AS322" s="375">
        <v>0</v>
      </c>
      <c r="AU322" s="378">
        <v>0</v>
      </c>
      <c r="AV322" s="379">
        <v>0</v>
      </c>
      <c r="AW322" s="380">
        <v>0</v>
      </c>
      <c r="AX322" s="381">
        <v>0</v>
      </c>
      <c r="AZ322" s="365">
        <v>0</v>
      </c>
      <c r="BA322" s="370">
        <v>0</v>
      </c>
      <c r="BB322" s="370">
        <v>0</v>
      </c>
      <c r="BC322" s="375">
        <v>0</v>
      </c>
      <c r="BE322" s="365">
        <v>0</v>
      </c>
      <c r="BF322" s="370">
        <v>0</v>
      </c>
      <c r="BG322" s="370">
        <v>0</v>
      </c>
      <c r="BH322" s="375">
        <v>0</v>
      </c>
      <c r="BJ322" s="365">
        <v>0</v>
      </c>
      <c r="BK322" s="370">
        <v>0</v>
      </c>
      <c r="BL322" s="370">
        <v>0</v>
      </c>
      <c r="BM322" s="375">
        <v>0</v>
      </c>
      <c r="BO322" s="365">
        <v>0</v>
      </c>
      <c r="BP322" s="370">
        <v>0</v>
      </c>
      <c r="BQ322" s="370">
        <v>0</v>
      </c>
      <c r="BR322" s="375">
        <v>0</v>
      </c>
      <c r="BT322" s="365">
        <v>0</v>
      </c>
      <c r="BU322" s="370">
        <v>0</v>
      </c>
      <c r="BV322" s="370">
        <v>0</v>
      </c>
      <c r="BW322" s="375">
        <v>0</v>
      </c>
      <c r="BY322" s="365">
        <v>0</v>
      </c>
      <c r="BZ322" s="373">
        <v>300051310.19501489</v>
      </c>
      <c r="CA322" s="375">
        <v>0</v>
      </c>
      <c r="CC322" s="365">
        <v>0</v>
      </c>
      <c r="CD322" s="375">
        <v>0</v>
      </c>
      <c r="CF322" s="365">
        <v>0</v>
      </c>
      <c r="CG322" s="375">
        <v>0</v>
      </c>
      <c r="CI322" s="365">
        <v>0</v>
      </c>
      <c r="CJ322" s="375">
        <v>0</v>
      </c>
    </row>
    <row r="323" spans="7:88">
      <c r="G323" s="417">
        <v>319</v>
      </c>
      <c r="H323" s="251">
        <v>16</v>
      </c>
      <c r="I323" s="377">
        <v>0</v>
      </c>
      <c r="J323" s="368">
        <v>0</v>
      </c>
      <c r="K323" s="368">
        <v>0</v>
      </c>
      <c r="L323" s="369">
        <v>0</v>
      </c>
      <c r="N323" s="367">
        <v>0</v>
      </c>
      <c r="O323" s="370">
        <v>0</v>
      </c>
      <c r="P323" s="370">
        <v>0</v>
      </c>
      <c r="Q323" s="370">
        <v>0</v>
      </c>
      <c r="R323" s="370">
        <v>0</v>
      </c>
      <c r="S323" s="370">
        <v>0</v>
      </c>
      <c r="T323" s="379">
        <v>0</v>
      </c>
      <c r="U323" s="371">
        <v>0</v>
      </c>
      <c r="V323" s="371">
        <v>0</v>
      </c>
      <c r="W323" s="372">
        <v>0</v>
      </c>
      <c r="X323" s="41"/>
      <c r="Y323" s="365">
        <v>0</v>
      </c>
      <c r="Z323" s="370">
        <v>0</v>
      </c>
      <c r="AA323" s="370">
        <v>0</v>
      </c>
      <c r="AB323" s="375">
        <v>0</v>
      </c>
      <c r="AC323" s="41"/>
      <c r="AD323" s="449">
        <v>0</v>
      </c>
      <c r="AE323" s="365">
        <v>0</v>
      </c>
      <c r="AF323" s="375">
        <v>0</v>
      </c>
      <c r="AH323" s="365">
        <v>0</v>
      </c>
      <c r="AI323" s="370">
        <v>0</v>
      </c>
      <c r="AJ323" s="370">
        <v>0</v>
      </c>
      <c r="AK323" s="375">
        <v>0</v>
      </c>
      <c r="AM323" s="365">
        <v>0</v>
      </c>
      <c r="AN323" s="370">
        <v>0</v>
      </c>
      <c r="AO323" s="370">
        <v>0</v>
      </c>
      <c r="AP323" s="375">
        <v>0</v>
      </c>
      <c r="AR323" s="365">
        <v>0</v>
      </c>
      <c r="AS323" s="375">
        <v>0</v>
      </c>
      <c r="AU323" s="378">
        <v>0</v>
      </c>
      <c r="AV323" s="379">
        <v>0</v>
      </c>
      <c r="AW323" s="380">
        <v>0</v>
      </c>
      <c r="AX323" s="381">
        <v>0</v>
      </c>
      <c r="AZ323" s="365">
        <v>0</v>
      </c>
      <c r="BA323" s="370">
        <v>0</v>
      </c>
      <c r="BB323" s="370">
        <v>0</v>
      </c>
      <c r="BC323" s="375">
        <v>0</v>
      </c>
      <c r="BE323" s="365">
        <v>0</v>
      </c>
      <c r="BF323" s="370">
        <v>0</v>
      </c>
      <c r="BG323" s="370">
        <v>0</v>
      </c>
      <c r="BH323" s="375">
        <v>0</v>
      </c>
      <c r="BJ323" s="365">
        <v>0</v>
      </c>
      <c r="BK323" s="370">
        <v>0</v>
      </c>
      <c r="BL323" s="370">
        <v>0</v>
      </c>
      <c r="BM323" s="375">
        <v>0</v>
      </c>
      <c r="BO323" s="365">
        <v>0</v>
      </c>
      <c r="BP323" s="370">
        <v>0</v>
      </c>
      <c r="BQ323" s="370">
        <v>0</v>
      </c>
      <c r="BR323" s="375">
        <v>0</v>
      </c>
      <c r="BT323" s="365">
        <v>0</v>
      </c>
      <c r="BU323" s="370">
        <v>0</v>
      </c>
      <c r="BV323" s="370">
        <v>0</v>
      </c>
      <c r="BW323" s="375">
        <v>0</v>
      </c>
      <c r="BY323" s="365">
        <v>0</v>
      </c>
      <c r="BZ323" s="373">
        <v>300051310.19501489</v>
      </c>
      <c r="CA323" s="375">
        <v>0</v>
      </c>
      <c r="CC323" s="365">
        <v>0</v>
      </c>
      <c r="CD323" s="375">
        <v>0</v>
      </c>
      <c r="CF323" s="365">
        <v>0</v>
      </c>
      <c r="CG323" s="375">
        <v>0</v>
      </c>
      <c r="CI323" s="365">
        <v>0</v>
      </c>
      <c r="CJ323" s="375">
        <v>0</v>
      </c>
    </row>
    <row r="324" spans="7:88">
      <c r="G324" s="417">
        <v>320</v>
      </c>
      <c r="H324" s="251">
        <v>16</v>
      </c>
      <c r="I324" s="377">
        <v>0</v>
      </c>
      <c r="J324" s="368">
        <v>0</v>
      </c>
      <c r="K324" s="368">
        <v>0</v>
      </c>
      <c r="L324" s="369">
        <v>0</v>
      </c>
      <c r="N324" s="367">
        <v>0</v>
      </c>
      <c r="O324" s="370">
        <v>0</v>
      </c>
      <c r="P324" s="370">
        <v>0</v>
      </c>
      <c r="Q324" s="370">
        <v>0</v>
      </c>
      <c r="R324" s="370">
        <v>0</v>
      </c>
      <c r="S324" s="370">
        <v>0</v>
      </c>
      <c r="T324" s="379">
        <v>0</v>
      </c>
      <c r="U324" s="371">
        <v>0</v>
      </c>
      <c r="V324" s="371">
        <v>0</v>
      </c>
      <c r="W324" s="372">
        <v>0</v>
      </c>
      <c r="X324" s="41"/>
      <c r="Y324" s="365">
        <v>0</v>
      </c>
      <c r="Z324" s="370">
        <v>0</v>
      </c>
      <c r="AA324" s="370">
        <v>0</v>
      </c>
      <c r="AB324" s="375">
        <v>0</v>
      </c>
      <c r="AC324" s="41"/>
      <c r="AD324" s="449">
        <v>0</v>
      </c>
      <c r="AE324" s="365">
        <v>0</v>
      </c>
      <c r="AF324" s="375">
        <v>0</v>
      </c>
      <c r="AH324" s="365">
        <v>0</v>
      </c>
      <c r="AI324" s="370">
        <v>0</v>
      </c>
      <c r="AJ324" s="370">
        <v>0</v>
      </c>
      <c r="AK324" s="375">
        <v>0</v>
      </c>
      <c r="AM324" s="365">
        <v>0</v>
      </c>
      <c r="AN324" s="370">
        <v>0</v>
      </c>
      <c r="AO324" s="370">
        <v>0</v>
      </c>
      <c r="AP324" s="375">
        <v>0</v>
      </c>
      <c r="AR324" s="365">
        <v>0</v>
      </c>
      <c r="AS324" s="375">
        <v>0</v>
      </c>
      <c r="AU324" s="378">
        <v>0</v>
      </c>
      <c r="AV324" s="379">
        <v>0</v>
      </c>
      <c r="AW324" s="380">
        <v>0</v>
      </c>
      <c r="AX324" s="381">
        <v>0</v>
      </c>
      <c r="AZ324" s="365">
        <v>0</v>
      </c>
      <c r="BA324" s="370">
        <v>0</v>
      </c>
      <c r="BB324" s="370">
        <v>0</v>
      </c>
      <c r="BC324" s="375">
        <v>0</v>
      </c>
      <c r="BE324" s="365">
        <v>0</v>
      </c>
      <c r="BF324" s="370">
        <v>0</v>
      </c>
      <c r="BG324" s="370">
        <v>0</v>
      </c>
      <c r="BH324" s="375">
        <v>0</v>
      </c>
      <c r="BJ324" s="365">
        <v>0</v>
      </c>
      <c r="BK324" s="370">
        <v>0</v>
      </c>
      <c r="BL324" s="370">
        <v>0</v>
      </c>
      <c r="BM324" s="375">
        <v>0</v>
      </c>
      <c r="BO324" s="365">
        <v>0</v>
      </c>
      <c r="BP324" s="370">
        <v>0</v>
      </c>
      <c r="BQ324" s="370">
        <v>0</v>
      </c>
      <c r="BR324" s="375">
        <v>0</v>
      </c>
      <c r="BT324" s="365">
        <v>0</v>
      </c>
      <c r="BU324" s="370">
        <v>0</v>
      </c>
      <c r="BV324" s="370">
        <v>0</v>
      </c>
      <c r="BW324" s="375">
        <v>0</v>
      </c>
      <c r="BY324" s="365">
        <v>0</v>
      </c>
      <c r="BZ324" s="373">
        <v>300051310.19501489</v>
      </c>
      <c r="CA324" s="375">
        <v>0</v>
      </c>
      <c r="CC324" s="365">
        <v>0</v>
      </c>
      <c r="CD324" s="375">
        <v>0</v>
      </c>
      <c r="CF324" s="365">
        <v>0</v>
      </c>
      <c r="CG324" s="375">
        <v>0</v>
      </c>
      <c r="CI324" s="365">
        <v>0</v>
      </c>
      <c r="CJ324" s="375">
        <v>0</v>
      </c>
    </row>
    <row r="325" spans="7:88">
      <c r="G325" s="417">
        <v>321</v>
      </c>
      <c r="H325" s="251">
        <v>16</v>
      </c>
      <c r="I325" s="377">
        <v>0</v>
      </c>
      <c r="J325" s="368">
        <v>0</v>
      </c>
      <c r="K325" s="368">
        <v>0</v>
      </c>
      <c r="L325" s="369">
        <v>0</v>
      </c>
      <c r="N325" s="367">
        <v>0</v>
      </c>
      <c r="O325" s="370">
        <v>0</v>
      </c>
      <c r="P325" s="370">
        <v>0</v>
      </c>
      <c r="Q325" s="370">
        <v>0</v>
      </c>
      <c r="R325" s="370">
        <v>0</v>
      </c>
      <c r="S325" s="370">
        <v>0</v>
      </c>
      <c r="T325" s="379">
        <v>0</v>
      </c>
      <c r="U325" s="371">
        <v>0</v>
      </c>
      <c r="V325" s="371">
        <v>0</v>
      </c>
      <c r="W325" s="372">
        <v>0</v>
      </c>
      <c r="X325" s="41"/>
      <c r="Y325" s="365">
        <v>0</v>
      </c>
      <c r="Z325" s="370">
        <v>0</v>
      </c>
      <c r="AA325" s="370">
        <v>0</v>
      </c>
      <c r="AB325" s="375">
        <v>0</v>
      </c>
      <c r="AC325" s="41"/>
      <c r="AD325" s="449">
        <v>0</v>
      </c>
      <c r="AE325" s="365">
        <v>0</v>
      </c>
      <c r="AF325" s="375">
        <v>0</v>
      </c>
      <c r="AH325" s="365">
        <v>0</v>
      </c>
      <c r="AI325" s="370">
        <v>0</v>
      </c>
      <c r="AJ325" s="370">
        <v>0</v>
      </c>
      <c r="AK325" s="375">
        <v>0</v>
      </c>
      <c r="AM325" s="365">
        <v>0</v>
      </c>
      <c r="AN325" s="370">
        <v>0</v>
      </c>
      <c r="AO325" s="370">
        <v>0</v>
      </c>
      <c r="AP325" s="375">
        <v>0</v>
      </c>
      <c r="AR325" s="365">
        <v>0</v>
      </c>
      <c r="AS325" s="375">
        <v>0</v>
      </c>
      <c r="AU325" s="378">
        <v>0</v>
      </c>
      <c r="AV325" s="379">
        <v>0</v>
      </c>
      <c r="AW325" s="380">
        <v>0</v>
      </c>
      <c r="AX325" s="381">
        <v>0</v>
      </c>
      <c r="AZ325" s="365">
        <v>0</v>
      </c>
      <c r="BA325" s="370">
        <v>0</v>
      </c>
      <c r="BB325" s="370">
        <v>0</v>
      </c>
      <c r="BC325" s="375">
        <v>0</v>
      </c>
      <c r="BE325" s="365">
        <v>0</v>
      </c>
      <c r="BF325" s="370">
        <v>0</v>
      </c>
      <c r="BG325" s="370">
        <v>0</v>
      </c>
      <c r="BH325" s="375">
        <v>0</v>
      </c>
      <c r="BJ325" s="365">
        <v>0</v>
      </c>
      <c r="BK325" s="370">
        <v>0</v>
      </c>
      <c r="BL325" s="370">
        <v>0</v>
      </c>
      <c r="BM325" s="375">
        <v>0</v>
      </c>
      <c r="BO325" s="365">
        <v>0</v>
      </c>
      <c r="BP325" s="370">
        <v>0</v>
      </c>
      <c r="BQ325" s="370">
        <v>0</v>
      </c>
      <c r="BR325" s="375">
        <v>0</v>
      </c>
      <c r="BT325" s="365">
        <v>0</v>
      </c>
      <c r="BU325" s="370">
        <v>0</v>
      </c>
      <c r="BV325" s="370">
        <v>0</v>
      </c>
      <c r="BW325" s="375">
        <v>0</v>
      </c>
      <c r="BY325" s="365">
        <v>0</v>
      </c>
      <c r="BZ325" s="373">
        <v>300051310.19501489</v>
      </c>
      <c r="CA325" s="375">
        <v>0</v>
      </c>
      <c r="CC325" s="365">
        <v>0</v>
      </c>
      <c r="CD325" s="375">
        <v>0</v>
      </c>
      <c r="CF325" s="365">
        <v>0</v>
      </c>
      <c r="CG325" s="375">
        <v>0</v>
      </c>
      <c r="CI325" s="365">
        <v>0</v>
      </c>
      <c r="CJ325" s="375">
        <v>0</v>
      </c>
    </row>
    <row r="326" spans="7:88">
      <c r="G326" s="417">
        <v>322</v>
      </c>
      <c r="H326" s="251">
        <v>16</v>
      </c>
      <c r="I326" s="377">
        <v>0</v>
      </c>
      <c r="J326" s="368">
        <v>0</v>
      </c>
      <c r="K326" s="368">
        <v>0</v>
      </c>
      <c r="L326" s="369">
        <v>0</v>
      </c>
      <c r="N326" s="367">
        <v>0</v>
      </c>
      <c r="O326" s="370">
        <v>0</v>
      </c>
      <c r="P326" s="370">
        <v>0</v>
      </c>
      <c r="Q326" s="370">
        <v>0</v>
      </c>
      <c r="R326" s="370">
        <v>0</v>
      </c>
      <c r="S326" s="370">
        <v>0</v>
      </c>
      <c r="T326" s="379">
        <v>0</v>
      </c>
      <c r="U326" s="371">
        <v>0</v>
      </c>
      <c r="V326" s="371">
        <v>0</v>
      </c>
      <c r="W326" s="372">
        <v>0</v>
      </c>
      <c r="X326" s="41"/>
      <c r="Y326" s="365">
        <v>0</v>
      </c>
      <c r="Z326" s="370">
        <v>0</v>
      </c>
      <c r="AA326" s="370">
        <v>0</v>
      </c>
      <c r="AB326" s="375">
        <v>0</v>
      </c>
      <c r="AC326" s="41"/>
      <c r="AD326" s="449">
        <v>0</v>
      </c>
      <c r="AE326" s="365">
        <v>0</v>
      </c>
      <c r="AF326" s="375">
        <v>0</v>
      </c>
      <c r="AH326" s="365">
        <v>0</v>
      </c>
      <c r="AI326" s="370">
        <v>0</v>
      </c>
      <c r="AJ326" s="370">
        <v>0</v>
      </c>
      <c r="AK326" s="375">
        <v>0</v>
      </c>
      <c r="AM326" s="365">
        <v>0</v>
      </c>
      <c r="AN326" s="370">
        <v>0</v>
      </c>
      <c r="AO326" s="370">
        <v>0</v>
      </c>
      <c r="AP326" s="375">
        <v>0</v>
      </c>
      <c r="AR326" s="365">
        <v>0</v>
      </c>
      <c r="AS326" s="375">
        <v>0</v>
      </c>
      <c r="AU326" s="378">
        <v>0</v>
      </c>
      <c r="AV326" s="379">
        <v>0</v>
      </c>
      <c r="AW326" s="380">
        <v>0</v>
      </c>
      <c r="AX326" s="381">
        <v>0</v>
      </c>
      <c r="AZ326" s="365">
        <v>0</v>
      </c>
      <c r="BA326" s="370">
        <v>0</v>
      </c>
      <c r="BB326" s="370">
        <v>0</v>
      </c>
      <c r="BC326" s="375">
        <v>0</v>
      </c>
      <c r="BE326" s="365">
        <v>0</v>
      </c>
      <c r="BF326" s="370">
        <v>0</v>
      </c>
      <c r="BG326" s="370">
        <v>0</v>
      </c>
      <c r="BH326" s="375">
        <v>0</v>
      </c>
      <c r="BJ326" s="365">
        <v>0</v>
      </c>
      <c r="BK326" s="370">
        <v>0</v>
      </c>
      <c r="BL326" s="370">
        <v>0</v>
      </c>
      <c r="BM326" s="375">
        <v>0</v>
      </c>
      <c r="BO326" s="365">
        <v>0</v>
      </c>
      <c r="BP326" s="370">
        <v>0</v>
      </c>
      <c r="BQ326" s="370">
        <v>0</v>
      </c>
      <c r="BR326" s="375">
        <v>0</v>
      </c>
      <c r="BT326" s="365">
        <v>0</v>
      </c>
      <c r="BU326" s="370">
        <v>0</v>
      </c>
      <c r="BV326" s="370">
        <v>0</v>
      </c>
      <c r="BW326" s="375">
        <v>0</v>
      </c>
      <c r="BY326" s="365">
        <v>0</v>
      </c>
      <c r="BZ326" s="373">
        <v>300051310.19501489</v>
      </c>
      <c r="CA326" s="375">
        <v>0</v>
      </c>
      <c r="CC326" s="365">
        <v>0</v>
      </c>
      <c r="CD326" s="375">
        <v>0</v>
      </c>
      <c r="CF326" s="365">
        <v>0</v>
      </c>
      <c r="CG326" s="375">
        <v>0</v>
      </c>
      <c r="CI326" s="365">
        <v>0</v>
      </c>
      <c r="CJ326" s="375">
        <v>0</v>
      </c>
    </row>
    <row r="327" spans="7:88">
      <c r="G327" s="417">
        <v>323</v>
      </c>
      <c r="H327" s="251">
        <v>16</v>
      </c>
      <c r="I327" s="377">
        <v>0</v>
      </c>
      <c r="J327" s="368">
        <v>0</v>
      </c>
      <c r="K327" s="368">
        <v>0</v>
      </c>
      <c r="L327" s="369">
        <v>0</v>
      </c>
      <c r="N327" s="367">
        <v>0</v>
      </c>
      <c r="O327" s="370">
        <v>0</v>
      </c>
      <c r="P327" s="370">
        <v>0</v>
      </c>
      <c r="Q327" s="370">
        <v>0</v>
      </c>
      <c r="R327" s="370">
        <v>0</v>
      </c>
      <c r="S327" s="370">
        <v>0</v>
      </c>
      <c r="T327" s="379">
        <v>0</v>
      </c>
      <c r="U327" s="371">
        <v>0</v>
      </c>
      <c r="V327" s="371">
        <v>0</v>
      </c>
      <c r="W327" s="372">
        <v>0</v>
      </c>
      <c r="X327" s="41"/>
      <c r="Y327" s="365">
        <v>0</v>
      </c>
      <c r="Z327" s="370">
        <v>0</v>
      </c>
      <c r="AA327" s="370">
        <v>0</v>
      </c>
      <c r="AB327" s="375">
        <v>0</v>
      </c>
      <c r="AC327" s="41"/>
      <c r="AD327" s="449">
        <v>0</v>
      </c>
      <c r="AE327" s="365">
        <v>0</v>
      </c>
      <c r="AF327" s="375">
        <v>0</v>
      </c>
      <c r="AH327" s="365">
        <v>0</v>
      </c>
      <c r="AI327" s="370">
        <v>0</v>
      </c>
      <c r="AJ327" s="370">
        <v>0</v>
      </c>
      <c r="AK327" s="375">
        <v>0</v>
      </c>
      <c r="AM327" s="365">
        <v>0</v>
      </c>
      <c r="AN327" s="370">
        <v>0</v>
      </c>
      <c r="AO327" s="370">
        <v>0</v>
      </c>
      <c r="AP327" s="375">
        <v>0</v>
      </c>
      <c r="AR327" s="365">
        <v>0</v>
      </c>
      <c r="AS327" s="375">
        <v>0</v>
      </c>
      <c r="AU327" s="378">
        <v>0</v>
      </c>
      <c r="AV327" s="379">
        <v>0</v>
      </c>
      <c r="AW327" s="380">
        <v>0</v>
      </c>
      <c r="AX327" s="381">
        <v>0</v>
      </c>
      <c r="AZ327" s="365">
        <v>0</v>
      </c>
      <c r="BA327" s="370">
        <v>0</v>
      </c>
      <c r="BB327" s="370">
        <v>0</v>
      </c>
      <c r="BC327" s="375">
        <v>0</v>
      </c>
      <c r="BE327" s="365">
        <v>0</v>
      </c>
      <c r="BF327" s="370">
        <v>0</v>
      </c>
      <c r="BG327" s="370">
        <v>0</v>
      </c>
      <c r="BH327" s="375">
        <v>0</v>
      </c>
      <c r="BJ327" s="365">
        <v>0</v>
      </c>
      <c r="BK327" s="370">
        <v>0</v>
      </c>
      <c r="BL327" s="370">
        <v>0</v>
      </c>
      <c r="BM327" s="375">
        <v>0</v>
      </c>
      <c r="BO327" s="365">
        <v>0</v>
      </c>
      <c r="BP327" s="370">
        <v>0</v>
      </c>
      <c r="BQ327" s="370">
        <v>0</v>
      </c>
      <c r="BR327" s="375">
        <v>0</v>
      </c>
      <c r="BT327" s="365">
        <v>0</v>
      </c>
      <c r="BU327" s="370">
        <v>0</v>
      </c>
      <c r="BV327" s="370">
        <v>0</v>
      </c>
      <c r="BW327" s="375">
        <v>0</v>
      </c>
      <c r="BY327" s="365">
        <v>0</v>
      </c>
      <c r="BZ327" s="373">
        <v>300051310.19501489</v>
      </c>
      <c r="CA327" s="375">
        <v>0</v>
      </c>
      <c r="CC327" s="365">
        <v>0</v>
      </c>
      <c r="CD327" s="375">
        <v>0</v>
      </c>
      <c r="CF327" s="365">
        <v>0</v>
      </c>
      <c r="CG327" s="375">
        <v>0</v>
      </c>
      <c r="CI327" s="365">
        <v>0</v>
      </c>
      <c r="CJ327" s="375">
        <v>0</v>
      </c>
    </row>
    <row r="328" spans="7:88">
      <c r="G328" s="417">
        <v>324</v>
      </c>
      <c r="H328" s="251">
        <v>16</v>
      </c>
      <c r="I328" s="377">
        <v>0</v>
      </c>
      <c r="J328" s="368">
        <v>0</v>
      </c>
      <c r="K328" s="368">
        <v>0</v>
      </c>
      <c r="L328" s="369">
        <v>0</v>
      </c>
      <c r="N328" s="367">
        <v>0</v>
      </c>
      <c r="O328" s="370">
        <v>0</v>
      </c>
      <c r="P328" s="370">
        <v>0</v>
      </c>
      <c r="Q328" s="370">
        <v>0</v>
      </c>
      <c r="R328" s="370">
        <v>0</v>
      </c>
      <c r="S328" s="370">
        <v>0</v>
      </c>
      <c r="T328" s="379">
        <v>0</v>
      </c>
      <c r="U328" s="371">
        <v>0</v>
      </c>
      <c r="V328" s="371">
        <v>0</v>
      </c>
      <c r="W328" s="372">
        <v>0</v>
      </c>
      <c r="X328" s="41"/>
      <c r="Y328" s="365">
        <v>0</v>
      </c>
      <c r="Z328" s="370">
        <v>0</v>
      </c>
      <c r="AA328" s="370">
        <v>0</v>
      </c>
      <c r="AB328" s="375">
        <v>0</v>
      </c>
      <c r="AC328" s="41"/>
      <c r="AD328" s="449">
        <v>0</v>
      </c>
      <c r="AE328" s="365">
        <v>0</v>
      </c>
      <c r="AF328" s="375">
        <v>0</v>
      </c>
      <c r="AH328" s="365">
        <v>0</v>
      </c>
      <c r="AI328" s="370">
        <v>0</v>
      </c>
      <c r="AJ328" s="370">
        <v>0</v>
      </c>
      <c r="AK328" s="375">
        <v>0</v>
      </c>
      <c r="AM328" s="365">
        <v>0</v>
      </c>
      <c r="AN328" s="370">
        <v>0</v>
      </c>
      <c r="AO328" s="370">
        <v>0</v>
      </c>
      <c r="AP328" s="375">
        <v>0</v>
      </c>
      <c r="AR328" s="365">
        <v>0</v>
      </c>
      <c r="AS328" s="375">
        <v>0</v>
      </c>
      <c r="AU328" s="378">
        <v>0</v>
      </c>
      <c r="AV328" s="379">
        <v>0</v>
      </c>
      <c r="AW328" s="380">
        <v>0</v>
      </c>
      <c r="AX328" s="381">
        <v>0</v>
      </c>
      <c r="AZ328" s="365">
        <v>0</v>
      </c>
      <c r="BA328" s="370">
        <v>0</v>
      </c>
      <c r="BB328" s="370">
        <v>0</v>
      </c>
      <c r="BC328" s="375">
        <v>0</v>
      </c>
      <c r="BE328" s="365">
        <v>0</v>
      </c>
      <c r="BF328" s="370">
        <v>0</v>
      </c>
      <c r="BG328" s="370">
        <v>0</v>
      </c>
      <c r="BH328" s="375">
        <v>0</v>
      </c>
      <c r="BJ328" s="365">
        <v>0</v>
      </c>
      <c r="BK328" s="370">
        <v>0</v>
      </c>
      <c r="BL328" s="370">
        <v>0</v>
      </c>
      <c r="BM328" s="375">
        <v>0</v>
      </c>
      <c r="BO328" s="365">
        <v>0</v>
      </c>
      <c r="BP328" s="370">
        <v>0</v>
      </c>
      <c r="BQ328" s="370">
        <v>0</v>
      </c>
      <c r="BR328" s="375">
        <v>0</v>
      </c>
      <c r="BT328" s="365">
        <v>0</v>
      </c>
      <c r="BU328" s="370">
        <v>0</v>
      </c>
      <c r="BV328" s="370">
        <v>0</v>
      </c>
      <c r="BW328" s="375">
        <v>0</v>
      </c>
      <c r="BY328" s="365">
        <v>0</v>
      </c>
      <c r="BZ328" s="373">
        <v>300051310.19501489</v>
      </c>
      <c r="CA328" s="375">
        <v>0</v>
      </c>
      <c r="CC328" s="365">
        <v>0</v>
      </c>
      <c r="CD328" s="375">
        <v>0</v>
      </c>
      <c r="CF328" s="365">
        <v>0</v>
      </c>
      <c r="CG328" s="375">
        <v>0</v>
      </c>
      <c r="CI328" s="365">
        <v>0</v>
      </c>
      <c r="CJ328" s="375">
        <v>0</v>
      </c>
    </row>
    <row r="329" spans="7:88">
      <c r="G329" s="417">
        <v>325</v>
      </c>
      <c r="H329" s="251">
        <v>16</v>
      </c>
      <c r="I329" s="377">
        <v>0</v>
      </c>
      <c r="J329" s="368">
        <v>0</v>
      </c>
      <c r="K329" s="368">
        <v>0</v>
      </c>
      <c r="L329" s="369">
        <v>0</v>
      </c>
      <c r="N329" s="367">
        <v>0</v>
      </c>
      <c r="O329" s="370">
        <v>0</v>
      </c>
      <c r="P329" s="370">
        <v>0</v>
      </c>
      <c r="Q329" s="370">
        <v>0</v>
      </c>
      <c r="R329" s="370">
        <v>0</v>
      </c>
      <c r="S329" s="370">
        <v>0</v>
      </c>
      <c r="T329" s="379">
        <v>0</v>
      </c>
      <c r="U329" s="371">
        <v>0</v>
      </c>
      <c r="V329" s="371">
        <v>0</v>
      </c>
      <c r="W329" s="372">
        <v>0</v>
      </c>
      <c r="X329" s="41"/>
      <c r="Y329" s="365">
        <v>0</v>
      </c>
      <c r="Z329" s="370">
        <v>0</v>
      </c>
      <c r="AA329" s="370">
        <v>0</v>
      </c>
      <c r="AB329" s="375">
        <v>0</v>
      </c>
      <c r="AC329" s="41"/>
      <c r="AD329" s="449">
        <v>0</v>
      </c>
      <c r="AE329" s="365">
        <v>0</v>
      </c>
      <c r="AF329" s="375">
        <v>0</v>
      </c>
      <c r="AH329" s="365">
        <v>0</v>
      </c>
      <c r="AI329" s="370">
        <v>0</v>
      </c>
      <c r="AJ329" s="370">
        <v>0</v>
      </c>
      <c r="AK329" s="375">
        <v>0</v>
      </c>
      <c r="AM329" s="365">
        <v>0</v>
      </c>
      <c r="AN329" s="370">
        <v>0</v>
      </c>
      <c r="AO329" s="370">
        <v>0</v>
      </c>
      <c r="AP329" s="375">
        <v>0</v>
      </c>
      <c r="AR329" s="365">
        <v>0</v>
      </c>
      <c r="AS329" s="375">
        <v>0</v>
      </c>
      <c r="AU329" s="378">
        <v>0</v>
      </c>
      <c r="AV329" s="379">
        <v>0</v>
      </c>
      <c r="AW329" s="380">
        <v>0</v>
      </c>
      <c r="AX329" s="381">
        <v>0</v>
      </c>
      <c r="AZ329" s="365">
        <v>0</v>
      </c>
      <c r="BA329" s="370">
        <v>0</v>
      </c>
      <c r="BB329" s="370">
        <v>0</v>
      </c>
      <c r="BC329" s="375">
        <v>0</v>
      </c>
      <c r="BE329" s="365">
        <v>0</v>
      </c>
      <c r="BF329" s="370">
        <v>0</v>
      </c>
      <c r="BG329" s="370">
        <v>0</v>
      </c>
      <c r="BH329" s="375">
        <v>0</v>
      </c>
      <c r="BJ329" s="365">
        <v>0</v>
      </c>
      <c r="BK329" s="370">
        <v>0</v>
      </c>
      <c r="BL329" s="370">
        <v>0</v>
      </c>
      <c r="BM329" s="375">
        <v>0</v>
      </c>
      <c r="BO329" s="365">
        <v>0</v>
      </c>
      <c r="BP329" s="370">
        <v>0</v>
      </c>
      <c r="BQ329" s="370">
        <v>0</v>
      </c>
      <c r="BR329" s="375">
        <v>0</v>
      </c>
      <c r="BT329" s="365">
        <v>0</v>
      </c>
      <c r="BU329" s="370">
        <v>0</v>
      </c>
      <c r="BV329" s="370">
        <v>0</v>
      </c>
      <c r="BW329" s="375">
        <v>0</v>
      </c>
      <c r="BY329" s="365">
        <v>0</v>
      </c>
      <c r="BZ329" s="373">
        <v>300051310.19501489</v>
      </c>
      <c r="CA329" s="375">
        <v>0</v>
      </c>
      <c r="CC329" s="365">
        <v>0</v>
      </c>
      <c r="CD329" s="375">
        <v>0</v>
      </c>
      <c r="CF329" s="365">
        <v>0</v>
      </c>
      <c r="CG329" s="375">
        <v>0</v>
      </c>
      <c r="CI329" s="365">
        <v>0</v>
      </c>
      <c r="CJ329" s="375">
        <v>0</v>
      </c>
    </row>
    <row r="330" spans="7:88">
      <c r="G330" s="417">
        <v>326</v>
      </c>
      <c r="H330" s="251">
        <v>16</v>
      </c>
      <c r="I330" s="377">
        <v>0</v>
      </c>
      <c r="J330" s="368">
        <v>0</v>
      </c>
      <c r="K330" s="368">
        <v>0</v>
      </c>
      <c r="L330" s="369">
        <v>0</v>
      </c>
      <c r="N330" s="367">
        <v>0</v>
      </c>
      <c r="O330" s="370">
        <v>0</v>
      </c>
      <c r="P330" s="370">
        <v>0</v>
      </c>
      <c r="Q330" s="370">
        <v>0</v>
      </c>
      <c r="R330" s="370">
        <v>0</v>
      </c>
      <c r="S330" s="370">
        <v>0</v>
      </c>
      <c r="T330" s="379">
        <v>0</v>
      </c>
      <c r="U330" s="371">
        <v>0</v>
      </c>
      <c r="V330" s="371">
        <v>0</v>
      </c>
      <c r="W330" s="372">
        <v>0</v>
      </c>
      <c r="X330" s="41"/>
      <c r="Y330" s="365">
        <v>0</v>
      </c>
      <c r="Z330" s="370">
        <v>0</v>
      </c>
      <c r="AA330" s="370">
        <v>0</v>
      </c>
      <c r="AB330" s="375">
        <v>0</v>
      </c>
      <c r="AC330" s="41"/>
      <c r="AD330" s="449">
        <v>0</v>
      </c>
      <c r="AE330" s="365">
        <v>0</v>
      </c>
      <c r="AF330" s="375">
        <v>0</v>
      </c>
      <c r="AH330" s="365">
        <v>0</v>
      </c>
      <c r="AI330" s="370">
        <v>0</v>
      </c>
      <c r="AJ330" s="370">
        <v>0</v>
      </c>
      <c r="AK330" s="375">
        <v>0</v>
      </c>
      <c r="AM330" s="365">
        <v>0</v>
      </c>
      <c r="AN330" s="370">
        <v>0</v>
      </c>
      <c r="AO330" s="370">
        <v>0</v>
      </c>
      <c r="AP330" s="375">
        <v>0</v>
      </c>
      <c r="AR330" s="365">
        <v>0</v>
      </c>
      <c r="AS330" s="375">
        <v>0</v>
      </c>
      <c r="AU330" s="378">
        <v>0</v>
      </c>
      <c r="AV330" s="379">
        <v>0</v>
      </c>
      <c r="AW330" s="380">
        <v>0</v>
      </c>
      <c r="AX330" s="381">
        <v>0</v>
      </c>
      <c r="AZ330" s="365">
        <v>0</v>
      </c>
      <c r="BA330" s="370">
        <v>0</v>
      </c>
      <c r="BB330" s="370">
        <v>0</v>
      </c>
      <c r="BC330" s="375">
        <v>0</v>
      </c>
      <c r="BE330" s="365">
        <v>0</v>
      </c>
      <c r="BF330" s="370">
        <v>0</v>
      </c>
      <c r="BG330" s="370">
        <v>0</v>
      </c>
      <c r="BH330" s="375">
        <v>0</v>
      </c>
      <c r="BJ330" s="365">
        <v>0</v>
      </c>
      <c r="BK330" s="370">
        <v>0</v>
      </c>
      <c r="BL330" s="370">
        <v>0</v>
      </c>
      <c r="BM330" s="375">
        <v>0</v>
      </c>
      <c r="BO330" s="365">
        <v>0</v>
      </c>
      <c r="BP330" s="370">
        <v>0</v>
      </c>
      <c r="BQ330" s="370">
        <v>0</v>
      </c>
      <c r="BR330" s="375">
        <v>0</v>
      </c>
      <c r="BT330" s="365">
        <v>0</v>
      </c>
      <c r="BU330" s="370">
        <v>0</v>
      </c>
      <c r="BV330" s="370">
        <v>0</v>
      </c>
      <c r="BW330" s="375">
        <v>0</v>
      </c>
      <c r="BY330" s="365">
        <v>0</v>
      </c>
      <c r="BZ330" s="373">
        <v>300051310.19501489</v>
      </c>
      <c r="CA330" s="375">
        <v>0</v>
      </c>
      <c r="CC330" s="365">
        <v>0</v>
      </c>
      <c r="CD330" s="375">
        <v>0</v>
      </c>
      <c r="CF330" s="365">
        <v>0</v>
      </c>
      <c r="CG330" s="375">
        <v>0</v>
      </c>
      <c r="CI330" s="365">
        <v>0</v>
      </c>
      <c r="CJ330" s="375">
        <v>0</v>
      </c>
    </row>
    <row r="331" spans="7:88">
      <c r="G331" s="417">
        <v>327</v>
      </c>
      <c r="H331" s="251">
        <v>16</v>
      </c>
      <c r="I331" s="377">
        <v>0</v>
      </c>
      <c r="J331" s="368">
        <v>0</v>
      </c>
      <c r="K331" s="368">
        <v>0</v>
      </c>
      <c r="L331" s="369">
        <v>0</v>
      </c>
      <c r="N331" s="367">
        <v>0</v>
      </c>
      <c r="O331" s="370">
        <v>0</v>
      </c>
      <c r="P331" s="370">
        <v>0</v>
      </c>
      <c r="Q331" s="370">
        <v>0</v>
      </c>
      <c r="R331" s="370">
        <v>0</v>
      </c>
      <c r="S331" s="370">
        <v>0</v>
      </c>
      <c r="T331" s="379">
        <v>0</v>
      </c>
      <c r="U331" s="371">
        <v>0</v>
      </c>
      <c r="V331" s="371">
        <v>0</v>
      </c>
      <c r="W331" s="372">
        <v>0</v>
      </c>
      <c r="X331" s="41"/>
      <c r="Y331" s="365">
        <v>0</v>
      </c>
      <c r="Z331" s="370">
        <v>0</v>
      </c>
      <c r="AA331" s="370">
        <v>0</v>
      </c>
      <c r="AB331" s="375">
        <v>0</v>
      </c>
      <c r="AC331" s="41"/>
      <c r="AD331" s="449">
        <v>0</v>
      </c>
      <c r="AE331" s="365">
        <v>0</v>
      </c>
      <c r="AF331" s="375">
        <v>0</v>
      </c>
      <c r="AH331" s="365">
        <v>0</v>
      </c>
      <c r="AI331" s="370">
        <v>0</v>
      </c>
      <c r="AJ331" s="370">
        <v>0</v>
      </c>
      <c r="AK331" s="375">
        <v>0</v>
      </c>
      <c r="AM331" s="365">
        <v>0</v>
      </c>
      <c r="AN331" s="370">
        <v>0</v>
      </c>
      <c r="AO331" s="370">
        <v>0</v>
      </c>
      <c r="AP331" s="375">
        <v>0</v>
      </c>
      <c r="AR331" s="365">
        <v>0</v>
      </c>
      <c r="AS331" s="375">
        <v>0</v>
      </c>
      <c r="AU331" s="378">
        <v>0</v>
      </c>
      <c r="AV331" s="379">
        <v>0</v>
      </c>
      <c r="AW331" s="380">
        <v>0</v>
      </c>
      <c r="AX331" s="381">
        <v>0</v>
      </c>
      <c r="AZ331" s="365">
        <v>0</v>
      </c>
      <c r="BA331" s="370">
        <v>0</v>
      </c>
      <c r="BB331" s="370">
        <v>0</v>
      </c>
      <c r="BC331" s="375">
        <v>0</v>
      </c>
      <c r="BE331" s="365">
        <v>0</v>
      </c>
      <c r="BF331" s="370">
        <v>0</v>
      </c>
      <c r="BG331" s="370">
        <v>0</v>
      </c>
      <c r="BH331" s="375">
        <v>0</v>
      </c>
      <c r="BJ331" s="365">
        <v>0</v>
      </c>
      <c r="BK331" s="370">
        <v>0</v>
      </c>
      <c r="BL331" s="370">
        <v>0</v>
      </c>
      <c r="BM331" s="375">
        <v>0</v>
      </c>
      <c r="BO331" s="365">
        <v>0</v>
      </c>
      <c r="BP331" s="370">
        <v>0</v>
      </c>
      <c r="BQ331" s="370">
        <v>0</v>
      </c>
      <c r="BR331" s="375">
        <v>0</v>
      </c>
      <c r="BT331" s="365">
        <v>0</v>
      </c>
      <c r="BU331" s="370">
        <v>0</v>
      </c>
      <c r="BV331" s="370">
        <v>0</v>
      </c>
      <c r="BW331" s="375">
        <v>0</v>
      </c>
      <c r="BY331" s="365">
        <v>0</v>
      </c>
      <c r="BZ331" s="373">
        <v>300051310.19501489</v>
      </c>
      <c r="CA331" s="375">
        <v>0</v>
      </c>
      <c r="CC331" s="365">
        <v>0</v>
      </c>
      <c r="CD331" s="375">
        <v>0</v>
      </c>
      <c r="CF331" s="365">
        <v>0</v>
      </c>
      <c r="CG331" s="375">
        <v>0</v>
      </c>
      <c r="CI331" s="365">
        <v>0</v>
      </c>
      <c r="CJ331" s="375">
        <v>0</v>
      </c>
    </row>
    <row r="332" spans="7:88">
      <c r="G332" s="417">
        <v>328</v>
      </c>
      <c r="H332" s="251">
        <v>16</v>
      </c>
      <c r="I332" s="377">
        <v>0</v>
      </c>
      <c r="J332" s="368">
        <v>0</v>
      </c>
      <c r="K332" s="368">
        <v>0</v>
      </c>
      <c r="L332" s="369">
        <v>0</v>
      </c>
      <c r="N332" s="367">
        <v>0</v>
      </c>
      <c r="O332" s="370">
        <v>0</v>
      </c>
      <c r="P332" s="370">
        <v>0</v>
      </c>
      <c r="Q332" s="370">
        <v>0</v>
      </c>
      <c r="R332" s="370">
        <v>0</v>
      </c>
      <c r="S332" s="370">
        <v>0</v>
      </c>
      <c r="T332" s="379">
        <v>0</v>
      </c>
      <c r="U332" s="371">
        <v>0</v>
      </c>
      <c r="V332" s="371">
        <v>0</v>
      </c>
      <c r="W332" s="372">
        <v>0</v>
      </c>
      <c r="X332" s="41"/>
      <c r="Y332" s="365">
        <v>0</v>
      </c>
      <c r="Z332" s="370">
        <v>0</v>
      </c>
      <c r="AA332" s="370">
        <v>0</v>
      </c>
      <c r="AB332" s="375">
        <v>0</v>
      </c>
      <c r="AC332" s="41"/>
      <c r="AD332" s="449">
        <v>0</v>
      </c>
      <c r="AE332" s="365">
        <v>0</v>
      </c>
      <c r="AF332" s="375">
        <v>0</v>
      </c>
      <c r="AH332" s="365">
        <v>0</v>
      </c>
      <c r="AI332" s="370">
        <v>0</v>
      </c>
      <c r="AJ332" s="370">
        <v>0</v>
      </c>
      <c r="AK332" s="375">
        <v>0</v>
      </c>
      <c r="AM332" s="365">
        <v>0</v>
      </c>
      <c r="AN332" s="370">
        <v>0</v>
      </c>
      <c r="AO332" s="370">
        <v>0</v>
      </c>
      <c r="AP332" s="375">
        <v>0</v>
      </c>
      <c r="AR332" s="365">
        <v>0</v>
      </c>
      <c r="AS332" s="375">
        <v>0</v>
      </c>
      <c r="AU332" s="378">
        <v>0</v>
      </c>
      <c r="AV332" s="379">
        <v>0</v>
      </c>
      <c r="AW332" s="380">
        <v>0</v>
      </c>
      <c r="AX332" s="381">
        <v>0</v>
      </c>
      <c r="AZ332" s="365">
        <v>0</v>
      </c>
      <c r="BA332" s="370">
        <v>0</v>
      </c>
      <c r="BB332" s="370">
        <v>0</v>
      </c>
      <c r="BC332" s="375">
        <v>0</v>
      </c>
      <c r="BE332" s="365">
        <v>0</v>
      </c>
      <c r="BF332" s="370">
        <v>0</v>
      </c>
      <c r="BG332" s="370">
        <v>0</v>
      </c>
      <c r="BH332" s="375">
        <v>0</v>
      </c>
      <c r="BJ332" s="365">
        <v>0</v>
      </c>
      <c r="BK332" s="370">
        <v>0</v>
      </c>
      <c r="BL332" s="370">
        <v>0</v>
      </c>
      <c r="BM332" s="375">
        <v>0</v>
      </c>
      <c r="BO332" s="365">
        <v>0</v>
      </c>
      <c r="BP332" s="370">
        <v>0</v>
      </c>
      <c r="BQ332" s="370">
        <v>0</v>
      </c>
      <c r="BR332" s="375">
        <v>0</v>
      </c>
      <c r="BT332" s="365">
        <v>0</v>
      </c>
      <c r="BU332" s="370">
        <v>0</v>
      </c>
      <c r="BV332" s="370">
        <v>0</v>
      </c>
      <c r="BW332" s="375">
        <v>0</v>
      </c>
      <c r="BY332" s="365">
        <v>0</v>
      </c>
      <c r="BZ332" s="373">
        <v>300051310.19501489</v>
      </c>
      <c r="CA332" s="375">
        <v>0</v>
      </c>
      <c r="CC332" s="365">
        <v>0</v>
      </c>
      <c r="CD332" s="375">
        <v>0</v>
      </c>
      <c r="CF332" s="365">
        <v>0</v>
      </c>
      <c r="CG332" s="375">
        <v>0</v>
      </c>
      <c r="CI332" s="365">
        <v>0</v>
      </c>
      <c r="CJ332" s="375">
        <v>0</v>
      </c>
    </row>
    <row r="333" spans="7:88">
      <c r="G333" s="417">
        <v>329</v>
      </c>
      <c r="H333" s="251">
        <v>16</v>
      </c>
      <c r="I333" s="377">
        <v>0</v>
      </c>
      <c r="J333" s="368">
        <v>0</v>
      </c>
      <c r="K333" s="368">
        <v>0</v>
      </c>
      <c r="L333" s="369">
        <v>0</v>
      </c>
      <c r="N333" s="367">
        <v>0</v>
      </c>
      <c r="O333" s="370">
        <v>0</v>
      </c>
      <c r="P333" s="370">
        <v>0</v>
      </c>
      <c r="Q333" s="370">
        <v>0</v>
      </c>
      <c r="R333" s="370">
        <v>0</v>
      </c>
      <c r="S333" s="370">
        <v>0</v>
      </c>
      <c r="T333" s="379">
        <v>0</v>
      </c>
      <c r="U333" s="371">
        <v>0</v>
      </c>
      <c r="V333" s="371">
        <v>0</v>
      </c>
      <c r="W333" s="372">
        <v>0</v>
      </c>
      <c r="X333" s="41"/>
      <c r="Y333" s="365">
        <v>0</v>
      </c>
      <c r="Z333" s="370">
        <v>0</v>
      </c>
      <c r="AA333" s="370">
        <v>0</v>
      </c>
      <c r="AB333" s="375">
        <v>0</v>
      </c>
      <c r="AC333" s="41"/>
      <c r="AD333" s="449">
        <v>0</v>
      </c>
      <c r="AE333" s="365">
        <v>0</v>
      </c>
      <c r="AF333" s="375">
        <v>0</v>
      </c>
      <c r="AH333" s="365">
        <v>0</v>
      </c>
      <c r="AI333" s="370">
        <v>0</v>
      </c>
      <c r="AJ333" s="370">
        <v>0</v>
      </c>
      <c r="AK333" s="375">
        <v>0</v>
      </c>
      <c r="AM333" s="365">
        <v>0</v>
      </c>
      <c r="AN333" s="370">
        <v>0</v>
      </c>
      <c r="AO333" s="370">
        <v>0</v>
      </c>
      <c r="AP333" s="375">
        <v>0</v>
      </c>
      <c r="AR333" s="365">
        <v>0</v>
      </c>
      <c r="AS333" s="375">
        <v>0</v>
      </c>
      <c r="AU333" s="378">
        <v>0</v>
      </c>
      <c r="AV333" s="379">
        <v>0</v>
      </c>
      <c r="AW333" s="380">
        <v>0</v>
      </c>
      <c r="AX333" s="381">
        <v>0</v>
      </c>
      <c r="AZ333" s="365">
        <v>0</v>
      </c>
      <c r="BA333" s="370">
        <v>0</v>
      </c>
      <c r="BB333" s="370">
        <v>0</v>
      </c>
      <c r="BC333" s="375">
        <v>0</v>
      </c>
      <c r="BE333" s="365">
        <v>0</v>
      </c>
      <c r="BF333" s="370">
        <v>0</v>
      </c>
      <c r="BG333" s="370">
        <v>0</v>
      </c>
      <c r="BH333" s="375">
        <v>0</v>
      </c>
      <c r="BJ333" s="365">
        <v>0</v>
      </c>
      <c r="BK333" s="370">
        <v>0</v>
      </c>
      <c r="BL333" s="370">
        <v>0</v>
      </c>
      <c r="BM333" s="375">
        <v>0</v>
      </c>
      <c r="BO333" s="365">
        <v>0</v>
      </c>
      <c r="BP333" s="370">
        <v>0</v>
      </c>
      <c r="BQ333" s="370">
        <v>0</v>
      </c>
      <c r="BR333" s="375">
        <v>0</v>
      </c>
      <c r="BT333" s="365">
        <v>0</v>
      </c>
      <c r="BU333" s="370">
        <v>0</v>
      </c>
      <c r="BV333" s="370">
        <v>0</v>
      </c>
      <c r="BW333" s="375">
        <v>0</v>
      </c>
      <c r="BY333" s="365">
        <v>0</v>
      </c>
      <c r="BZ333" s="373">
        <v>300051310.19501489</v>
      </c>
      <c r="CA333" s="375">
        <v>0</v>
      </c>
      <c r="CC333" s="365">
        <v>0</v>
      </c>
      <c r="CD333" s="375">
        <v>0</v>
      </c>
      <c r="CF333" s="365">
        <v>0</v>
      </c>
      <c r="CG333" s="375">
        <v>0</v>
      </c>
      <c r="CI333" s="365">
        <v>0</v>
      </c>
      <c r="CJ333" s="375">
        <v>0</v>
      </c>
    </row>
    <row r="334" spans="7:88">
      <c r="G334" s="417">
        <v>330</v>
      </c>
      <c r="H334" s="251">
        <v>16</v>
      </c>
      <c r="I334" s="377">
        <v>0</v>
      </c>
      <c r="J334" s="368">
        <v>0</v>
      </c>
      <c r="K334" s="368">
        <v>0</v>
      </c>
      <c r="L334" s="369">
        <v>0</v>
      </c>
      <c r="N334" s="367">
        <v>0</v>
      </c>
      <c r="O334" s="370">
        <v>0</v>
      </c>
      <c r="P334" s="370">
        <v>0</v>
      </c>
      <c r="Q334" s="370">
        <v>0</v>
      </c>
      <c r="R334" s="370">
        <v>0</v>
      </c>
      <c r="S334" s="370">
        <v>0</v>
      </c>
      <c r="T334" s="379">
        <v>0</v>
      </c>
      <c r="U334" s="371">
        <v>0</v>
      </c>
      <c r="V334" s="371">
        <v>0</v>
      </c>
      <c r="W334" s="372">
        <v>0</v>
      </c>
      <c r="X334" s="41"/>
      <c r="Y334" s="365">
        <v>0</v>
      </c>
      <c r="Z334" s="370">
        <v>0</v>
      </c>
      <c r="AA334" s="370">
        <v>0</v>
      </c>
      <c r="AB334" s="375">
        <v>0</v>
      </c>
      <c r="AC334" s="41"/>
      <c r="AD334" s="449">
        <v>0</v>
      </c>
      <c r="AE334" s="365">
        <v>0</v>
      </c>
      <c r="AF334" s="375">
        <v>0</v>
      </c>
      <c r="AH334" s="365">
        <v>0</v>
      </c>
      <c r="AI334" s="370">
        <v>0</v>
      </c>
      <c r="AJ334" s="370">
        <v>0</v>
      </c>
      <c r="AK334" s="375">
        <v>0</v>
      </c>
      <c r="AM334" s="365">
        <v>0</v>
      </c>
      <c r="AN334" s="370">
        <v>0</v>
      </c>
      <c r="AO334" s="370">
        <v>0</v>
      </c>
      <c r="AP334" s="375">
        <v>0</v>
      </c>
      <c r="AR334" s="365">
        <v>0</v>
      </c>
      <c r="AS334" s="375">
        <v>0</v>
      </c>
      <c r="AU334" s="378">
        <v>0</v>
      </c>
      <c r="AV334" s="379">
        <v>0</v>
      </c>
      <c r="AW334" s="380">
        <v>0</v>
      </c>
      <c r="AX334" s="381">
        <v>0</v>
      </c>
      <c r="AZ334" s="365">
        <v>0</v>
      </c>
      <c r="BA334" s="370">
        <v>0</v>
      </c>
      <c r="BB334" s="370">
        <v>0</v>
      </c>
      <c r="BC334" s="375">
        <v>0</v>
      </c>
      <c r="BE334" s="365">
        <v>0</v>
      </c>
      <c r="BF334" s="370">
        <v>0</v>
      </c>
      <c r="BG334" s="370">
        <v>0</v>
      </c>
      <c r="BH334" s="375">
        <v>0</v>
      </c>
      <c r="BJ334" s="365">
        <v>0</v>
      </c>
      <c r="BK334" s="370">
        <v>0</v>
      </c>
      <c r="BL334" s="370">
        <v>0</v>
      </c>
      <c r="BM334" s="375">
        <v>0</v>
      </c>
      <c r="BO334" s="365">
        <v>0</v>
      </c>
      <c r="BP334" s="370">
        <v>0</v>
      </c>
      <c r="BQ334" s="370">
        <v>0</v>
      </c>
      <c r="BR334" s="375">
        <v>0</v>
      </c>
      <c r="BT334" s="365">
        <v>0</v>
      </c>
      <c r="BU334" s="370">
        <v>0</v>
      </c>
      <c r="BV334" s="370">
        <v>0</v>
      </c>
      <c r="BW334" s="375">
        <v>0</v>
      </c>
      <c r="BY334" s="365">
        <v>0</v>
      </c>
      <c r="BZ334" s="373">
        <v>300051310.19501489</v>
      </c>
      <c r="CA334" s="375">
        <v>0</v>
      </c>
      <c r="CC334" s="365">
        <v>0</v>
      </c>
      <c r="CD334" s="375">
        <v>0</v>
      </c>
      <c r="CF334" s="365">
        <v>0</v>
      </c>
      <c r="CG334" s="375">
        <v>0</v>
      </c>
      <c r="CI334" s="365">
        <v>0</v>
      </c>
      <c r="CJ334" s="375">
        <v>0</v>
      </c>
    </row>
    <row r="335" spans="7:88">
      <c r="G335" s="417">
        <v>331</v>
      </c>
      <c r="H335" s="251">
        <v>16</v>
      </c>
      <c r="I335" s="377">
        <v>0</v>
      </c>
      <c r="J335" s="368">
        <v>0</v>
      </c>
      <c r="K335" s="368">
        <v>0</v>
      </c>
      <c r="L335" s="369">
        <v>0</v>
      </c>
      <c r="N335" s="367">
        <v>0</v>
      </c>
      <c r="O335" s="370">
        <v>0</v>
      </c>
      <c r="P335" s="370">
        <v>0</v>
      </c>
      <c r="Q335" s="370">
        <v>0</v>
      </c>
      <c r="R335" s="370">
        <v>0</v>
      </c>
      <c r="S335" s="370">
        <v>0</v>
      </c>
      <c r="T335" s="379">
        <v>0</v>
      </c>
      <c r="U335" s="371">
        <v>0</v>
      </c>
      <c r="V335" s="371">
        <v>0</v>
      </c>
      <c r="W335" s="372">
        <v>0</v>
      </c>
      <c r="X335" s="41"/>
      <c r="Y335" s="365">
        <v>0</v>
      </c>
      <c r="Z335" s="370">
        <v>0</v>
      </c>
      <c r="AA335" s="370">
        <v>0</v>
      </c>
      <c r="AB335" s="375">
        <v>0</v>
      </c>
      <c r="AC335" s="41"/>
      <c r="AD335" s="449">
        <v>0</v>
      </c>
      <c r="AE335" s="365">
        <v>0</v>
      </c>
      <c r="AF335" s="375">
        <v>0</v>
      </c>
      <c r="AH335" s="365">
        <v>0</v>
      </c>
      <c r="AI335" s="370">
        <v>0</v>
      </c>
      <c r="AJ335" s="370">
        <v>0</v>
      </c>
      <c r="AK335" s="375">
        <v>0</v>
      </c>
      <c r="AM335" s="365">
        <v>0</v>
      </c>
      <c r="AN335" s="370">
        <v>0</v>
      </c>
      <c r="AO335" s="370">
        <v>0</v>
      </c>
      <c r="AP335" s="375">
        <v>0</v>
      </c>
      <c r="AR335" s="365">
        <v>0</v>
      </c>
      <c r="AS335" s="375">
        <v>0</v>
      </c>
      <c r="AU335" s="378">
        <v>0</v>
      </c>
      <c r="AV335" s="379">
        <v>0</v>
      </c>
      <c r="AW335" s="380">
        <v>0</v>
      </c>
      <c r="AX335" s="381">
        <v>0</v>
      </c>
      <c r="AZ335" s="365">
        <v>0</v>
      </c>
      <c r="BA335" s="370">
        <v>0</v>
      </c>
      <c r="BB335" s="370">
        <v>0</v>
      </c>
      <c r="BC335" s="375">
        <v>0</v>
      </c>
      <c r="BE335" s="365">
        <v>0</v>
      </c>
      <c r="BF335" s="370">
        <v>0</v>
      </c>
      <c r="BG335" s="370">
        <v>0</v>
      </c>
      <c r="BH335" s="375">
        <v>0</v>
      </c>
      <c r="BJ335" s="365">
        <v>0</v>
      </c>
      <c r="BK335" s="370">
        <v>0</v>
      </c>
      <c r="BL335" s="370">
        <v>0</v>
      </c>
      <c r="BM335" s="375">
        <v>0</v>
      </c>
      <c r="BO335" s="365">
        <v>0</v>
      </c>
      <c r="BP335" s="370">
        <v>0</v>
      </c>
      <c r="BQ335" s="370">
        <v>0</v>
      </c>
      <c r="BR335" s="375">
        <v>0</v>
      </c>
      <c r="BT335" s="365">
        <v>0</v>
      </c>
      <c r="BU335" s="370">
        <v>0</v>
      </c>
      <c r="BV335" s="370">
        <v>0</v>
      </c>
      <c r="BW335" s="375">
        <v>0</v>
      </c>
      <c r="BY335" s="365">
        <v>0</v>
      </c>
      <c r="BZ335" s="373">
        <v>300051310.19501489</v>
      </c>
      <c r="CA335" s="375">
        <v>0</v>
      </c>
      <c r="CC335" s="365">
        <v>0</v>
      </c>
      <c r="CD335" s="375">
        <v>0</v>
      </c>
      <c r="CF335" s="365">
        <v>0</v>
      </c>
      <c r="CG335" s="375">
        <v>0</v>
      </c>
      <c r="CI335" s="365">
        <v>0</v>
      </c>
      <c r="CJ335" s="375">
        <v>0</v>
      </c>
    </row>
    <row r="336" spans="7:88">
      <c r="G336" s="417">
        <v>332</v>
      </c>
      <c r="H336" s="251">
        <v>16</v>
      </c>
      <c r="I336" s="377">
        <v>0</v>
      </c>
      <c r="J336" s="368">
        <v>0</v>
      </c>
      <c r="K336" s="368">
        <v>0</v>
      </c>
      <c r="L336" s="369">
        <v>0</v>
      </c>
      <c r="N336" s="367">
        <v>0</v>
      </c>
      <c r="O336" s="370">
        <v>0</v>
      </c>
      <c r="P336" s="370">
        <v>0</v>
      </c>
      <c r="Q336" s="370">
        <v>0</v>
      </c>
      <c r="R336" s="370">
        <v>0</v>
      </c>
      <c r="S336" s="370">
        <v>0</v>
      </c>
      <c r="T336" s="379">
        <v>0</v>
      </c>
      <c r="U336" s="371">
        <v>0</v>
      </c>
      <c r="V336" s="371">
        <v>0</v>
      </c>
      <c r="W336" s="372">
        <v>0</v>
      </c>
      <c r="X336" s="41"/>
      <c r="Y336" s="365">
        <v>0</v>
      </c>
      <c r="Z336" s="370">
        <v>0</v>
      </c>
      <c r="AA336" s="370">
        <v>0</v>
      </c>
      <c r="AB336" s="375">
        <v>0</v>
      </c>
      <c r="AC336" s="41"/>
      <c r="AD336" s="449">
        <v>0</v>
      </c>
      <c r="AE336" s="365">
        <v>0</v>
      </c>
      <c r="AF336" s="375">
        <v>0</v>
      </c>
      <c r="AH336" s="365">
        <v>0</v>
      </c>
      <c r="AI336" s="370">
        <v>0</v>
      </c>
      <c r="AJ336" s="370">
        <v>0</v>
      </c>
      <c r="AK336" s="375">
        <v>0</v>
      </c>
      <c r="AM336" s="365">
        <v>0</v>
      </c>
      <c r="AN336" s="370">
        <v>0</v>
      </c>
      <c r="AO336" s="370">
        <v>0</v>
      </c>
      <c r="AP336" s="375">
        <v>0</v>
      </c>
      <c r="AR336" s="365">
        <v>0</v>
      </c>
      <c r="AS336" s="375">
        <v>0</v>
      </c>
      <c r="AU336" s="378">
        <v>0</v>
      </c>
      <c r="AV336" s="379">
        <v>0</v>
      </c>
      <c r="AW336" s="380">
        <v>0</v>
      </c>
      <c r="AX336" s="381">
        <v>0</v>
      </c>
      <c r="AZ336" s="365">
        <v>0</v>
      </c>
      <c r="BA336" s="370">
        <v>0</v>
      </c>
      <c r="BB336" s="370">
        <v>0</v>
      </c>
      <c r="BC336" s="375">
        <v>0</v>
      </c>
      <c r="BE336" s="365">
        <v>0</v>
      </c>
      <c r="BF336" s="370">
        <v>0</v>
      </c>
      <c r="BG336" s="370">
        <v>0</v>
      </c>
      <c r="BH336" s="375">
        <v>0</v>
      </c>
      <c r="BJ336" s="365">
        <v>0</v>
      </c>
      <c r="BK336" s="370">
        <v>0</v>
      </c>
      <c r="BL336" s="370">
        <v>0</v>
      </c>
      <c r="BM336" s="375">
        <v>0</v>
      </c>
      <c r="BO336" s="365">
        <v>0</v>
      </c>
      <c r="BP336" s="370">
        <v>0</v>
      </c>
      <c r="BQ336" s="370">
        <v>0</v>
      </c>
      <c r="BR336" s="375">
        <v>0</v>
      </c>
      <c r="BT336" s="365">
        <v>0</v>
      </c>
      <c r="BU336" s="370">
        <v>0</v>
      </c>
      <c r="BV336" s="370">
        <v>0</v>
      </c>
      <c r="BW336" s="375">
        <v>0</v>
      </c>
      <c r="BY336" s="365">
        <v>0</v>
      </c>
      <c r="BZ336" s="373">
        <v>300051310.19501489</v>
      </c>
      <c r="CA336" s="375">
        <v>0</v>
      </c>
      <c r="CC336" s="365">
        <v>0</v>
      </c>
      <c r="CD336" s="375">
        <v>0</v>
      </c>
      <c r="CF336" s="365">
        <v>0</v>
      </c>
      <c r="CG336" s="375">
        <v>0</v>
      </c>
      <c r="CI336" s="365">
        <v>0</v>
      </c>
      <c r="CJ336" s="375">
        <v>0</v>
      </c>
    </row>
    <row r="337" spans="7:88">
      <c r="G337" s="417">
        <v>333</v>
      </c>
      <c r="H337" s="251">
        <v>16</v>
      </c>
      <c r="I337" s="377">
        <v>0</v>
      </c>
      <c r="J337" s="368">
        <v>0</v>
      </c>
      <c r="K337" s="368">
        <v>0</v>
      </c>
      <c r="L337" s="369">
        <v>0</v>
      </c>
      <c r="N337" s="367">
        <v>0</v>
      </c>
      <c r="O337" s="370">
        <v>0</v>
      </c>
      <c r="P337" s="370">
        <v>0</v>
      </c>
      <c r="Q337" s="370">
        <v>0</v>
      </c>
      <c r="R337" s="370">
        <v>0</v>
      </c>
      <c r="S337" s="370">
        <v>0</v>
      </c>
      <c r="T337" s="379">
        <v>0</v>
      </c>
      <c r="U337" s="371">
        <v>0</v>
      </c>
      <c r="V337" s="371">
        <v>0</v>
      </c>
      <c r="W337" s="372">
        <v>0</v>
      </c>
      <c r="X337" s="41"/>
      <c r="Y337" s="365">
        <v>0</v>
      </c>
      <c r="Z337" s="370">
        <v>0</v>
      </c>
      <c r="AA337" s="370">
        <v>0</v>
      </c>
      <c r="AB337" s="375">
        <v>0</v>
      </c>
      <c r="AC337" s="41"/>
      <c r="AD337" s="449">
        <v>0</v>
      </c>
      <c r="AE337" s="365">
        <v>0</v>
      </c>
      <c r="AF337" s="375">
        <v>0</v>
      </c>
      <c r="AH337" s="365">
        <v>0</v>
      </c>
      <c r="AI337" s="370">
        <v>0</v>
      </c>
      <c r="AJ337" s="370">
        <v>0</v>
      </c>
      <c r="AK337" s="375">
        <v>0</v>
      </c>
      <c r="AM337" s="365">
        <v>0</v>
      </c>
      <c r="AN337" s="370">
        <v>0</v>
      </c>
      <c r="AO337" s="370">
        <v>0</v>
      </c>
      <c r="AP337" s="375">
        <v>0</v>
      </c>
      <c r="AR337" s="365">
        <v>0</v>
      </c>
      <c r="AS337" s="375">
        <v>0</v>
      </c>
      <c r="AU337" s="378">
        <v>0</v>
      </c>
      <c r="AV337" s="379">
        <v>0</v>
      </c>
      <c r="AW337" s="380">
        <v>0</v>
      </c>
      <c r="AX337" s="381">
        <v>0</v>
      </c>
      <c r="AZ337" s="365">
        <v>0</v>
      </c>
      <c r="BA337" s="370">
        <v>0</v>
      </c>
      <c r="BB337" s="370">
        <v>0</v>
      </c>
      <c r="BC337" s="375">
        <v>0</v>
      </c>
      <c r="BE337" s="365">
        <v>0</v>
      </c>
      <c r="BF337" s="370">
        <v>0</v>
      </c>
      <c r="BG337" s="370">
        <v>0</v>
      </c>
      <c r="BH337" s="375">
        <v>0</v>
      </c>
      <c r="BJ337" s="365">
        <v>0</v>
      </c>
      <c r="BK337" s="370">
        <v>0</v>
      </c>
      <c r="BL337" s="370">
        <v>0</v>
      </c>
      <c r="BM337" s="375">
        <v>0</v>
      </c>
      <c r="BO337" s="365">
        <v>0</v>
      </c>
      <c r="BP337" s="370">
        <v>0</v>
      </c>
      <c r="BQ337" s="370">
        <v>0</v>
      </c>
      <c r="BR337" s="375">
        <v>0</v>
      </c>
      <c r="BT337" s="365">
        <v>0</v>
      </c>
      <c r="BU337" s="370">
        <v>0</v>
      </c>
      <c r="BV337" s="370">
        <v>0</v>
      </c>
      <c r="BW337" s="375">
        <v>0</v>
      </c>
      <c r="BY337" s="365">
        <v>0</v>
      </c>
      <c r="BZ337" s="373">
        <v>300051310.19501489</v>
      </c>
      <c r="CA337" s="375">
        <v>0</v>
      </c>
      <c r="CC337" s="365">
        <v>0</v>
      </c>
      <c r="CD337" s="375">
        <v>0</v>
      </c>
      <c r="CF337" s="365">
        <v>0</v>
      </c>
      <c r="CG337" s="375">
        <v>0</v>
      </c>
      <c r="CI337" s="365">
        <v>0</v>
      </c>
      <c r="CJ337" s="375">
        <v>0</v>
      </c>
    </row>
    <row r="338" spans="7:88">
      <c r="G338" s="417">
        <v>334</v>
      </c>
      <c r="H338" s="251">
        <v>16</v>
      </c>
      <c r="I338" s="377">
        <v>0</v>
      </c>
      <c r="J338" s="368">
        <v>0</v>
      </c>
      <c r="K338" s="368">
        <v>0</v>
      </c>
      <c r="L338" s="369">
        <v>0</v>
      </c>
      <c r="N338" s="367">
        <v>0</v>
      </c>
      <c r="O338" s="370">
        <v>0</v>
      </c>
      <c r="P338" s="370">
        <v>0</v>
      </c>
      <c r="Q338" s="370">
        <v>0</v>
      </c>
      <c r="R338" s="370">
        <v>0</v>
      </c>
      <c r="S338" s="370">
        <v>0</v>
      </c>
      <c r="T338" s="379">
        <v>0</v>
      </c>
      <c r="U338" s="371">
        <v>0</v>
      </c>
      <c r="V338" s="371">
        <v>0</v>
      </c>
      <c r="W338" s="372">
        <v>0</v>
      </c>
      <c r="X338" s="41"/>
      <c r="Y338" s="365">
        <v>0</v>
      </c>
      <c r="Z338" s="370">
        <v>0</v>
      </c>
      <c r="AA338" s="370">
        <v>0</v>
      </c>
      <c r="AB338" s="375">
        <v>0</v>
      </c>
      <c r="AC338" s="41"/>
      <c r="AD338" s="449">
        <v>0</v>
      </c>
      <c r="AE338" s="365">
        <v>0</v>
      </c>
      <c r="AF338" s="375">
        <v>0</v>
      </c>
      <c r="AH338" s="365">
        <v>0</v>
      </c>
      <c r="AI338" s="370">
        <v>0</v>
      </c>
      <c r="AJ338" s="370">
        <v>0</v>
      </c>
      <c r="AK338" s="375">
        <v>0</v>
      </c>
      <c r="AM338" s="365">
        <v>0</v>
      </c>
      <c r="AN338" s="370">
        <v>0</v>
      </c>
      <c r="AO338" s="370">
        <v>0</v>
      </c>
      <c r="AP338" s="375">
        <v>0</v>
      </c>
      <c r="AR338" s="365">
        <v>0</v>
      </c>
      <c r="AS338" s="375">
        <v>0</v>
      </c>
      <c r="AU338" s="378">
        <v>0</v>
      </c>
      <c r="AV338" s="379">
        <v>0</v>
      </c>
      <c r="AW338" s="380">
        <v>0</v>
      </c>
      <c r="AX338" s="381">
        <v>0</v>
      </c>
      <c r="AZ338" s="365">
        <v>0</v>
      </c>
      <c r="BA338" s="370">
        <v>0</v>
      </c>
      <c r="BB338" s="370">
        <v>0</v>
      </c>
      <c r="BC338" s="375">
        <v>0</v>
      </c>
      <c r="BE338" s="365">
        <v>0</v>
      </c>
      <c r="BF338" s="370">
        <v>0</v>
      </c>
      <c r="BG338" s="370">
        <v>0</v>
      </c>
      <c r="BH338" s="375">
        <v>0</v>
      </c>
      <c r="BJ338" s="365">
        <v>0</v>
      </c>
      <c r="BK338" s="370">
        <v>0</v>
      </c>
      <c r="BL338" s="370">
        <v>0</v>
      </c>
      <c r="BM338" s="375">
        <v>0</v>
      </c>
      <c r="BO338" s="365">
        <v>0</v>
      </c>
      <c r="BP338" s="370">
        <v>0</v>
      </c>
      <c r="BQ338" s="370">
        <v>0</v>
      </c>
      <c r="BR338" s="375">
        <v>0</v>
      </c>
      <c r="BT338" s="365">
        <v>0</v>
      </c>
      <c r="BU338" s="370">
        <v>0</v>
      </c>
      <c r="BV338" s="370">
        <v>0</v>
      </c>
      <c r="BW338" s="375">
        <v>0</v>
      </c>
      <c r="BY338" s="365">
        <v>0</v>
      </c>
      <c r="BZ338" s="373">
        <v>300051310.19501489</v>
      </c>
      <c r="CA338" s="375">
        <v>0</v>
      </c>
      <c r="CC338" s="365">
        <v>0</v>
      </c>
      <c r="CD338" s="375">
        <v>0</v>
      </c>
      <c r="CF338" s="365">
        <v>0</v>
      </c>
      <c r="CG338" s="375">
        <v>0</v>
      </c>
      <c r="CI338" s="365">
        <v>0</v>
      </c>
      <c r="CJ338" s="375">
        <v>0</v>
      </c>
    </row>
    <row r="339" spans="7:88">
      <c r="G339" s="417">
        <v>335</v>
      </c>
      <c r="H339" s="251">
        <v>16</v>
      </c>
      <c r="I339" s="377">
        <v>0</v>
      </c>
      <c r="J339" s="368">
        <v>0</v>
      </c>
      <c r="K339" s="368">
        <v>0</v>
      </c>
      <c r="L339" s="369">
        <v>0</v>
      </c>
      <c r="N339" s="367">
        <v>0</v>
      </c>
      <c r="O339" s="370">
        <v>0</v>
      </c>
      <c r="P339" s="370">
        <v>0</v>
      </c>
      <c r="Q339" s="370">
        <v>0</v>
      </c>
      <c r="R339" s="370">
        <v>0</v>
      </c>
      <c r="S339" s="370">
        <v>0</v>
      </c>
      <c r="T339" s="379">
        <v>0</v>
      </c>
      <c r="U339" s="371">
        <v>0</v>
      </c>
      <c r="V339" s="371">
        <v>0</v>
      </c>
      <c r="W339" s="372">
        <v>0</v>
      </c>
      <c r="X339" s="41"/>
      <c r="Y339" s="365">
        <v>0</v>
      </c>
      <c r="Z339" s="370">
        <v>0</v>
      </c>
      <c r="AA339" s="370">
        <v>0</v>
      </c>
      <c r="AB339" s="375">
        <v>0</v>
      </c>
      <c r="AC339" s="41"/>
      <c r="AD339" s="449">
        <v>0</v>
      </c>
      <c r="AE339" s="365">
        <v>0</v>
      </c>
      <c r="AF339" s="375">
        <v>0</v>
      </c>
      <c r="AH339" s="365">
        <v>0</v>
      </c>
      <c r="AI339" s="370">
        <v>0</v>
      </c>
      <c r="AJ339" s="370">
        <v>0</v>
      </c>
      <c r="AK339" s="375">
        <v>0</v>
      </c>
      <c r="AM339" s="365">
        <v>0</v>
      </c>
      <c r="AN339" s="370">
        <v>0</v>
      </c>
      <c r="AO339" s="370">
        <v>0</v>
      </c>
      <c r="AP339" s="375">
        <v>0</v>
      </c>
      <c r="AR339" s="365">
        <v>0</v>
      </c>
      <c r="AS339" s="375">
        <v>0</v>
      </c>
      <c r="AU339" s="378">
        <v>0</v>
      </c>
      <c r="AV339" s="379">
        <v>0</v>
      </c>
      <c r="AW339" s="380">
        <v>0</v>
      </c>
      <c r="AX339" s="381">
        <v>0</v>
      </c>
      <c r="AZ339" s="365">
        <v>0</v>
      </c>
      <c r="BA339" s="370">
        <v>0</v>
      </c>
      <c r="BB339" s="370">
        <v>0</v>
      </c>
      <c r="BC339" s="375">
        <v>0</v>
      </c>
      <c r="BE339" s="365">
        <v>0</v>
      </c>
      <c r="BF339" s="370">
        <v>0</v>
      </c>
      <c r="BG339" s="370">
        <v>0</v>
      </c>
      <c r="BH339" s="375">
        <v>0</v>
      </c>
      <c r="BJ339" s="365">
        <v>0</v>
      </c>
      <c r="BK339" s="370">
        <v>0</v>
      </c>
      <c r="BL339" s="370">
        <v>0</v>
      </c>
      <c r="BM339" s="375">
        <v>0</v>
      </c>
      <c r="BO339" s="365">
        <v>0</v>
      </c>
      <c r="BP339" s="370">
        <v>0</v>
      </c>
      <c r="BQ339" s="370">
        <v>0</v>
      </c>
      <c r="BR339" s="375">
        <v>0</v>
      </c>
      <c r="BT339" s="365">
        <v>0</v>
      </c>
      <c r="BU339" s="370">
        <v>0</v>
      </c>
      <c r="BV339" s="370">
        <v>0</v>
      </c>
      <c r="BW339" s="375">
        <v>0</v>
      </c>
      <c r="BY339" s="365">
        <v>0</v>
      </c>
      <c r="BZ339" s="373">
        <v>300051310.19501489</v>
      </c>
      <c r="CA339" s="375">
        <v>0</v>
      </c>
      <c r="CC339" s="365">
        <v>0</v>
      </c>
      <c r="CD339" s="375">
        <v>0</v>
      </c>
      <c r="CF339" s="365">
        <v>0</v>
      </c>
      <c r="CG339" s="375">
        <v>0</v>
      </c>
      <c r="CI339" s="365">
        <v>0</v>
      </c>
      <c r="CJ339" s="375">
        <v>0</v>
      </c>
    </row>
    <row r="340" spans="7:88">
      <c r="G340" s="417">
        <v>336</v>
      </c>
      <c r="H340" s="251">
        <v>16</v>
      </c>
      <c r="I340" s="377">
        <v>0</v>
      </c>
      <c r="J340" s="368">
        <v>0</v>
      </c>
      <c r="K340" s="368">
        <v>0</v>
      </c>
      <c r="L340" s="369">
        <v>0</v>
      </c>
      <c r="N340" s="367">
        <v>0</v>
      </c>
      <c r="O340" s="370">
        <v>0</v>
      </c>
      <c r="P340" s="370">
        <v>0</v>
      </c>
      <c r="Q340" s="370">
        <v>0</v>
      </c>
      <c r="R340" s="370">
        <v>0</v>
      </c>
      <c r="S340" s="370">
        <v>0</v>
      </c>
      <c r="T340" s="379">
        <v>0</v>
      </c>
      <c r="U340" s="371">
        <v>0</v>
      </c>
      <c r="V340" s="371">
        <v>0</v>
      </c>
      <c r="W340" s="372">
        <v>0</v>
      </c>
      <c r="X340" s="41"/>
      <c r="Y340" s="365">
        <v>0</v>
      </c>
      <c r="Z340" s="370">
        <v>0</v>
      </c>
      <c r="AA340" s="370">
        <v>0</v>
      </c>
      <c r="AB340" s="375">
        <v>0</v>
      </c>
      <c r="AC340" s="41"/>
      <c r="AD340" s="449">
        <v>0</v>
      </c>
      <c r="AE340" s="365">
        <v>0</v>
      </c>
      <c r="AF340" s="375">
        <v>0</v>
      </c>
      <c r="AH340" s="365">
        <v>0</v>
      </c>
      <c r="AI340" s="370">
        <v>0</v>
      </c>
      <c r="AJ340" s="370">
        <v>0</v>
      </c>
      <c r="AK340" s="375">
        <v>0</v>
      </c>
      <c r="AM340" s="365">
        <v>0</v>
      </c>
      <c r="AN340" s="370">
        <v>0</v>
      </c>
      <c r="AO340" s="370">
        <v>0</v>
      </c>
      <c r="AP340" s="375">
        <v>0</v>
      </c>
      <c r="AR340" s="365">
        <v>0</v>
      </c>
      <c r="AS340" s="375">
        <v>0</v>
      </c>
      <c r="AU340" s="378">
        <v>0</v>
      </c>
      <c r="AV340" s="379">
        <v>0</v>
      </c>
      <c r="AW340" s="380">
        <v>0</v>
      </c>
      <c r="AX340" s="381">
        <v>0</v>
      </c>
      <c r="AZ340" s="365">
        <v>0</v>
      </c>
      <c r="BA340" s="370">
        <v>0</v>
      </c>
      <c r="BB340" s="370">
        <v>0</v>
      </c>
      <c r="BC340" s="375">
        <v>0</v>
      </c>
      <c r="BE340" s="365">
        <v>0</v>
      </c>
      <c r="BF340" s="370">
        <v>0</v>
      </c>
      <c r="BG340" s="370">
        <v>0</v>
      </c>
      <c r="BH340" s="375">
        <v>0</v>
      </c>
      <c r="BJ340" s="365">
        <v>0</v>
      </c>
      <c r="BK340" s="370">
        <v>0</v>
      </c>
      <c r="BL340" s="370">
        <v>0</v>
      </c>
      <c r="BM340" s="375">
        <v>0</v>
      </c>
      <c r="BO340" s="365">
        <v>0</v>
      </c>
      <c r="BP340" s="370">
        <v>0</v>
      </c>
      <c r="BQ340" s="370">
        <v>0</v>
      </c>
      <c r="BR340" s="375">
        <v>0</v>
      </c>
      <c r="BT340" s="365">
        <v>0</v>
      </c>
      <c r="BU340" s="370">
        <v>0</v>
      </c>
      <c r="BV340" s="370">
        <v>0</v>
      </c>
      <c r="BW340" s="375">
        <v>0</v>
      </c>
      <c r="BY340" s="365">
        <v>0</v>
      </c>
      <c r="BZ340" s="373">
        <v>300051310.19501489</v>
      </c>
      <c r="CA340" s="375">
        <v>0</v>
      </c>
      <c r="CC340" s="365">
        <v>0</v>
      </c>
      <c r="CD340" s="375">
        <v>0</v>
      </c>
      <c r="CF340" s="365">
        <v>0</v>
      </c>
      <c r="CG340" s="375">
        <v>0</v>
      </c>
      <c r="CI340" s="365">
        <v>0</v>
      </c>
      <c r="CJ340" s="375">
        <v>0</v>
      </c>
    </row>
    <row r="341" spans="7:88">
      <c r="G341" s="417">
        <v>337</v>
      </c>
      <c r="H341" s="251">
        <v>16</v>
      </c>
      <c r="I341" s="377">
        <v>0</v>
      </c>
      <c r="J341" s="368">
        <v>0</v>
      </c>
      <c r="K341" s="368">
        <v>0</v>
      </c>
      <c r="L341" s="369">
        <v>0</v>
      </c>
      <c r="N341" s="367">
        <v>0</v>
      </c>
      <c r="O341" s="370">
        <v>0</v>
      </c>
      <c r="P341" s="370">
        <v>0</v>
      </c>
      <c r="Q341" s="370">
        <v>0</v>
      </c>
      <c r="R341" s="370">
        <v>0</v>
      </c>
      <c r="S341" s="370">
        <v>0</v>
      </c>
      <c r="T341" s="379">
        <v>0</v>
      </c>
      <c r="U341" s="371">
        <v>0</v>
      </c>
      <c r="V341" s="371">
        <v>0</v>
      </c>
      <c r="W341" s="372">
        <v>0</v>
      </c>
      <c r="X341" s="41"/>
      <c r="Y341" s="365">
        <v>0</v>
      </c>
      <c r="Z341" s="370">
        <v>0</v>
      </c>
      <c r="AA341" s="370">
        <v>0</v>
      </c>
      <c r="AB341" s="375">
        <v>0</v>
      </c>
      <c r="AC341" s="41"/>
      <c r="AD341" s="449">
        <v>0</v>
      </c>
      <c r="AE341" s="365">
        <v>0</v>
      </c>
      <c r="AF341" s="375">
        <v>0</v>
      </c>
      <c r="AH341" s="365">
        <v>0</v>
      </c>
      <c r="AI341" s="370">
        <v>0</v>
      </c>
      <c r="AJ341" s="370">
        <v>0</v>
      </c>
      <c r="AK341" s="375">
        <v>0</v>
      </c>
      <c r="AM341" s="365">
        <v>0</v>
      </c>
      <c r="AN341" s="370">
        <v>0</v>
      </c>
      <c r="AO341" s="370">
        <v>0</v>
      </c>
      <c r="AP341" s="375">
        <v>0</v>
      </c>
      <c r="AR341" s="365">
        <v>0</v>
      </c>
      <c r="AS341" s="375">
        <v>0</v>
      </c>
      <c r="AU341" s="378">
        <v>0</v>
      </c>
      <c r="AV341" s="379">
        <v>0</v>
      </c>
      <c r="AW341" s="380">
        <v>0</v>
      </c>
      <c r="AX341" s="381">
        <v>0</v>
      </c>
      <c r="AZ341" s="365">
        <v>0</v>
      </c>
      <c r="BA341" s="370">
        <v>0</v>
      </c>
      <c r="BB341" s="370">
        <v>0</v>
      </c>
      <c r="BC341" s="375">
        <v>0</v>
      </c>
      <c r="BE341" s="365">
        <v>0</v>
      </c>
      <c r="BF341" s="370">
        <v>0</v>
      </c>
      <c r="BG341" s="370">
        <v>0</v>
      </c>
      <c r="BH341" s="375">
        <v>0</v>
      </c>
      <c r="BJ341" s="365">
        <v>0</v>
      </c>
      <c r="BK341" s="370">
        <v>0</v>
      </c>
      <c r="BL341" s="370">
        <v>0</v>
      </c>
      <c r="BM341" s="375">
        <v>0</v>
      </c>
      <c r="BO341" s="365">
        <v>0</v>
      </c>
      <c r="BP341" s="370">
        <v>0</v>
      </c>
      <c r="BQ341" s="370">
        <v>0</v>
      </c>
      <c r="BR341" s="375">
        <v>0</v>
      </c>
      <c r="BT341" s="365">
        <v>0</v>
      </c>
      <c r="BU341" s="370">
        <v>0</v>
      </c>
      <c r="BV341" s="370">
        <v>0</v>
      </c>
      <c r="BW341" s="375">
        <v>0</v>
      </c>
      <c r="BY341" s="365">
        <v>0</v>
      </c>
      <c r="BZ341" s="373">
        <v>300051310.19501489</v>
      </c>
      <c r="CA341" s="375">
        <v>0</v>
      </c>
      <c r="CC341" s="365">
        <v>0</v>
      </c>
      <c r="CD341" s="375">
        <v>0</v>
      </c>
      <c r="CF341" s="365">
        <v>0</v>
      </c>
      <c r="CG341" s="375">
        <v>0</v>
      </c>
      <c r="CI341" s="365">
        <v>0</v>
      </c>
      <c r="CJ341" s="375">
        <v>0</v>
      </c>
    </row>
    <row r="342" spans="7:88">
      <c r="G342" s="417">
        <v>338</v>
      </c>
      <c r="H342" s="251">
        <v>16</v>
      </c>
      <c r="I342" s="377">
        <v>0</v>
      </c>
      <c r="J342" s="368">
        <v>0</v>
      </c>
      <c r="K342" s="368">
        <v>0</v>
      </c>
      <c r="L342" s="369">
        <v>0</v>
      </c>
      <c r="N342" s="367">
        <v>0</v>
      </c>
      <c r="O342" s="370">
        <v>0</v>
      </c>
      <c r="P342" s="370">
        <v>0</v>
      </c>
      <c r="Q342" s="370">
        <v>0</v>
      </c>
      <c r="R342" s="370">
        <v>0</v>
      </c>
      <c r="S342" s="370">
        <v>0</v>
      </c>
      <c r="T342" s="379">
        <v>0</v>
      </c>
      <c r="U342" s="371">
        <v>0</v>
      </c>
      <c r="V342" s="371">
        <v>0</v>
      </c>
      <c r="W342" s="372">
        <v>0</v>
      </c>
      <c r="X342" s="41"/>
      <c r="Y342" s="365">
        <v>0</v>
      </c>
      <c r="Z342" s="370">
        <v>0</v>
      </c>
      <c r="AA342" s="370">
        <v>0</v>
      </c>
      <c r="AB342" s="375">
        <v>0</v>
      </c>
      <c r="AC342" s="41"/>
      <c r="AD342" s="449">
        <v>0</v>
      </c>
      <c r="AE342" s="365">
        <v>0</v>
      </c>
      <c r="AF342" s="375">
        <v>0</v>
      </c>
      <c r="AH342" s="365">
        <v>0</v>
      </c>
      <c r="AI342" s="370">
        <v>0</v>
      </c>
      <c r="AJ342" s="370">
        <v>0</v>
      </c>
      <c r="AK342" s="375">
        <v>0</v>
      </c>
      <c r="AM342" s="365">
        <v>0</v>
      </c>
      <c r="AN342" s="370">
        <v>0</v>
      </c>
      <c r="AO342" s="370">
        <v>0</v>
      </c>
      <c r="AP342" s="375">
        <v>0</v>
      </c>
      <c r="AR342" s="365">
        <v>0</v>
      </c>
      <c r="AS342" s="375">
        <v>0</v>
      </c>
      <c r="AU342" s="378">
        <v>0</v>
      </c>
      <c r="AV342" s="379">
        <v>0</v>
      </c>
      <c r="AW342" s="380">
        <v>0</v>
      </c>
      <c r="AX342" s="381">
        <v>0</v>
      </c>
      <c r="AZ342" s="365">
        <v>0</v>
      </c>
      <c r="BA342" s="370">
        <v>0</v>
      </c>
      <c r="BB342" s="370">
        <v>0</v>
      </c>
      <c r="BC342" s="375">
        <v>0</v>
      </c>
      <c r="BE342" s="365">
        <v>0</v>
      </c>
      <c r="BF342" s="370">
        <v>0</v>
      </c>
      <c r="BG342" s="370">
        <v>0</v>
      </c>
      <c r="BH342" s="375">
        <v>0</v>
      </c>
      <c r="BJ342" s="365">
        <v>0</v>
      </c>
      <c r="BK342" s="370">
        <v>0</v>
      </c>
      <c r="BL342" s="370">
        <v>0</v>
      </c>
      <c r="BM342" s="375">
        <v>0</v>
      </c>
      <c r="BO342" s="365">
        <v>0</v>
      </c>
      <c r="BP342" s="370">
        <v>0</v>
      </c>
      <c r="BQ342" s="370">
        <v>0</v>
      </c>
      <c r="BR342" s="375">
        <v>0</v>
      </c>
      <c r="BT342" s="365">
        <v>0</v>
      </c>
      <c r="BU342" s="370">
        <v>0</v>
      </c>
      <c r="BV342" s="370">
        <v>0</v>
      </c>
      <c r="BW342" s="375">
        <v>0</v>
      </c>
      <c r="BY342" s="365">
        <v>0</v>
      </c>
      <c r="BZ342" s="373">
        <v>300051310.19501489</v>
      </c>
      <c r="CA342" s="375">
        <v>0</v>
      </c>
      <c r="CC342" s="365">
        <v>0</v>
      </c>
      <c r="CD342" s="375">
        <v>0</v>
      </c>
      <c r="CF342" s="365">
        <v>0</v>
      </c>
      <c r="CG342" s="375">
        <v>0</v>
      </c>
      <c r="CI342" s="365">
        <v>0</v>
      </c>
      <c r="CJ342" s="375">
        <v>0</v>
      </c>
    </row>
    <row r="343" spans="7:88">
      <c r="G343" s="417">
        <v>339</v>
      </c>
      <c r="H343" s="251">
        <v>16</v>
      </c>
      <c r="I343" s="377">
        <v>0</v>
      </c>
      <c r="J343" s="368">
        <v>0</v>
      </c>
      <c r="K343" s="368">
        <v>0</v>
      </c>
      <c r="L343" s="369">
        <v>0</v>
      </c>
      <c r="N343" s="367">
        <v>0</v>
      </c>
      <c r="O343" s="370">
        <v>0</v>
      </c>
      <c r="P343" s="370">
        <v>0</v>
      </c>
      <c r="Q343" s="370">
        <v>0</v>
      </c>
      <c r="R343" s="370">
        <v>0</v>
      </c>
      <c r="S343" s="370">
        <v>0</v>
      </c>
      <c r="T343" s="379">
        <v>0</v>
      </c>
      <c r="U343" s="371">
        <v>0</v>
      </c>
      <c r="V343" s="371">
        <v>0</v>
      </c>
      <c r="W343" s="372">
        <v>0</v>
      </c>
      <c r="X343" s="41"/>
      <c r="Y343" s="365">
        <v>0</v>
      </c>
      <c r="Z343" s="370">
        <v>0</v>
      </c>
      <c r="AA343" s="370">
        <v>0</v>
      </c>
      <c r="AB343" s="375">
        <v>0</v>
      </c>
      <c r="AC343" s="41"/>
      <c r="AD343" s="449">
        <v>0</v>
      </c>
      <c r="AE343" s="365">
        <v>0</v>
      </c>
      <c r="AF343" s="375">
        <v>0</v>
      </c>
      <c r="AH343" s="365">
        <v>0</v>
      </c>
      <c r="AI343" s="370">
        <v>0</v>
      </c>
      <c r="AJ343" s="370">
        <v>0</v>
      </c>
      <c r="AK343" s="375">
        <v>0</v>
      </c>
      <c r="AM343" s="365">
        <v>0</v>
      </c>
      <c r="AN343" s="370">
        <v>0</v>
      </c>
      <c r="AO343" s="370">
        <v>0</v>
      </c>
      <c r="AP343" s="375">
        <v>0</v>
      </c>
      <c r="AR343" s="365">
        <v>0</v>
      </c>
      <c r="AS343" s="375">
        <v>0</v>
      </c>
      <c r="AU343" s="378">
        <v>0</v>
      </c>
      <c r="AV343" s="379">
        <v>0</v>
      </c>
      <c r="AW343" s="380">
        <v>0</v>
      </c>
      <c r="AX343" s="381">
        <v>0</v>
      </c>
      <c r="AZ343" s="365">
        <v>0</v>
      </c>
      <c r="BA343" s="370">
        <v>0</v>
      </c>
      <c r="BB343" s="370">
        <v>0</v>
      </c>
      <c r="BC343" s="375">
        <v>0</v>
      </c>
      <c r="BE343" s="365">
        <v>0</v>
      </c>
      <c r="BF343" s="370">
        <v>0</v>
      </c>
      <c r="BG343" s="370">
        <v>0</v>
      </c>
      <c r="BH343" s="375">
        <v>0</v>
      </c>
      <c r="BJ343" s="365">
        <v>0</v>
      </c>
      <c r="BK343" s="370">
        <v>0</v>
      </c>
      <c r="BL343" s="370">
        <v>0</v>
      </c>
      <c r="BM343" s="375">
        <v>0</v>
      </c>
      <c r="BO343" s="365">
        <v>0</v>
      </c>
      <c r="BP343" s="370">
        <v>0</v>
      </c>
      <c r="BQ343" s="370">
        <v>0</v>
      </c>
      <c r="BR343" s="375">
        <v>0</v>
      </c>
      <c r="BT343" s="365">
        <v>0</v>
      </c>
      <c r="BU343" s="370">
        <v>0</v>
      </c>
      <c r="BV343" s="370">
        <v>0</v>
      </c>
      <c r="BW343" s="375">
        <v>0</v>
      </c>
      <c r="BY343" s="365">
        <v>0</v>
      </c>
      <c r="BZ343" s="373">
        <v>300051310.19501489</v>
      </c>
      <c r="CA343" s="375">
        <v>0</v>
      </c>
      <c r="CC343" s="365">
        <v>0</v>
      </c>
      <c r="CD343" s="375">
        <v>0</v>
      </c>
      <c r="CF343" s="365">
        <v>0</v>
      </c>
      <c r="CG343" s="375">
        <v>0</v>
      </c>
      <c r="CI343" s="365">
        <v>0</v>
      </c>
      <c r="CJ343" s="375">
        <v>0</v>
      </c>
    </row>
    <row r="344" spans="7:88">
      <c r="G344" s="417">
        <v>340</v>
      </c>
      <c r="H344" s="251">
        <v>16</v>
      </c>
      <c r="I344" s="377">
        <v>0</v>
      </c>
      <c r="J344" s="368">
        <v>0</v>
      </c>
      <c r="K344" s="368">
        <v>0</v>
      </c>
      <c r="L344" s="369">
        <v>0</v>
      </c>
      <c r="N344" s="367">
        <v>0</v>
      </c>
      <c r="O344" s="370">
        <v>0</v>
      </c>
      <c r="P344" s="370">
        <v>0</v>
      </c>
      <c r="Q344" s="370">
        <v>0</v>
      </c>
      <c r="R344" s="370">
        <v>0</v>
      </c>
      <c r="S344" s="370">
        <v>0</v>
      </c>
      <c r="T344" s="379">
        <v>0</v>
      </c>
      <c r="U344" s="371">
        <v>0</v>
      </c>
      <c r="V344" s="371">
        <v>0</v>
      </c>
      <c r="W344" s="372">
        <v>0</v>
      </c>
      <c r="X344" s="41"/>
      <c r="Y344" s="365">
        <v>0</v>
      </c>
      <c r="Z344" s="370">
        <v>0</v>
      </c>
      <c r="AA344" s="370">
        <v>0</v>
      </c>
      <c r="AB344" s="375">
        <v>0</v>
      </c>
      <c r="AC344" s="41"/>
      <c r="AD344" s="449">
        <v>0</v>
      </c>
      <c r="AE344" s="365">
        <v>0</v>
      </c>
      <c r="AF344" s="375">
        <v>0</v>
      </c>
      <c r="AH344" s="365">
        <v>0</v>
      </c>
      <c r="AI344" s="370">
        <v>0</v>
      </c>
      <c r="AJ344" s="370">
        <v>0</v>
      </c>
      <c r="AK344" s="375">
        <v>0</v>
      </c>
      <c r="AM344" s="365">
        <v>0</v>
      </c>
      <c r="AN344" s="370">
        <v>0</v>
      </c>
      <c r="AO344" s="370">
        <v>0</v>
      </c>
      <c r="AP344" s="375">
        <v>0</v>
      </c>
      <c r="AR344" s="365">
        <v>0</v>
      </c>
      <c r="AS344" s="375">
        <v>0</v>
      </c>
      <c r="AU344" s="378">
        <v>0</v>
      </c>
      <c r="AV344" s="379">
        <v>0</v>
      </c>
      <c r="AW344" s="380">
        <v>0</v>
      </c>
      <c r="AX344" s="381">
        <v>0</v>
      </c>
      <c r="AZ344" s="365">
        <v>0</v>
      </c>
      <c r="BA344" s="370">
        <v>0</v>
      </c>
      <c r="BB344" s="370">
        <v>0</v>
      </c>
      <c r="BC344" s="375">
        <v>0</v>
      </c>
      <c r="BE344" s="365">
        <v>0</v>
      </c>
      <c r="BF344" s="370">
        <v>0</v>
      </c>
      <c r="BG344" s="370">
        <v>0</v>
      </c>
      <c r="BH344" s="375">
        <v>0</v>
      </c>
      <c r="BJ344" s="365">
        <v>0</v>
      </c>
      <c r="BK344" s="370">
        <v>0</v>
      </c>
      <c r="BL344" s="370">
        <v>0</v>
      </c>
      <c r="BM344" s="375">
        <v>0</v>
      </c>
      <c r="BO344" s="365">
        <v>0</v>
      </c>
      <c r="BP344" s="370">
        <v>0</v>
      </c>
      <c r="BQ344" s="370">
        <v>0</v>
      </c>
      <c r="BR344" s="375">
        <v>0</v>
      </c>
      <c r="BT344" s="365">
        <v>0</v>
      </c>
      <c r="BU344" s="370">
        <v>0</v>
      </c>
      <c r="BV344" s="370">
        <v>0</v>
      </c>
      <c r="BW344" s="375">
        <v>0</v>
      </c>
      <c r="BY344" s="365">
        <v>0</v>
      </c>
      <c r="BZ344" s="373">
        <v>300051310.19501489</v>
      </c>
      <c r="CA344" s="375">
        <v>0</v>
      </c>
      <c r="CC344" s="365">
        <v>0</v>
      </c>
      <c r="CD344" s="375">
        <v>0</v>
      </c>
      <c r="CF344" s="365">
        <v>0</v>
      </c>
      <c r="CG344" s="375">
        <v>0</v>
      </c>
      <c r="CI344" s="365">
        <v>0</v>
      </c>
      <c r="CJ344" s="375">
        <v>0</v>
      </c>
    </row>
    <row r="345" spans="7:88">
      <c r="G345" s="417">
        <v>341</v>
      </c>
      <c r="H345" s="251">
        <v>16</v>
      </c>
      <c r="I345" s="377">
        <v>0</v>
      </c>
      <c r="J345" s="368">
        <v>0</v>
      </c>
      <c r="K345" s="368">
        <v>0</v>
      </c>
      <c r="L345" s="369">
        <v>0</v>
      </c>
      <c r="N345" s="367">
        <v>0</v>
      </c>
      <c r="O345" s="370">
        <v>0</v>
      </c>
      <c r="P345" s="370">
        <v>0</v>
      </c>
      <c r="Q345" s="370">
        <v>0</v>
      </c>
      <c r="R345" s="370">
        <v>0</v>
      </c>
      <c r="S345" s="370">
        <v>0</v>
      </c>
      <c r="T345" s="379">
        <v>0</v>
      </c>
      <c r="U345" s="371">
        <v>0</v>
      </c>
      <c r="V345" s="371">
        <v>0</v>
      </c>
      <c r="W345" s="372">
        <v>0</v>
      </c>
      <c r="X345" s="41"/>
      <c r="Y345" s="365">
        <v>0</v>
      </c>
      <c r="Z345" s="370">
        <v>0</v>
      </c>
      <c r="AA345" s="370">
        <v>0</v>
      </c>
      <c r="AB345" s="375">
        <v>0</v>
      </c>
      <c r="AC345" s="41"/>
      <c r="AD345" s="449">
        <v>0</v>
      </c>
      <c r="AE345" s="365">
        <v>0</v>
      </c>
      <c r="AF345" s="375">
        <v>0</v>
      </c>
      <c r="AH345" s="365">
        <v>0</v>
      </c>
      <c r="AI345" s="370">
        <v>0</v>
      </c>
      <c r="AJ345" s="370">
        <v>0</v>
      </c>
      <c r="AK345" s="375">
        <v>0</v>
      </c>
      <c r="AM345" s="365">
        <v>0</v>
      </c>
      <c r="AN345" s="370">
        <v>0</v>
      </c>
      <c r="AO345" s="370">
        <v>0</v>
      </c>
      <c r="AP345" s="375">
        <v>0</v>
      </c>
      <c r="AR345" s="365">
        <v>0</v>
      </c>
      <c r="AS345" s="375">
        <v>0</v>
      </c>
      <c r="AU345" s="378">
        <v>0</v>
      </c>
      <c r="AV345" s="379">
        <v>0</v>
      </c>
      <c r="AW345" s="380">
        <v>0</v>
      </c>
      <c r="AX345" s="381">
        <v>0</v>
      </c>
      <c r="AZ345" s="365">
        <v>0</v>
      </c>
      <c r="BA345" s="370">
        <v>0</v>
      </c>
      <c r="BB345" s="370">
        <v>0</v>
      </c>
      <c r="BC345" s="375">
        <v>0</v>
      </c>
      <c r="BE345" s="365">
        <v>0</v>
      </c>
      <c r="BF345" s="370">
        <v>0</v>
      </c>
      <c r="BG345" s="370">
        <v>0</v>
      </c>
      <c r="BH345" s="375">
        <v>0</v>
      </c>
      <c r="BJ345" s="365">
        <v>0</v>
      </c>
      <c r="BK345" s="370">
        <v>0</v>
      </c>
      <c r="BL345" s="370">
        <v>0</v>
      </c>
      <c r="BM345" s="375">
        <v>0</v>
      </c>
      <c r="BO345" s="365">
        <v>0</v>
      </c>
      <c r="BP345" s="370">
        <v>0</v>
      </c>
      <c r="BQ345" s="370">
        <v>0</v>
      </c>
      <c r="BR345" s="375">
        <v>0</v>
      </c>
      <c r="BT345" s="365">
        <v>0</v>
      </c>
      <c r="BU345" s="370">
        <v>0</v>
      </c>
      <c r="BV345" s="370">
        <v>0</v>
      </c>
      <c r="BW345" s="375">
        <v>0</v>
      </c>
      <c r="BY345" s="365">
        <v>0</v>
      </c>
      <c r="BZ345" s="373">
        <v>300051310.19501489</v>
      </c>
      <c r="CA345" s="375">
        <v>0</v>
      </c>
      <c r="CC345" s="365">
        <v>0</v>
      </c>
      <c r="CD345" s="375">
        <v>0</v>
      </c>
      <c r="CF345" s="365">
        <v>0</v>
      </c>
      <c r="CG345" s="375">
        <v>0</v>
      </c>
      <c r="CI345" s="365">
        <v>0</v>
      </c>
      <c r="CJ345" s="375">
        <v>0</v>
      </c>
    </row>
    <row r="346" spans="7:88">
      <c r="G346" s="417">
        <v>342</v>
      </c>
      <c r="H346" s="251">
        <v>16</v>
      </c>
      <c r="I346" s="377">
        <v>0</v>
      </c>
      <c r="J346" s="368">
        <v>0</v>
      </c>
      <c r="K346" s="368">
        <v>0</v>
      </c>
      <c r="L346" s="369">
        <v>0</v>
      </c>
      <c r="N346" s="367">
        <v>0</v>
      </c>
      <c r="O346" s="370">
        <v>0</v>
      </c>
      <c r="P346" s="370">
        <v>0</v>
      </c>
      <c r="Q346" s="370">
        <v>0</v>
      </c>
      <c r="R346" s="370">
        <v>0</v>
      </c>
      <c r="S346" s="370">
        <v>0</v>
      </c>
      <c r="T346" s="379">
        <v>0</v>
      </c>
      <c r="U346" s="371">
        <v>0</v>
      </c>
      <c r="V346" s="371">
        <v>0</v>
      </c>
      <c r="W346" s="372">
        <v>0</v>
      </c>
      <c r="X346" s="41"/>
      <c r="Y346" s="365">
        <v>0</v>
      </c>
      <c r="Z346" s="370">
        <v>0</v>
      </c>
      <c r="AA346" s="370">
        <v>0</v>
      </c>
      <c r="AB346" s="375">
        <v>0</v>
      </c>
      <c r="AC346" s="41"/>
      <c r="AD346" s="449">
        <v>0</v>
      </c>
      <c r="AE346" s="365">
        <v>0</v>
      </c>
      <c r="AF346" s="375">
        <v>0</v>
      </c>
      <c r="AH346" s="365">
        <v>0</v>
      </c>
      <c r="AI346" s="370">
        <v>0</v>
      </c>
      <c r="AJ346" s="370">
        <v>0</v>
      </c>
      <c r="AK346" s="375">
        <v>0</v>
      </c>
      <c r="AM346" s="365">
        <v>0</v>
      </c>
      <c r="AN346" s="370">
        <v>0</v>
      </c>
      <c r="AO346" s="370">
        <v>0</v>
      </c>
      <c r="AP346" s="375">
        <v>0</v>
      </c>
      <c r="AR346" s="365">
        <v>0</v>
      </c>
      <c r="AS346" s="375">
        <v>0</v>
      </c>
      <c r="AU346" s="378">
        <v>0</v>
      </c>
      <c r="AV346" s="379">
        <v>0</v>
      </c>
      <c r="AW346" s="380">
        <v>0</v>
      </c>
      <c r="AX346" s="381">
        <v>0</v>
      </c>
      <c r="AZ346" s="365">
        <v>0</v>
      </c>
      <c r="BA346" s="370">
        <v>0</v>
      </c>
      <c r="BB346" s="370">
        <v>0</v>
      </c>
      <c r="BC346" s="375">
        <v>0</v>
      </c>
      <c r="BE346" s="365">
        <v>0</v>
      </c>
      <c r="BF346" s="370">
        <v>0</v>
      </c>
      <c r="BG346" s="370">
        <v>0</v>
      </c>
      <c r="BH346" s="375">
        <v>0</v>
      </c>
      <c r="BJ346" s="365">
        <v>0</v>
      </c>
      <c r="BK346" s="370">
        <v>0</v>
      </c>
      <c r="BL346" s="370">
        <v>0</v>
      </c>
      <c r="BM346" s="375">
        <v>0</v>
      </c>
      <c r="BO346" s="365">
        <v>0</v>
      </c>
      <c r="BP346" s="370">
        <v>0</v>
      </c>
      <c r="BQ346" s="370">
        <v>0</v>
      </c>
      <c r="BR346" s="375">
        <v>0</v>
      </c>
      <c r="BT346" s="365">
        <v>0</v>
      </c>
      <c r="BU346" s="370">
        <v>0</v>
      </c>
      <c r="BV346" s="370">
        <v>0</v>
      </c>
      <c r="BW346" s="375">
        <v>0</v>
      </c>
      <c r="BY346" s="365">
        <v>0</v>
      </c>
      <c r="BZ346" s="373">
        <v>300051310.19501489</v>
      </c>
      <c r="CA346" s="375">
        <v>0</v>
      </c>
      <c r="CC346" s="365">
        <v>0</v>
      </c>
      <c r="CD346" s="375">
        <v>0</v>
      </c>
      <c r="CF346" s="365">
        <v>0</v>
      </c>
      <c r="CG346" s="375">
        <v>0</v>
      </c>
      <c r="CI346" s="365">
        <v>0</v>
      </c>
      <c r="CJ346" s="375">
        <v>0</v>
      </c>
    </row>
    <row r="347" spans="7:88">
      <c r="G347" s="417">
        <v>343</v>
      </c>
      <c r="H347" s="251">
        <v>16</v>
      </c>
      <c r="I347" s="377">
        <v>0</v>
      </c>
      <c r="J347" s="368">
        <v>0</v>
      </c>
      <c r="K347" s="368">
        <v>0</v>
      </c>
      <c r="L347" s="369">
        <v>0</v>
      </c>
      <c r="N347" s="367">
        <v>0</v>
      </c>
      <c r="O347" s="370">
        <v>0</v>
      </c>
      <c r="P347" s="370">
        <v>0</v>
      </c>
      <c r="Q347" s="370">
        <v>0</v>
      </c>
      <c r="R347" s="370">
        <v>0</v>
      </c>
      <c r="S347" s="370">
        <v>0</v>
      </c>
      <c r="T347" s="379">
        <v>0</v>
      </c>
      <c r="U347" s="371">
        <v>0</v>
      </c>
      <c r="V347" s="371">
        <v>0</v>
      </c>
      <c r="W347" s="372">
        <v>0</v>
      </c>
      <c r="X347" s="41"/>
      <c r="Y347" s="365">
        <v>0</v>
      </c>
      <c r="Z347" s="370">
        <v>0</v>
      </c>
      <c r="AA347" s="370">
        <v>0</v>
      </c>
      <c r="AB347" s="375">
        <v>0</v>
      </c>
      <c r="AC347" s="41"/>
      <c r="AD347" s="449">
        <v>0</v>
      </c>
      <c r="AE347" s="365">
        <v>0</v>
      </c>
      <c r="AF347" s="375">
        <v>0</v>
      </c>
      <c r="AH347" s="365">
        <v>0</v>
      </c>
      <c r="AI347" s="370">
        <v>0</v>
      </c>
      <c r="AJ347" s="370">
        <v>0</v>
      </c>
      <c r="AK347" s="375">
        <v>0</v>
      </c>
      <c r="AM347" s="365">
        <v>0</v>
      </c>
      <c r="AN347" s="370">
        <v>0</v>
      </c>
      <c r="AO347" s="370">
        <v>0</v>
      </c>
      <c r="AP347" s="375">
        <v>0</v>
      </c>
      <c r="AR347" s="365">
        <v>0</v>
      </c>
      <c r="AS347" s="375">
        <v>0</v>
      </c>
      <c r="AU347" s="378">
        <v>0</v>
      </c>
      <c r="AV347" s="379">
        <v>0</v>
      </c>
      <c r="AW347" s="380">
        <v>0</v>
      </c>
      <c r="AX347" s="381">
        <v>0</v>
      </c>
      <c r="AZ347" s="365">
        <v>0</v>
      </c>
      <c r="BA347" s="370">
        <v>0</v>
      </c>
      <c r="BB347" s="370">
        <v>0</v>
      </c>
      <c r="BC347" s="375">
        <v>0</v>
      </c>
      <c r="BE347" s="365">
        <v>0</v>
      </c>
      <c r="BF347" s="370">
        <v>0</v>
      </c>
      <c r="BG347" s="370">
        <v>0</v>
      </c>
      <c r="BH347" s="375">
        <v>0</v>
      </c>
      <c r="BJ347" s="365">
        <v>0</v>
      </c>
      <c r="BK347" s="370">
        <v>0</v>
      </c>
      <c r="BL347" s="370">
        <v>0</v>
      </c>
      <c r="BM347" s="375">
        <v>0</v>
      </c>
      <c r="BO347" s="365">
        <v>0</v>
      </c>
      <c r="BP347" s="370">
        <v>0</v>
      </c>
      <c r="BQ347" s="370">
        <v>0</v>
      </c>
      <c r="BR347" s="375">
        <v>0</v>
      </c>
      <c r="BT347" s="365">
        <v>0</v>
      </c>
      <c r="BU347" s="370">
        <v>0</v>
      </c>
      <c r="BV347" s="370">
        <v>0</v>
      </c>
      <c r="BW347" s="375">
        <v>0</v>
      </c>
      <c r="BY347" s="365">
        <v>0</v>
      </c>
      <c r="BZ347" s="373">
        <v>300051310.19501489</v>
      </c>
      <c r="CA347" s="375">
        <v>0</v>
      </c>
      <c r="CC347" s="365">
        <v>0</v>
      </c>
      <c r="CD347" s="375">
        <v>0</v>
      </c>
      <c r="CF347" s="365">
        <v>0</v>
      </c>
      <c r="CG347" s="375">
        <v>0</v>
      </c>
      <c r="CI347" s="365">
        <v>0</v>
      </c>
      <c r="CJ347" s="375">
        <v>0</v>
      </c>
    </row>
    <row r="348" spans="7:88">
      <c r="G348" s="417">
        <v>344</v>
      </c>
      <c r="H348" s="251">
        <v>16</v>
      </c>
      <c r="I348" s="377">
        <v>0</v>
      </c>
      <c r="J348" s="368">
        <v>0</v>
      </c>
      <c r="K348" s="368">
        <v>0</v>
      </c>
      <c r="L348" s="369">
        <v>0</v>
      </c>
      <c r="N348" s="367">
        <v>0</v>
      </c>
      <c r="O348" s="370">
        <v>0</v>
      </c>
      <c r="P348" s="370">
        <v>0</v>
      </c>
      <c r="Q348" s="370">
        <v>0</v>
      </c>
      <c r="R348" s="370">
        <v>0</v>
      </c>
      <c r="S348" s="370">
        <v>0</v>
      </c>
      <c r="T348" s="379">
        <v>0</v>
      </c>
      <c r="U348" s="371">
        <v>0</v>
      </c>
      <c r="V348" s="371">
        <v>0</v>
      </c>
      <c r="W348" s="372">
        <v>0</v>
      </c>
      <c r="X348" s="41"/>
      <c r="Y348" s="365">
        <v>0</v>
      </c>
      <c r="Z348" s="370">
        <v>0</v>
      </c>
      <c r="AA348" s="370">
        <v>0</v>
      </c>
      <c r="AB348" s="375">
        <v>0</v>
      </c>
      <c r="AC348" s="41"/>
      <c r="AD348" s="449">
        <v>0</v>
      </c>
      <c r="AE348" s="365">
        <v>0</v>
      </c>
      <c r="AF348" s="375">
        <v>0</v>
      </c>
      <c r="AH348" s="365">
        <v>0</v>
      </c>
      <c r="AI348" s="370">
        <v>0</v>
      </c>
      <c r="AJ348" s="370">
        <v>0</v>
      </c>
      <c r="AK348" s="375">
        <v>0</v>
      </c>
      <c r="AM348" s="365">
        <v>0</v>
      </c>
      <c r="AN348" s="370">
        <v>0</v>
      </c>
      <c r="AO348" s="370">
        <v>0</v>
      </c>
      <c r="AP348" s="375">
        <v>0</v>
      </c>
      <c r="AR348" s="365">
        <v>0</v>
      </c>
      <c r="AS348" s="375">
        <v>0</v>
      </c>
      <c r="AU348" s="378">
        <v>0</v>
      </c>
      <c r="AV348" s="379">
        <v>0</v>
      </c>
      <c r="AW348" s="380">
        <v>0</v>
      </c>
      <c r="AX348" s="381">
        <v>0</v>
      </c>
      <c r="AZ348" s="365">
        <v>0</v>
      </c>
      <c r="BA348" s="370">
        <v>0</v>
      </c>
      <c r="BB348" s="370">
        <v>0</v>
      </c>
      <c r="BC348" s="375">
        <v>0</v>
      </c>
      <c r="BE348" s="365">
        <v>0</v>
      </c>
      <c r="BF348" s="370">
        <v>0</v>
      </c>
      <c r="BG348" s="370">
        <v>0</v>
      </c>
      <c r="BH348" s="375">
        <v>0</v>
      </c>
      <c r="BJ348" s="365">
        <v>0</v>
      </c>
      <c r="BK348" s="370">
        <v>0</v>
      </c>
      <c r="BL348" s="370">
        <v>0</v>
      </c>
      <c r="BM348" s="375">
        <v>0</v>
      </c>
      <c r="BO348" s="365">
        <v>0</v>
      </c>
      <c r="BP348" s="370">
        <v>0</v>
      </c>
      <c r="BQ348" s="370">
        <v>0</v>
      </c>
      <c r="BR348" s="375">
        <v>0</v>
      </c>
      <c r="BT348" s="365">
        <v>0</v>
      </c>
      <c r="BU348" s="370">
        <v>0</v>
      </c>
      <c r="BV348" s="370">
        <v>0</v>
      </c>
      <c r="BW348" s="375">
        <v>0</v>
      </c>
      <c r="BY348" s="365">
        <v>0</v>
      </c>
      <c r="BZ348" s="373">
        <v>300051310.19501489</v>
      </c>
      <c r="CA348" s="375">
        <v>0</v>
      </c>
      <c r="CC348" s="365">
        <v>0</v>
      </c>
      <c r="CD348" s="375">
        <v>0</v>
      </c>
      <c r="CF348" s="365">
        <v>0</v>
      </c>
      <c r="CG348" s="375">
        <v>0</v>
      </c>
      <c r="CI348" s="365">
        <v>0</v>
      </c>
      <c r="CJ348" s="375">
        <v>0</v>
      </c>
    </row>
    <row r="349" spans="7:88">
      <c r="G349" s="417">
        <v>345</v>
      </c>
      <c r="H349" s="251">
        <v>16</v>
      </c>
      <c r="I349" s="377">
        <v>0</v>
      </c>
      <c r="J349" s="368">
        <v>0</v>
      </c>
      <c r="K349" s="368">
        <v>0</v>
      </c>
      <c r="L349" s="369">
        <v>0</v>
      </c>
      <c r="N349" s="367">
        <v>0</v>
      </c>
      <c r="O349" s="370">
        <v>0</v>
      </c>
      <c r="P349" s="370">
        <v>0</v>
      </c>
      <c r="Q349" s="370">
        <v>0</v>
      </c>
      <c r="R349" s="370">
        <v>0</v>
      </c>
      <c r="S349" s="370">
        <v>0</v>
      </c>
      <c r="T349" s="379">
        <v>0</v>
      </c>
      <c r="U349" s="371">
        <v>0</v>
      </c>
      <c r="V349" s="371">
        <v>0</v>
      </c>
      <c r="W349" s="372">
        <v>0</v>
      </c>
      <c r="X349" s="41"/>
      <c r="Y349" s="365">
        <v>0</v>
      </c>
      <c r="Z349" s="370">
        <v>0</v>
      </c>
      <c r="AA349" s="370">
        <v>0</v>
      </c>
      <c r="AB349" s="375">
        <v>0</v>
      </c>
      <c r="AC349" s="41"/>
      <c r="AD349" s="449">
        <v>0</v>
      </c>
      <c r="AE349" s="365">
        <v>0</v>
      </c>
      <c r="AF349" s="375">
        <v>0</v>
      </c>
      <c r="AH349" s="365">
        <v>0</v>
      </c>
      <c r="AI349" s="370">
        <v>0</v>
      </c>
      <c r="AJ349" s="370">
        <v>0</v>
      </c>
      <c r="AK349" s="375">
        <v>0</v>
      </c>
      <c r="AM349" s="365">
        <v>0</v>
      </c>
      <c r="AN349" s="370">
        <v>0</v>
      </c>
      <c r="AO349" s="370">
        <v>0</v>
      </c>
      <c r="AP349" s="375">
        <v>0</v>
      </c>
      <c r="AR349" s="365">
        <v>0</v>
      </c>
      <c r="AS349" s="375">
        <v>0</v>
      </c>
      <c r="AU349" s="378">
        <v>0</v>
      </c>
      <c r="AV349" s="379">
        <v>0</v>
      </c>
      <c r="AW349" s="380">
        <v>0</v>
      </c>
      <c r="AX349" s="381">
        <v>0</v>
      </c>
      <c r="AZ349" s="365">
        <v>0</v>
      </c>
      <c r="BA349" s="370">
        <v>0</v>
      </c>
      <c r="BB349" s="370">
        <v>0</v>
      </c>
      <c r="BC349" s="375">
        <v>0</v>
      </c>
      <c r="BE349" s="365">
        <v>0</v>
      </c>
      <c r="BF349" s="370">
        <v>0</v>
      </c>
      <c r="BG349" s="370">
        <v>0</v>
      </c>
      <c r="BH349" s="375">
        <v>0</v>
      </c>
      <c r="BJ349" s="365">
        <v>0</v>
      </c>
      <c r="BK349" s="370">
        <v>0</v>
      </c>
      <c r="BL349" s="370">
        <v>0</v>
      </c>
      <c r="BM349" s="375">
        <v>0</v>
      </c>
      <c r="BO349" s="365">
        <v>0</v>
      </c>
      <c r="BP349" s="370">
        <v>0</v>
      </c>
      <c r="BQ349" s="370">
        <v>0</v>
      </c>
      <c r="BR349" s="375">
        <v>0</v>
      </c>
      <c r="BT349" s="365">
        <v>0</v>
      </c>
      <c r="BU349" s="370">
        <v>0</v>
      </c>
      <c r="BV349" s="370">
        <v>0</v>
      </c>
      <c r="BW349" s="375">
        <v>0</v>
      </c>
      <c r="BY349" s="365">
        <v>0</v>
      </c>
      <c r="BZ349" s="373">
        <v>300051310.19501489</v>
      </c>
      <c r="CA349" s="375">
        <v>0</v>
      </c>
      <c r="CC349" s="365">
        <v>0</v>
      </c>
      <c r="CD349" s="375">
        <v>0</v>
      </c>
      <c r="CF349" s="365">
        <v>0</v>
      </c>
      <c r="CG349" s="375">
        <v>0</v>
      </c>
      <c r="CI349" s="365">
        <v>0</v>
      </c>
      <c r="CJ349" s="375">
        <v>0</v>
      </c>
    </row>
    <row r="350" spans="7:88">
      <c r="G350" s="417">
        <v>346</v>
      </c>
      <c r="H350" s="251">
        <v>16</v>
      </c>
      <c r="I350" s="377">
        <v>0</v>
      </c>
      <c r="J350" s="368">
        <v>0</v>
      </c>
      <c r="K350" s="368">
        <v>0</v>
      </c>
      <c r="L350" s="369">
        <v>0</v>
      </c>
      <c r="N350" s="367">
        <v>0</v>
      </c>
      <c r="O350" s="370">
        <v>0</v>
      </c>
      <c r="P350" s="370">
        <v>0</v>
      </c>
      <c r="Q350" s="370">
        <v>0</v>
      </c>
      <c r="R350" s="370">
        <v>0</v>
      </c>
      <c r="S350" s="370">
        <v>0</v>
      </c>
      <c r="T350" s="379">
        <v>0</v>
      </c>
      <c r="U350" s="371">
        <v>0</v>
      </c>
      <c r="V350" s="371">
        <v>0</v>
      </c>
      <c r="W350" s="372">
        <v>0</v>
      </c>
      <c r="X350" s="41"/>
      <c r="Y350" s="365">
        <v>0</v>
      </c>
      <c r="Z350" s="370">
        <v>0</v>
      </c>
      <c r="AA350" s="370">
        <v>0</v>
      </c>
      <c r="AB350" s="375">
        <v>0</v>
      </c>
      <c r="AC350" s="41"/>
      <c r="AD350" s="449">
        <v>0</v>
      </c>
      <c r="AE350" s="365">
        <v>0</v>
      </c>
      <c r="AF350" s="375">
        <v>0</v>
      </c>
      <c r="AH350" s="365">
        <v>0</v>
      </c>
      <c r="AI350" s="370">
        <v>0</v>
      </c>
      <c r="AJ350" s="370">
        <v>0</v>
      </c>
      <c r="AK350" s="375">
        <v>0</v>
      </c>
      <c r="AM350" s="365">
        <v>0</v>
      </c>
      <c r="AN350" s="370">
        <v>0</v>
      </c>
      <c r="AO350" s="370">
        <v>0</v>
      </c>
      <c r="AP350" s="375">
        <v>0</v>
      </c>
      <c r="AR350" s="365">
        <v>0</v>
      </c>
      <c r="AS350" s="375">
        <v>0</v>
      </c>
      <c r="AU350" s="378">
        <v>0</v>
      </c>
      <c r="AV350" s="379">
        <v>0</v>
      </c>
      <c r="AW350" s="380">
        <v>0</v>
      </c>
      <c r="AX350" s="381">
        <v>0</v>
      </c>
      <c r="AZ350" s="365">
        <v>0</v>
      </c>
      <c r="BA350" s="370">
        <v>0</v>
      </c>
      <c r="BB350" s="370">
        <v>0</v>
      </c>
      <c r="BC350" s="375">
        <v>0</v>
      </c>
      <c r="BE350" s="365">
        <v>0</v>
      </c>
      <c r="BF350" s="370">
        <v>0</v>
      </c>
      <c r="BG350" s="370">
        <v>0</v>
      </c>
      <c r="BH350" s="375">
        <v>0</v>
      </c>
      <c r="BJ350" s="365">
        <v>0</v>
      </c>
      <c r="BK350" s="370">
        <v>0</v>
      </c>
      <c r="BL350" s="370">
        <v>0</v>
      </c>
      <c r="BM350" s="375">
        <v>0</v>
      </c>
      <c r="BO350" s="365">
        <v>0</v>
      </c>
      <c r="BP350" s="370">
        <v>0</v>
      </c>
      <c r="BQ350" s="370">
        <v>0</v>
      </c>
      <c r="BR350" s="375">
        <v>0</v>
      </c>
      <c r="BT350" s="365">
        <v>0</v>
      </c>
      <c r="BU350" s="370">
        <v>0</v>
      </c>
      <c r="BV350" s="370">
        <v>0</v>
      </c>
      <c r="BW350" s="375">
        <v>0</v>
      </c>
      <c r="BY350" s="365">
        <v>0</v>
      </c>
      <c r="BZ350" s="373">
        <v>300051310.19501489</v>
      </c>
      <c r="CA350" s="375">
        <v>0</v>
      </c>
      <c r="CC350" s="365">
        <v>0</v>
      </c>
      <c r="CD350" s="375">
        <v>0</v>
      </c>
      <c r="CF350" s="365">
        <v>0</v>
      </c>
      <c r="CG350" s="375">
        <v>0</v>
      </c>
      <c r="CI350" s="365">
        <v>0</v>
      </c>
      <c r="CJ350" s="375">
        <v>0</v>
      </c>
    </row>
    <row r="351" spans="7:88">
      <c r="G351" s="417">
        <v>347</v>
      </c>
      <c r="H351" s="251">
        <v>16</v>
      </c>
      <c r="I351" s="377">
        <v>0</v>
      </c>
      <c r="J351" s="368">
        <v>0</v>
      </c>
      <c r="K351" s="368">
        <v>0</v>
      </c>
      <c r="L351" s="369">
        <v>0</v>
      </c>
      <c r="N351" s="367">
        <v>0</v>
      </c>
      <c r="O351" s="370">
        <v>0</v>
      </c>
      <c r="P351" s="370">
        <v>0</v>
      </c>
      <c r="Q351" s="370">
        <v>0</v>
      </c>
      <c r="R351" s="370">
        <v>0</v>
      </c>
      <c r="S351" s="370">
        <v>0</v>
      </c>
      <c r="T351" s="379">
        <v>0</v>
      </c>
      <c r="U351" s="371">
        <v>0</v>
      </c>
      <c r="V351" s="371">
        <v>0</v>
      </c>
      <c r="W351" s="372">
        <v>0</v>
      </c>
      <c r="X351" s="41"/>
      <c r="Y351" s="365">
        <v>0</v>
      </c>
      <c r="Z351" s="370">
        <v>0</v>
      </c>
      <c r="AA351" s="370">
        <v>0</v>
      </c>
      <c r="AB351" s="375">
        <v>0</v>
      </c>
      <c r="AC351" s="41"/>
      <c r="AD351" s="449">
        <v>0</v>
      </c>
      <c r="AE351" s="365">
        <v>0</v>
      </c>
      <c r="AF351" s="375">
        <v>0</v>
      </c>
      <c r="AH351" s="365">
        <v>0</v>
      </c>
      <c r="AI351" s="370">
        <v>0</v>
      </c>
      <c r="AJ351" s="370">
        <v>0</v>
      </c>
      <c r="AK351" s="375">
        <v>0</v>
      </c>
      <c r="AM351" s="365">
        <v>0</v>
      </c>
      <c r="AN351" s="370">
        <v>0</v>
      </c>
      <c r="AO351" s="370">
        <v>0</v>
      </c>
      <c r="AP351" s="375">
        <v>0</v>
      </c>
      <c r="AR351" s="365">
        <v>0</v>
      </c>
      <c r="AS351" s="375">
        <v>0</v>
      </c>
      <c r="AU351" s="378">
        <v>0</v>
      </c>
      <c r="AV351" s="379">
        <v>0</v>
      </c>
      <c r="AW351" s="380">
        <v>0</v>
      </c>
      <c r="AX351" s="381">
        <v>0</v>
      </c>
      <c r="AZ351" s="365">
        <v>0</v>
      </c>
      <c r="BA351" s="370">
        <v>0</v>
      </c>
      <c r="BB351" s="370">
        <v>0</v>
      </c>
      <c r="BC351" s="375">
        <v>0</v>
      </c>
      <c r="BE351" s="365">
        <v>0</v>
      </c>
      <c r="BF351" s="370">
        <v>0</v>
      </c>
      <c r="BG351" s="370">
        <v>0</v>
      </c>
      <c r="BH351" s="375">
        <v>0</v>
      </c>
      <c r="BJ351" s="365">
        <v>0</v>
      </c>
      <c r="BK351" s="370">
        <v>0</v>
      </c>
      <c r="BL351" s="370">
        <v>0</v>
      </c>
      <c r="BM351" s="375">
        <v>0</v>
      </c>
      <c r="BO351" s="365">
        <v>0</v>
      </c>
      <c r="BP351" s="370">
        <v>0</v>
      </c>
      <c r="BQ351" s="370">
        <v>0</v>
      </c>
      <c r="BR351" s="375">
        <v>0</v>
      </c>
      <c r="BT351" s="365">
        <v>0</v>
      </c>
      <c r="BU351" s="370">
        <v>0</v>
      </c>
      <c r="BV351" s="370">
        <v>0</v>
      </c>
      <c r="BW351" s="375">
        <v>0</v>
      </c>
      <c r="BY351" s="365">
        <v>0</v>
      </c>
      <c r="BZ351" s="373">
        <v>300051310.19501489</v>
      </c>
      <c r="CA351" s="375">
        <v>0</v>
      </c>
      <c r="CC351" s="365">
        <v>0</v>
      </c>
      <c r="CD351" s="375">
        <v>0</v>
      </c>
      <c r="CF351" s="365">
        <v>0</v>
      </c>
      <c r="CG351" s="375">
        <v>0</v>
      </c>
      <c r="CI351" s="365">
        <v>0</v>
      </c>
      <c r="CJ351" s="375">
        <v>0</v>
      </c>
    </row>
    <row r="352" spans="7:88">
      <c r="G352" s="417">
        <v>348</v>
      </c>
      <c r="H352" s="251">
        <v>16</v>
      </c>
      <c r="I352" s="377">
        <v>0</v>
      </c>
      <c r="J352" s="368">
        <v>0</v>
      </c>
      <c r="K352" s="368">
        <v>0</v>
      </c>
      <c r="L352" s="369">
        <v>0</v>
      </c>
      <c r="N352" s="367">
        <v>0</v>
      </c>
      <c r="O352" s="370">
        <v>0</v>
      </c>
      <c r="P352" s="370">
        <v>0</v>
      </c>
      <c r="Q352" s="370">
        <v>0</v>
      </c>
      <c r="R352" s="370">
        <v>0</v>
      </c>
      <c r="S352" s="370">
        <v>0</v>
      </c>
      <c r="T352" s="379">
        <v>0</v>
      </c>
      <c r="U352" s="371">
        <v>0</v>
      </c>
      <c r="V352" s="371">
        <v>0</v>
      </c>
      <c r="W352" s="372">
        <v>0</v>
      </c>
      <c r="X352" s="41"/>
      <c r="Y352" s="365">
        <v>0</v>
      </c>
      <c r="Z352" s="370">
        <v>0</v>
      </c>
      <c r="AA352" s="370">
        <v>0</v>
      </c>
      <c r="AB352" s="375">
        <v>0</v>
      </c>
      <c r="AC352" s="41"/>
      <c r="AD352" s="449">
        <v>0</v>
      </c>
      <c r="AE352" s="365">
        <v>0</v>
      </c>
      <c r="AF352" s="375">
        <v>0</v>
      </c>
      <c r="AH352" s="365">
        <v>0</v>
      </c>
      <c r="AI352" s="370">
        <v>0</v>
      </c>
      <c r="AJ352" s="370">
        <v>0</v>
      </c>
      <c r="AK352" s="375">
        <v>0</v>
      </c>
      <c r="AM352" s="365">
        <v>0</v>
      </c>
      <c r="AN352" s="370">
        <v>0</v>
      </c>
      <c r="AO352" s="370">
        <v>0</v>
      </c>
      <c r="AP352" s="375">
        <v>0</v>
      </c>
      <c r="AR352" s="365">
        <v>0</v>
      </c>
      <c r="AS352" s="375">
        <v>0</v>
      </c>
      <c r="AU352" s="378">
        <v>0</v>
      </c>
      <c r="AV352" s="379">
        <v>0</v>
      </c>
      <c r="AW352" s="380">
        <v>0</v>
      </c>
      <c r="AX352" s="381">
        <v>0</v>
      </c>
      <c r="AZ352" s="365">
        <v>0</v>
      </c>
      <c r="BA352" s="370">
        <v>0</v>
      </c>
      <c r="BB352" s="370">
        <v>0</v>
      </c>
      <c r="BC352" s="375">
        <v>0</v>
      </c>
      <c r="BE352" s="365">
        <v>0</v>
      </c>
      <c r="BF352" s="370">
        <v>0</v>
      </c>
      <c r="BG352" s="370">
        <v>0</v>
      </c>
      <c r="BH352" s="375">
        <v>0</v>
      </c>
      <c r="BJ352" s="365">
        <v>0</v>
      </c>
      <c r="BK352" s="370">
        <v>0</v>
      </c>
      <c r="BL352" s="370">
        <v>0</v>
      </c>
      <c r="BM352" s="375">
        <v>0</v>
      </c>
      <c r="BO352" s="365">
        <v>0</v>
      </c>
      <c r="BP352" s="370">
        <v>0</v>
      </c>
      <c r="BQ352" s="370">
        <v>0</v>
      </c>
      <c r="BR352" s="375">
        <v>0</v>
      </c>
      <c r="BT352" s="365">
        <v>0</v>
      </c>
      <c r="BU352" s="370">
        <v>0</v>
      </c>
      <c r="BV352" s="370">
        <v>0</v>
      </c>
      <c r="BW352" s="375">
        <v>0</v>
      </c>
      <c r="BY352" s="365">
        <v>0</v>
      </c>
      <c r="BZ352" s="373">
        <v>300051310.19501489</v>
      </c>
      <c r="CA352" s="375">
        <v>0</v>
      </c>
      <c r="CC352" s="365">
        <v>0</v>
      </c>
      <c r="CD352" s="375">
        <v>0</v>
      </c>
      <c r="CF352" s="365">
        <v>0</v>
      </c>
      <c r="CG352" s="375">
        <v>0</v>
      </c>
      <c r="CI352" s="365">
        <v>0</v>
      </c>
      <c r="CJ352" s="375">
        <v>0</v>
      </c>
    </row>
    <row r="353" spans="7:88">
      <c r="G353" s="417">
        <v>349</v>
      </c>
      <c r="H353" s="251">
        <v>16</v>
      </c>
      <c r="I353" s="377">
        <v>0</v>
      </c>
      <c r="J353" s="368">
        <v>0</v>
      </c>
      <c r="K353" s="368">
        <v>0</v>
      </c>
      <c r="L353" s="369">
        <v>0</v>
      </c>
      <c r="N353" s="367">
        <v>0</v>
      </c>
      <c r="O353" s="370">
        <v>0</v>
      </c>
      <c r="P353" s="370">
        <v>0</v>
      </c>
      <c r="Q353" s="370">
        <v>0</v>
      </c>
      <c r="R353" s="370">
        <v>0</v>
      </c>
      <c r="S353" s="370">
        <v>0</v>
      </c>
      <c r="T353" s="379">
        <v>0</v>
      </c>
      <c r="U353" s="371">
        <v>0</v>
      </c>
      <c r="V353" s="371">
        <v>0</v>
      </c>
      <c r="W353" s="372">
        <v>0</v>
      </c>
      <c r="X353" s="41"/>
      <c r="Y353" s="365">
        <v>0</v>
      </c>
      <c r="Z353" s="370">
        <v>0</v>
      </c>
      <c r="AA353" s="370">
        <v>0</v>
      </c>
      <c r="AB353" s="375">
        <v>0</v>
      </c>
      <c r="AC353" s="41"/>
      <c r="AD353" s="449">
        <v>0</v>
      </c>
      <c r="AE353" s="365">
        <v>0</v>
      </c>
      <c r="AF353" s="375">
        <v>0</v>
      </c>
      <c r="AH353" s="365">
        <v>0</v>
      </c>
      <c r="AI353" s="370">
        <v>0</v>
      </c>
      <c r="AJ353" s="370">
        <v>0</v>
      </c>
      <c r="AK353" s="375">
        <v>0</v>
      </c>
      <c r="AM353" s="365">
        <v>0</v>
      </c>
      <c r="AN353" s="370">
        <v>0</v>
      </c>
      <c r="AO353" s="370">
        <v>0</v>
      </c>
      <c r="AP353" s="375">
        <v>0</v>
      </c>
      <c r="AR353" s="365">
        <v>0</v>
      </c>
      <c r="AS353" s="375">
        <v>0</v>
      </c>
      <c r="AU353" s="378">
        <v>0</v>
      </c>
      <c r="AV353" s="379">
        <v>0</v>
      </c>
      <c r="AW353" s="380">
        <v>0</v>
      </c>
      <c r="AX353" s="381">
        <v>0</v>
      </c>
      <c r="AZ353" s="365">
        <v>0</v>
      </c>
      <c r="BA353" s="370">
        <v>0</v>
      </c>
      <c r="BB353" s="370">
        <v>0</v>
      </c>
      <c r="BC353" s="375">
        <v>0</v>
      </c>
      <c r="BE353" s="365">
        <v>0</v>
      </c>
      <c r="BF353" s="370">
        <v>0</v>
      </c>
      <c r="BG353" s="370">
        <v>0</v>
      </c>
      <c r="BH353" s="375">
        <v>0</v>
      </c>
      <c r="BJ353" s="365">
        <v>0</v>
      </c>
      <c r="BK353" s="370">
        <v>0</v>
      </c>
      <c r="BL353" s="370">
        <v>0</v>
      </c>
      <c r="BM353" s="375">
        <v>0</v>
      </c>
      <c r="BO353" s="365">
        <v>0</v>
      </c>
      <c r="BP353" s="370">
        <v>0</v>
      </c>
      <c r="BQ353" s="370">
        <v>0</v>
      </c>
      <c r="BR353" s="375">
        <v>0</v>
      </c>
      <c r="BT353" s="365">
        <v>0</v>
      </c>
      <c r="BU353" s="370">
        <v>0</v>
      </c>
      <c r="BV353" s="370">
        <v>0</v>
      </c>
      <c r="BW353" s="375">
        <v>0</v>
      </c>
      <c r="BY353" s="365">
        <v>0</v>
      </c>
      <c r="BZ353" s="373">
        <v>300051310.19501489</v>
      </c>
      <c r="CA353" s="375">
        <v>0</v>
      </c>
      <c r="CC353" s="365">
        <v>0</v>
      </c>
      <c r="CD353" s="375">
        <v>0</v>
      </c>
      <c r="CF353" s="365">
        <v>0</v>
      </c>
      <c r="CG353" s="375">
        <v>0</v>
      </c>
      <c r="CI353" s="365">
        <v>0</v>
      </c>
      <c r="CJ353" s="375">
        <v>0</v>
      </c>
    </row>
    <row r="354" spans="7:88">
      <c r="G354" s="417">
        <v>350</v>
      </c>
      <c r="H354" s="251">
        <v>16</v>
      </c>
      <c r="I354" s="377">
        <v>0</v>
      </c>
      <c r="J354" s="368">
        <v>0</v>
      </c>
      <c r="K354" s="368">
        <v>0</v>
      </c>
      <c r="L354" s="369">
        <v>0</v>
      </c>
      <c r="N354" s="367">
        <v>0</v>
      </c>
      <c r="O354" s="370">
        <v>0</v>
      </c>
      <c r="P354" s="370">
        <v>0</v>
      </c>
      <c r="Q354" s="370">
        <v>0</v>
      </c>
      <c r="R354" s="370">
        <v>0</v>
      </c>
      <c r="S354" s="370">
        <v>0</v>
      </c>
      <c r="T354" s="379">
        <v>0</v>
      </c>
      <c r="U354" s="371">
        <v>0</v>
      </c>
      <c r="V354" s="371">
        <v>0</v>
      </c>
      <c r="W354" s="372">
        <v>0</v>
      </c>
      <c r="X354" s="41"/>
      <c r="Y354" s="365">
        <v>0</v>
      </c>
      <c r="Z354" s="370">
        <v>0</v>
      </c>
      <c r="AA354" s="370">
        <v>0</v>
      </c>
      <c r="AB354" s="375">
        <v>0</v>
      </c>
      <c r="AC354" s="41"/>
      <c r="AD354" s="449">
        <v>0</v>
      </c>
      <c r="AE354" s="365">
        <v>0</v>
      </c>
      <c r="AF354" s="375">
        <v>0</v>
      </c>
      <c r="AH354" s="365">
        <v>0</v>
      </c>
      <c r="AI354" s="370">
        <v>0</v>
      </c>
      <c r="AJ354" s="370">
        <v>0</v>
      </c>
      <c r="AK354" s="375">
        <v>0</v>
      </c>
      <c r="AM354" s="365">
        <v>0</v>
      </c>
      <c r="AN354" s="370">
        <v>0</v>
      </c>
      <c r="AO354" s="370">
        <v>0</v>
      </c>
      <c r="AP354" s="375">
        <v>0</v>
      </c>
      <c r="AR354" s="365">
        <v>0</v>
      </c>
      <c r="AS354" s="375">
        <v>0</v>
      </c>
      <c r="AU354" s="378">
        <v>0</v>
      </c>
      <c r="AV354" s="379">
        <v>0</v>
      </c>
      <c r="AW354" s="380">
        <v>0</v>
      </c>
      <c r="AX354" s="381">
        <v>0</v>
      </c>
      <c r="AZ354" s="365">
        <v>0</v>
      </c>
      <c r="BA354" s="370">
        <v>0</v>
      </c>
      <c r="BB354" s="370">
        <v>0</v>
      </c>
      <c r="BC354" s="375">
        <v>0</v>
      </c>
      <c r="BE354" s="365">
        <v>0</v>
      </c>
      <c r="BF354" s="370">
        <v>0</v>
      </c>
      <c r="BG354" s="370">
        <v>0</v>
      </c>
      <c r="BH354" s="375">
        <v>0</v>
      </c>
      <c r="BJ354" s="365">
        <v>0</v>
      </c>
      <c r="BK354" s="370">
        <v>0</v>
      </c>
      <c r="BL354" s="370">
        <v>0</v>
      </c>
      <c r="BM354" s="375">
        <v>0</v>
      </c>
      <c r="BO354" s="365">
        <v>0</v>
      </c>
      <c r="BP354" s="370">
        <v>0</v>
      </c>
      <c r="BQ354" s="370">
        <v>0</v>
      </c>
      <c r="BR354" s="375">
        <v>0</v>
      </c>
      <c r="BT354" s="365">
        <v>0</v>
      </c>
      <c r="BU354" s="370">
        <v>0</v>
      </c>
      <c r="BV354" s="370">
        <v>0</v>
      </c>
      <c r="BW354" s="375">
        <v>0</v>
      </c>
      <c r="BY354" s="365">
        <v>0</v>
      </c>
      <c r="BZ354" s="373">
        <v>300051310.19501489</v>
      </c>
      <c r="CA354" s="375">
        <v>0</v>
      </c>
      <c r="CC354" s="365">
        <v>0</v>
      </c>
      <c r="CD354" s="375">
        <v>0</v>
      </c>
      <c r="CF354" s="365">
        <v>0</v>
      </c>
      <c r="CG354" s="375">
        <v>0</v>
      </c>
      <c r="CI354" s="365">
        <v>0</v>
      </c>
      <c r="CJ354" s="375">
        <v>0</v>
      </c>
    </row>
    <row r="355" spans="7:88">
      <c r="G355" s="417">
        <v>351</v>
      </c>
      <c r="H355" s="251">
        <v>16</v>
      </c>
      <c r="I355" s="377">
        <v>0</v>
      </c>
      <c r="J355" s="368">
        <v>0</v>
      </c>
      <c r="K355" s="368">
        <v>0</v>
      </c>
      <c r="L355" s="369">
        <v>0</v>
      </c>
      <c r="N355" s="367">
        <v>0</v>
      </c>
      <c r="O355" s="370">
        <v>0</v>
      </c>
      <c r="P355" s="370">
        <v>0</v>
      </c>
      <c r="Q355" s="370">
        <v>0</v>
      </c>
      <c r="R355" s="370">
        <v>0</v>
      </c>
      <c r="S355" s="370">
        <v>0</v>
      </c>
      <c r="T355" s="379">
        <v>0</v>
      </c>
      <c r="U355" s="371">
        <v>0</v>
      </c>
      <c r="V355" s="371">
        <v>0</v>
      </c>
      <c r="W355" s="372">
        <v>0</v>
      </c>
      <c r="X355" s="41"/>
      <c r="Y355" s="365">
        <v>0</v>
      </c>
      <c r="Z355" s="370">
        <v>0</v>
      </c>
      <c r="AA355" s="370">
        <v>0</v>
      </c>
      <c r="AB355" s="375">
        <v>0</v>
      </c>
      <c r="AC355" s="41"/>
      <c r="AD355" s="449">
        <v>0</v>
      </c>
      <c r="AE355" s="365">
        <v>0</v>
      </c>
      <c r="AF355" s="375">
        <v>0</v>
      </c>
      <c r="AH355" s="365">
        <v>0</v>
      </c>
      <c r="AI355" s="370">
        <v>0</v>
      </c>
      <c r="AJ355" s="370">
        <v>0</v>
      </c>
      <c r="AK355" s="375">
        <v>0</v>
      </c>
      <c r="AM355" s="365">
        <v>0</v>
      </c>
      <c r="AN355" s="370">
        <v>0</v>
      </c>
      <c r="AO355" s="370">
        <v>0</v>
      </c>
      <c r="AP355" s="375">
        <v>0</v>
      </c>
      <c r="AR355" s="365">
        <v>0</v>
      </c>
      <c r="AS355" s="375">
        <v>0</v>
      </c>
      <c r="AU355" s="378">
        <v>0</v>
      </c>
      <c r="AV355" s="379">
        <v>0</v>
      </c>
      <c r="AW355" s="380">
        <v>0</v>
      </c>
      <c r="AX355" s="381">
        <v>0</v>
      </c>
      <c r="AZ355" s="365">
        <v>0</v>
      </c>
      <c r="BA355" s="370">
        <v>0</v>
      </c>
      <c r="BB355" s="370">
        <v>0</v>
      </c>
      <c r="BC355" s="375">
        <v>0</v>
      </c>
      <c r="BE355" s="365">
        <v>0</v>
      </c>
      <c r="BF355" s="370">
        <v>0</v>
      </c>
      <c r="BG355" s="370">
        <v>0</v>
      </c>
      <c r="BH355" s="375">
        <v>0</v>
      </c>
      <c r="BJ355" s="365">
        <v>0</v>
      </c>
      <c r="BK355" s="370">
        <v>0</v>
      </c>
      <c r="BL355" s="370">
        <v>0</v>
      </c>
      <c r="BM355" s="375">
        <v>0</v>
      </c>
      <c r="BO355" s="365">
        <v>0</v>
      </c>
      <c r="BP355" s="370">
        <v>0</v>
      </c>
      <c r="BQ355" s="370">
        <v>0</v>
      </c>
      <c r="BR355" s="375">
        <v>0</v>
      </c>
      <c r="BT355" s="365">
        <v>0</v>
      </c>
      <c r="BU355" s="370">
        <v>0</v>
      </c>
      <c r="BV355" s="370">
        <v>0</v>
      </c>
      <c r="BW355" s="375">
        <v>0</v>
      </c>
      <c r="BY355" s="365">
        <v>0</v>
      </c>
      <c r="BZ355" s="373">
        <v>300051310.19501489</v>
      </c>
      <c r="CA355" s="375">
        <v>0</v>
      </c>
      <c r="CC355" s="365">
        <v>0</v>
      </c>
      <c r="CD355" s="375">
        <v>0</v>
      </c>
      <c r="CF355" s="365">
        <v>0</v>
      </c>
      <c r="CG355" s="375">
        <v>0</v>
      </c>
      <c r="CI355" s="365">
        <v>0</v>
      </c>
      <c r="CJ355" s="375">
        <v>0</v>
      </c>
    </row>
    <row r="356" spans="7:88">
      <c r="G356" s="417">
        <v>352</v>
      </c>
      <c r="H356" s="251">
        <v>16</v>
      </c>
      <c r="I356" s="377">
        <v>0</v>
      </c>
      <c r="J356" s="368">
        <v>0</v>
      </c>
      <c r="K356" s="368">
        <v>0</v>
      </c>
      <c r="L356" s="369">
        <v>0</v>
      </c>
      <c r="N356" s="367">
        <v>0</v>
      </c>
      <c r="O356" s="370">
        <v>0</v>
      </c>
      <c r="P356" s="370">
        <v>0</v>
      </c>
      <c r="Q356" s="370">
        <v>0</v>
      </c>
      <c r="R356" s="370">
        <v>0</v>
      </c>
      <c r="S356" s="370">
        <v>0</v>
      </c>
      <c r="T356" s="379">
        <v>0</v>
      </c>
      <c r="U356" s="371">
        <v>0</v>
      </c>
      <c r="V356" s="371">
        <v>0</v>
      </c>
      <c r="W356" s="372">
        <v>0</v>
      </c>
      <c r="X356" s="41"/>
      <c r="Y356" s="365">
        <v>0</v>
      </c>
      <c r="Z356" s="370">
        <v>0</v>
      </c>
      <c r="AA356" s="370">
        <v>0</v>
      </c>
      <c r="AB356" s="375">
        <v>0</v>
      </c>
      <c r="AC356" s="41"/>
      <c r="AD356" s="449">
        <v>0</v>
      </c>
      <c r="AE356" s="365">
        <v>0</v>
      </c>
      <c r="AF356" s="375">
        <v>0</v>
      </c>
      <c r="AH356" s="365">
        <v>0</v>
      </c>
      <c r="AI356" s="370">
        <v>0</v>
      </c>
      <c r="AJ356" s="370">
        <v>0</v>
      </c>
      <c r="AK356" s="375">
        <v>0</v>
      </c>
      <c r="AM356" s="365">
        <v>0</v>
      </c>
      <c r="AN356" s="370">
        <v>0</v>
      </c>
      <c r="AO356" s="370">
        <v>0</v>
      </c>
      <c r="AP356" s="375">
        <v>0</v>
      </c>
      <c r="AR356" s="365">
        <v>0</v>
      </c>
      <c r="AS356" s="375">
        <v>0</v>
      </c>
      <c r="AU356" s="378">
        <v>0</v>
      </c>
      <c r="AV356" s="379">
        <v>0</v>
      </c>
      <c r="AW356" s="380">
        <v>0</v>
      </c>
      <c r="AX356" s="381">
        <v>0</v>
      </c>
      <c r="AZ356" s="365">
        <v>0</v>
      </c>
      <c r="BA356" s="370">
        <v>0</v>
      </c>
      <c r="BB356" s="370">
        <v>0</v>
      </c>
      <c r="BC356" s="375">
        <v>0</v>
      </c>
      <c r="BE356" s="365">
        <v>0</v>
      </c>
      <c r="BF356" s="370">
        <v>0</v>
      </c>
      <c r="BG356" s="370">
        <v>0</v>
      </c>
      <c r="BH356" s="375">
        <v>0</v>
      </c>
      <c r="BJ356" s="365">
        <v>0</v>
      </c>
      <c r="BK356" s="370">
        <v>0</v>
      </c>
      <c r="BL356" s="370">
        <v>0</v>
      </c>
      <c r="BM356" s="375">
        <v>0</v>
      </c>
      <c r="BO356" s="365">
        <v>0</v>
      </c>
      <c r="BP356" s="370">
        <v>0</v>
      </c>
      <c r="BQ356" s="370">
        <v>0</v>
      </c>
      <c r="BR356" s="375">
        <v>0</v>
      </c>
      <c r="BT356" s="365">
        <v>0</v>
      </c>
      <c r="BU356" s="370">
        <v>0</v>
      </c>
      <c r="BV356" s="370">
        <v>0</v>
      </c>
      <c r="BW356" s="375">
        <v>0</v>
      </c>
      <c r="BY356" s="365">
        <v>0</v>
      </c>
      <c r="BZ356" s="373">
        <v>300051310.19501489</v>
      </c>
      <c r="CA356" s="375">
        <v>0</v>
      </c>
      <c r="CC356" s="365">
        <v>0</v>
      </c>
      <c r="CD356" s="375">
        <v>0</v>
      </c>
      <c r="CF356" s="365">
        <v>0</v>
      </c>
      <c r="CG356" s="375">
        <v>0</v>
      </c>
      <c r="CI356" s="365">
        <v>0</v>
      </c>
      <c r="CJ356" s="375">
        <v>0</v>
      </c>
    </row>
    <row r="357" spans="7:88">
      <c r="G357" s="417">
        <v>353</v>
      </c>
      <c r="H357" s="251">
        <v>16</v>
      </c>
      <c r="I357" s="377">
        <v>0</v>
      </c>
      <c r="J357" s="368">
        <v>0</v>
      </c>
      <c r="K357" s="368">
        <v>0</v>
      </c>
      <c r="L357" s="369">
        <v>0</v>
      </c>
      <c r="N357" s="367">
        <v>0</v>
      </c>
      <c r="O357" s="370">
        <v>0</v>
      </c>
      <c r="P357" s="370">
        <v>0</v>
      </c>
      <c r="Q357" s="370">
        <v>0</v>
      </c>
      <c r="R357" s="370">
        <v>0</v>
      </c>
      <c r="S357" s="370">
        <v>0</v>
      </c>
      <c r="T357" s="379">
        <v>0</v>
      </c>
      <c r="U357" s="371">
        <v>0</v>
      </c>
      <c r="V357" s="371">
        <v>0</v>
      </c>
      <c r="W357" s="372">
        <v>0</v>
      </c>
      <c r="X357" s="41"/>
      <c r="Y357" s="365">
        <v>0</v>
      </c>
      <c r="Z357" s="370">
        <v>0</v>
      </c>
      <c r="AA357" s="370">
        <v>0</v>
      </c>
      <c r="AB357" s="375">
        <v>0</v>
      </c>
      <c r="AC357" s="41"/>
      <c r="AD357" s="449">
        <v>0</v>
      </c>
      <c r="AE357" s="365">
        <v>0</v>
      </c>
      <c r="AF357" s="375">
        <v>0</v>
      </c>
      <c r="AH357" s="365">
        <v>0</v>
      </c>
      <c r="AI357" s="370">
        <v>0</v>
      </c>
      <c r="AJ357" s="370">
        <v>0</v>
      </c>
      <c r="AK357" s="375">
        <v>0</v>
      </c>
      <c r="AM357" s="365">
        <v>0</v>
      </c>
      <c r="AN357" s="370">
        <v>0</v>
      </c>
      <c r="AO357" s="370">
        <v>0</v>
      </c>
      <c r="AP357" s="375">
        <v>0</v>
      </c>
      <c r="AR357" s="365">
        <v>0</v>
      </c>
      <c r="AS357" s="375">
        <v>0</v>
      </c>
      <c r="AU357" s="378">
        <v>0</v>
      </c>
      <c r="AV357" s="379">
        <v>0</v>
      </c>
      <c r="AW357" s="380">
        <v>0</v>
      </c>
      <c r="AX357" s="381">
        <v>0</v>
      </c>
      <c r="AZ357" s="365">
        <v>0</v>
      </c>
      <c r="BA357" s="370">
        <v>0</v>
      </c>
      <c r="BB357" s="370">
        <v>0</v>
      </c>
      <c r="BC357" s="375">
        <v>0</v>
      </c>
      <c r="BE357" s="365">
        <v>0</v>
      </c>
      <c r="BF357" s="370">
        <v>0</v>
      </c>
      <c r="BG357" s="370">
        <v>0</v>
      </c>
      <c r="BH357" s="375">
        <v>0</v>
      </c>
      <c r="BJ357" s="365">
        <v>0</v>
      </c>
      <c r="BK357" s="370">
        <v>0</v>
      </c>
      <c r="BL357" s="370">
        <v>0</v>
      </c>
      <c r="BM357" s="375">
        <v>0</v>
      </c>
      <c r="BO357" s="365">
        <v>0</v>
      </c>
      <c r="BP357" s="370">
        <v>0</v>
      </c>
      <c r="BQ357" s="370">
        <v>0</v>
      </c>
      <c r="BR357" s="375">
        <v>0</v>
      </c>
      <c r="BT357" s="365">
        <v>0</v>
      </c>
      <c r="BU357" s="370">
        <v>0</v>
      </c>
      <c r="BV357" s="370">
        <v>0</v>
      </c>
      <c r="BW357" s="375">
        <v>0</v>
      </c>
      <c r="BY357" s="365">
        <v>0</v>
      </c>
      <c r="BZ357" s="373">
        <v>300051310.19501489</v>
      </c>
      <c r="CA357" s="375">
        <v>0</v>
      </c>
      <c r="CC357" s="365">
        <v>0</v>
      </c>
      <c r="CD357" s="375">
        <v>0</v>
      </c>
      <c r="CF357" s="365">
        <v>0</v>
      </c>
      <c r="CG357" s="375">
        <v>0</v>
      </c>
      <c r="CI357" s="365">
        <v>0</v>
      </c>
      <c r="CJ357" s="375">
        <v>0</v>
      </c>
    </row>
    <row r="358" spans="7:88">
      <c r="G358" s="417">
        <v>354</v>
      </c>
      <c r="H358" s="251">
        <v>16</v>
      </c>
      <c r="I358" s="377">
        <v>0</v>
      </c>
      <c r="J358" s="368">
        <v>0</v>
      </c>
      <c r="K358" s="368">
        <v>0</v>
      </c>
      <c r="L358" s="369">
        <v>0</v>
      </c>
      <c r="N358" s="367">
        <v>0</v>
      </c>
      <c r="O358" s="370">
        <v>0</v>
      </c>
      <c r="P358" s="370">
        <v>0</v>
      </c>
      <c r="Q358" s="370">
        <v>0</v>
      </c>
      <c r="R358" s="370">
        <v>0</v>
      </c>
      <c r="S358" s="370">
        <v>0</v>
      </c>
      <c r="T358" s="379">
        <v>0</v>
      </c>
      <c r="U358" s="371">
        <v>0</v>
      </c>
      <c r="V358" s="371">
        <v>0</v>
      </c>
      <c r="W358" s="372">
        <v>0</v>
      </c>
      <c r="X358" s="41"/>
      <c r="Y358" s="365">
        <v>0</v>
      </c>
      <c r="Z358" s="370">
        <v>0</v>
      </c>
      <c r="AA358" s="370">
        <v>0</v>
      </c>
      <c r="AB358" s="375">
        <v>0</v>
      </c>
      <c r="AC358" s="41"/>
      <c r="AD358" s="449">
        <v>0</v>
      </c>
      <c r="AE358" s="365">
        <v>0</v>
      </c>
      <c r="AF358" s="375">
        <v>0</v>
      </c>
      <c r="AH358" s="365">
        <v>0</v>
      </c>
      <c r="AI358" s="370">
        <v>0</v>
      </c>
      <c r="AJ358" s="370">
        <v>0</v>
      </c>
      <c r="AK358" s="375">
        <v>0</v>
      </c>
      <c r="AM358" s="365">
        <v>0</v>
      </c>
      <c r="AN358" s="370">
        <v>0</v>
      </c>
      <c r="AO358" s="370">
        <v>0</v>
      </c>
      <c r="AP358" s="375">
        <v>0</v>
      </c>
      <c r="AR358" s="365">
        <v>0</v>
      </c>
      <c r="AS358" s="375">
        <v>0</v>
      </c>
      <c r="AU358" s="378">
        <v>0</v>
      </c>
      <c r="AV358" s="379">
        <v>0</v>
      </c>
      <c r="AW358" s="380">
        <v>0</v>
      </c>
      <c r="AX358" s="381">
        <v>0</v>
      </c>
      <c r="AZ358" s="365">
        <v>0</v>
      </c>
      <c r="BA358" s="370">
        <v>0</v>
      </c>
      <c r="BB358" s="370">
        <v>0</v>
      </c>
      <c r="BC358" s="375">
        <v>0</v>
      </c>
      <c r="BE358" s="365">
        <v>0</v>
      </c>
      <c r="BF358" s="370">
        <v>0</v>
      </c>
      <c r="BG358" s="370">
        <v>0</v>
      </c>
      <c r="BH358" s="375">
        <v>0</v>
      </c>
      <c r="BJ358" s="365">
        <v>0</v>
      </c>
      <c r="BK358" s="370">
        <v>0</v>
      </c>
      <c r="BL358" s="370">
        <v>0</v>
      </c>
      <c r="BM358" s="375">
        <v>0</v>
      </c>
      <c r="BO358" s="365">
        <v>0</v>
      </c>
      <c r="BP358" s="370">
        <v>0</v>
      </c>
      <c r="BQ358" s="370">
        <v>0</v>
      </c>
      <c r="BR358" s="375">
        <v>0</v>
      </c>
      <c r="BT358" s="365">
        <v>0</v>
      </c>
      <c r="BU358" s="370">
        <v>0</v>
      </c>
      <c r="BV358" s="370">
        <v>0</v>
      </c>
      <c r="BW358" s="375">
        <v>0</v>
      </c>
      <c r="BY358" s="365">
        <v>0</v>
      </c>
      <c r="BZ358" s="373">
        <v>300051310.19501489</v>
      </c>
      <c r="CA358" s="375">
        <v>0</v>
      </c>
      <c r="CC358" s="365">
        <v>0</v>
      </c>
      <c r="CD358" s="375">
        <v>0</v>
      </c>
      <c r="CF358" s="365">
        <v>0</v>
      </c>
      <c r="CG358" s="375">
        <v>0</v>
      </c>
      <c r="CI358" s="365">
        <v>0</v>
      </c>
      <c r="CJ358" s="375">
        <v>0</v>
      </c>
    </row>
    <row r="359" spans="7:88">
      <c r="G359" s="417">
        <v>355</v>
      </c>
      <c r="H359" s="251">
        <v>16</v>
      </c>
      <c r="I359" s="377">
        <v>0</v>
      </c>
      <c r="J359" s="368">
        <v>0</v>
      </c>
      <c r="K359" s="368">
        <v>0</v>
      </c>
      <c r="L359" s="369">
        <v>0</v>
      </c>
      <c r="N359" s="367">
        <v>0</v>
      </c>
      <c r="O359" s="370">
        <v>0</v>
      </c>
      <c r="P359" s="370">
        <v>0</v>
      </c>
      <c r="Q359" s="370">
        <v>0</v>
      </c>
      <c r="R359" s="370">
        <v>0</v>
      </c>
      <c r="S359" s="370">
        <v>0</v>
      </c>
      <c r="T359" s="379">
        <v>0</v>
      </c>
      <c r="U359" s="371">
        <v>0</v>
      </c>
      <c r="V359" s="371">
        <v>0</v>
      </c>
      <c r="W359" s="372">
        <v>0</v>
      </c>
      <c r="X359" s="41"/>
      <c r="Y359" s="365">
        <v>0</v>
      </c>
      <c r="Z359" s="370">
        <v>0</v>
      </c>
      <c r="AA359" s="370">
        <v>0</v>
      </c>
      <c r="AB359" s="375">
        <v>0</v>
      </c>
      <c r="AC359" s="41"/>
      <c r="AD359" s="449">
        <v>0</v>
      </c>
      <c r="AE359" s="365">
        <v>0</v>
      </c>
      <c r="AF359" s="375">
        <v>0</v>
      </c>
      <c r="AH359" s="365">
        <v>0</v>
      </c>
      <c r="AI359" s="370">
        <v>0</v>
      </c>
      <c r="AJ359" s="370">
        <v>0</v>
      </c>
      <c r="AK359" s="375">
        <v>0</v>
      </c>
      <c r="AM359" s="365">
        <v>0</v>
      </c>
      <c r="AN359" s="370">
        <v>0</v>
      </c>
      <c r="AO359" s="370">
        <v>0</v>
      </c>
      <c r="AP359" s="375">
        <v>0</v>
      </c>
      <c r="AR359" s="365">
        <v>0</v>
      </c>
      <c r="AS359" s="375">
        <v>0</v>
      </c>
      <c r="AU359" s="378">
        <v>0</v>
      </c>
      <c r="AV359" s="379">
        <v>0</v>
      </c>
      <c r="AW359" s="380">
        <v>0</v>
      </c>
      <c r="AX359" s="381">
        <v>0</v>
      </c>
      <c r="AZ359" s="365">
        <v>0</v>
      </c>
      <c r="BA359" s="370">
        <v>0</v>
      </c>
      <c r="BB359" s="370">
        <v>0</v>
      </c>
      <c r="BC359" s="375">
        <v>0</v>
      </c>
      <c r="BE359" s="365">
        <v>0</v>
      </c>
      <c r="BF359" s="370">
        <v>0</v>
      </c>
      <c r="BG359" s="370">
        <v>0</v>
      </c>
      <c r="BH359" s="375">
        <v>0</v>
      </c>
      <c r="BJ359" s="365">
        <v>0</v>
      </c>
      <c r="BK359" s="370">
        <v>0</v>
      </c>
      <c r="BL359" s="370">
        <v>0</v>
      </c>
      <c r="BM359" s="375">
        <v>0</v>
      </c>
      <c r="BO359" s="365">
        <v>0</v>
      </c>
      <c r="BP359" s="370">
        <v>0</v>
      </c>
      <c r="BQ359" s="370">
        <v>0</v>
      </c>
      <c r="BR359" s="375">
        <v>0</v>
      </c>
      <c r="BT359" s="365">
        <v>0</v>
      </c>
      <c r="BU359" s="370">
        <v>0</v>
      </c>
      <c r="BV359" s="370">
        <v>0</v>
      </c>
      <c r="BW359" s="375">
        <v>0</v>
      </c>
      <c r="BY359" s="365">
        <v>0</v>
      </c>
      <c r="BZ359" s="373">
        <v>300051310.19501489</v>
      </c>
      <c r="CA359" s="375">
        <v>0</v>
      </c>
      <c r="CC359" s="365">
        <v>0</v>
      </c>
      <c r="CD359" s="375">
        <v>0</v>
      </c>
      <c r="CF359" s="365">
        <v>0</v>
      </c>
      <c r="CG359" s="375">
        <v>0</v>
      </c>
      <c r="CI359" s="365">
        <v>0</v>
      </c>
      <c r="CJ359" s="375">
        <v>0</v>
      </c>
    </row>
    <row r="360" spans="7:88">
      <c r="G360" s="417">
        <v>356</v>
      </c>
      <c r="H360" s="251">
        <v>16</v>
      </c>
      <c r="I360" s="377">
        <v>0</v>
      </c>
      <c r="J360" s="368">
        <v>0</v>
      </c>
      <c r="K360" s="368">
        <v>0</v>
      </c>
      <c r="L360" s="369">
        <v>0</v>
      </c>
      <c r="N360" s="367">
        <v>0</v>
      </c>
      <c r="O360" s="370">
        <v>0</v>
      </c>
      <c r="P360" s="370">
        <v>0</v>
      </c>
      <c r="Q360" s="370">
        <v>0</v>
      </c>
      <c r="R360" s="370">
        <v>0</v>
      </c>
      <c r="S360" s="370">
        <v>0</v>
      </c>
      <c r="T360" s="379">
        <v>0</v>
      </c>
      <c r="U360" s="371">
        <v>0</v>
      </c>
      <c r="V360" s="371">
        <v>0</v>
      </c>
      <c r="W360" s="372">
        <v>0</v>
      </c>
      <c r="X360" s="41"/>
      <c r="Y360" s="365">
        <v>0</v>
      </c>
      <c r="Z360" s="370">
        <v>0</v>
      </c>
      <c r="AA360" s="370">
        <v>0</v>
      </c>
      <c r="AB360" s="375">
        <v>0</v>
      </c>
      <c r="AC360" s="41"/>
      <c r="AD360" s="449">
        <v>0</v>
      </c>
      <c r="AE360" s="365">
        <v>0</v>
      </c>
      <c r="AF360" s="375">
        <v>0</v>
      </c>
      <c r="AH360" s="365">
        <v>0</v>
      </c>
      <c r="AI360" s="370">
        <v>0</v>
      </c>
      <c r="AJ360" s="370">
        <v>0</v>
      </c>
      <c r="AK360" s="375">
        <v>0</v>
      </c>
      <c r="AM360" s="365">
        <v>0</v>
      </c>
      <c r="AN360" s="370">
        <v>0</v>
      </c>
      <c r="AO360" s="370">
        <v>0</v>
      </c>
      <c r="AP360" s="375">
        <v>0</v>
      </c>
      <c r="AR360" s="365">
        <v>0</v>
      </c>
      <c r="AS360" s="375">
        <v>0</v>
      </c>
      <c r="AU360" s="378">
        <v>0</v>
      </c>
      <c r="AV360" s="379">
        <v>0</v>
      </c>
      <c r="AW360" s="380">
        <v>0</v>
      </c>
      <c r="AX360" s="381">
        <v>0</v>
      </c>
      <c r="AZ360" s="365">
        <v>0</v>
      </c>
      <c r="BA360" s="370">
        <v>0</v>
      </c>
      <c r="BB360" s="370">
        <v>0</v>
      </c>
      <c r="BC360" s="375">
        <v>0</v>
      </c>
      <c r="BE360" s="365">
        <v>0</v>
      </c>
      <c r="BF360" s="370">
        <v>0</v>
      </c>
      <c r="BG360" s="370">
        <v>0</v>
      </c>
      <c r="BH360" s="375">
        <v>0</v>
      </c>
      <c r="BJ360" s="365">
        <v>0</v>
      </c>
      <c r="BK360" s="370">
        <v>0</v>
      </c>
      <c r="BL360" s="370">
        <v>0</v>
      </c>
      <c r="BM360" s="375">
        <v>0</v>
      </c>
      <c r="BO360" s="365">
        <v>0</v>
      </c>
      <c r="BP360" s="370">
        <v>0</v>
      </c>
      <c r="BQ360" s="370">
        <v>0</v>
      </c>
      <c r="BR360" s="375">
        <v>0</v>
      </c>
      <c r="BT360" s="365">
        <v>0</v>
      </c>
      <c r="BU360" s="370">
        <v>0</v>
      </c>
      <c r="BV360" s="370">
        <v>0</v>
      </c>
      <c r="BW360" s="375">
        <v>0</v>
      </c>
      <c r="BY360" s="365">
        <v>0</v>
      </c>
      <c r="BZ360" s="373">
        <v>300051310.19501489</v>
      </c>
      <c r="CA360" s="375">
        <v>0</v>
      </c>
      <c r="CC360" s="365">
        <v>0</v>
      </c>
      <c r="CD360" s="375">
        <v>0</v>
      </c>
      <c r="CF360" s="365">
        <v>0</v>
      </c>
      <c r="CG360" s="375">
        <v>0</v>
      </c>
      <c r="CI360" s="365">
        <v>0</v>
      </c>
      <c r="CJ360" s="375">
        <v>0</v>
      </c>
    </row>
    <row r="361" spans="7:88">
      <c r="G361" s="417">
        <v>357</v>
      </c>
      <c r="H361" s="251">
        <v>16</v>
      </c>
      <c r="I361" s="377">
        <v>0</v>
      </c>
      <c r="J361" s="368">
        <v>0</v>
      </c>
      <c r="K361" s="368">
        <v>0</v>
      </c>
      <c r="L361" s="369">
        <v>0</v>
      </c>
      <c r="N361" s="367">
        <v>0</v>
      </c>
      <c r="O361" s="370">
        <v>0</v>
      </c>
      <c r="P361" s="370">
        <v>0</v>
      </c>
      <c r="Q361" s="370">
        <v>0</v>
      </c>
      <c r="R361" s="370">
        <v>0</v>
      </c>
      <c r="S361" s="370">
        <v>0</v>
      </c>
      <c r="T361" s="379">
        <v>0</v>
      </c>
      <c r="U361" s="371">
        <v>0</v>
      </c>
      <c r="V361" s="371">
        <v>0</v>
      </c>
      <c r="W361" s="372">
        <v>0</v>
      </c>
      <c r="X361" s="41"/>
      <c r="Y361" s="365">
        <v>0</v>
      </c>
      <c r="Z361" s="370">
        <v>0</v>
      </c>
      <c r="AA361" s="370">
        <v>0</v>
      </c>
      <c r="AB361" s="375">
        <v>0</v>
      </c>
      <c r="AC361" s="41"/>
      <c r="AD361" s="449">
        <v>0</v>
      </c>
      <c r="AE361" s="365">
        <v>0</v>
      </c>
      <c r="AF361" s="375">
        <v>0</v>
      </c>
      <c r="AH361" s="365">
        <v>0</v>
      </c>
      <c r="AI361" s="373">
        <v>0</v>
      </c>
      <c r="AJ361" s="373">
        <v>0</v>
      </c>
      <c r="AK361" s="375">
        <v>0</v>
      </c>
      <c r="AM361" s="365">
        <v>0</v>
      </c>
      <c r="AN361" s="373">
        <v>0</v>
      </c>
      <c r="AO361" s="373">
        <v>0</v>
      </c>
      <c r="AP361" s="375">
        <v>0</v>
      </c>
      <c r="AR361" s="365">
        <v>0</v>
      </c>
      <c r="AS361" s="375">
        <v>0</v>
      </c>
      <c r="AU361" s="378">
        <v>0</v>
      </c>
      <c r="AV361" s="380">
        <v>0</v>
      </c>
      <c r="AW361" s="380">
        <v>0</v>
      </c>
      <c r="AX361" s="381">
        <v>0</v>
      </c>
      <c r="AZ361" s="365">
        <v>0</v>
      </c>
      <c r="BA361" s="373">
        <v>0</v>
      </c>
      <c r="BB361" s="373">
        <v>0</v>
      </c>
      <c r="BC361" s="375">
        <v>0</v>
      </c>
      <c r="BE361" s="365">
        <v>0</v>
      </c>
      <c r="BF361" s="373">
        <v>0</v>
      </c>
      <c r="BG361" s="373">
        <v>0</v>
      </c>
      <c r="BH361" s="375">
        <v>0</v>
      </c>
      <c r="BJ361" s="365">
        <v>0</v>
      </c>
      <c r="BK361" s="373">
        <v>0</v>
      </c>
      <c r="BL361" s="373">
        <v>0</v>
      </c>
      <c r="BM361" s="375">
        <v>0</v>
      </c>
      <c r="BO361" s="365">
        <v>0</v>
      </c>
      <c r="BP361" s="373">
        <v>0</v>
      </c>
      <c r="BQ361" s="373">
        <v>0</v>
      </c>
      <c r="BR361" s="375">
        <v>0</v>
      </c>
      <c r="BT361" s="365">
        <v>0</v>
      </c>
      <c r="BU361" s="373">
        <v>0</v>
      </c>
      <c r="BV361" s="373">
        <v>0</v>
      </c>
      <c r="BW361" s="375">
        <v>0</v>
      </c>
      <c r="BY361" s="365">
        <v>0</v>
      </c>
      <c r="BZ361" s="373">
        <v>300051310.19501489</v>
      </c>
      <c r="CA361" s="375">
        <v>0</v>
      </c>
      <c r="CC361" s="365">
        <v>0</v>
      </c>
      <c r="CD361" s="375">
        <v>0</v>
      </c>
      <c r="CF361" s="365">
        <v>0</v>
      </c>
      <c r="CG361" s="375">
        <v>0</v>
      </c>
      <c r="CI361" s="365">
        <v>0</v>
      </c>
      <c r="CJ361" s="375">
        <v>0</v>
      </c>
    </row>
    <row r="362" spans="7:88">
      <c r="G362" s="417">
        <v>358</v>
      </c>
      <c r="H362" s="251">
        <v>16</v>
      </c>
      <c r="I362" s="377">
        <v>0</v>
      </c>
      <c r="J362" s="368">
        <v>0</v>
      </c>
      <c r="K362" s="368">
        <v>0</v>
      </c>
      <c r="L362" s="369">
        <v>0</v>
      </c>
      <c r="N362" s="367">
        <v>0</v>
      </c>
      <c r="O362" s="370">
        <v>0</v>
      </c>
      <c r="P362" s="370">
        <v>0</v>
      </c>
      <c r="Q362" s="370">
        <v>0</v>
      </c>
      <c r="R362" s="370">
        <v>0</v>
      </c>
      <c r="S362" s="370">
        <v>0</v>
      </c>
      <c r="T362" s="379">
        <v>0</v>
      </c>
      <c r="U362" s="371">
        <v>0</v>
      </c>
      <c r="V362" s="371">
        <v>0</v>
      </c>
      <c r="W362" s="372">
        <v>0</v>
      </c>
      <c r="X362" s="41"/>
      <c r="Y362" s="365">
        <v>0</v>
      </c>
      <c r="Z362" s="370">
        <v>0</v>
      </c>
      <c r="AA362" s="370">
        <v>0</v>
      </c>
      <c r="AB362" s="375">
        <v>0</v>
      </c>
      <c r="AC362" s="41"/>
      <c r="AD362" s="449">
        <v>0</v>
      </c>
      <c r="AE362" s="365">
        <v>0</v>
      </c>
      <c r="AF362" s="375">
        <v>0</v>
      </c>
      <c r="AH362" s="365">
        <v>0</v>
      </c>
      <c r="AI362" s="373">
        <v>0</v>
      </c>
      <c r="AJ362" s="373">
        <v>0</v>
      </c>
      <c r="AK362" s="375">
        <v>0</v>
      </c>
      <c r="AM362" s="365">
        <v>0</v>
      </c>
      <c r="AN362" s="373">
        <v>0</v>
      </c>
      <c r="AO362" s="373">
        <v>0</v>
      </c>
      <c r="AP362" s="375">
        <v>0</v>
      </c>
      <c r="AR362" s="365">
        <v>0</v>
      </c>
      <c r="AS362" s="375">
        <v>0</v>
      </c>
      <c r="AU362" s="378">
        <v>0</v>
      </c>
      <c r="AV362" s="380">
        <v>0</v>
      </c>
      <c r="AW362" s="380">
        <v>0</v>
      </c>
      <c r="AX362" s="381">
        <v>0</v>
      </c>
      <c r="AZ362" s="365">
        <v>0</v>
      </c>
      <c r="BA362" s="373">
        <v>0</v>
      </c>
      <c r="BB362" s="373">
        <v>0</v>
      </c>
      <c r="BC362" s="375">
        <v>0</v>
      </c>
      <c r="BE362" s="365">
        <v>0</v>
      </c>
      <c r="BF362" s="373">
        <v>0</v>
      </c>
      <c r="BG362" s="373">
        <v>0</v>
      </c>
      <c r="BH362" s="375">
        <v>0</v>
      </c>
      <c r="BJ362" s="365">
        <v>0</v>
      </c>
      <c r="BK362" s="373">
        <v>0</v>
      </c>
      <c r="BL362" s="373">
        <v>0</v>
      </c>
      <c r="BM362" s="375">
        <v>0</v>
      </c>
      <c r="BO362" s="365">
        <v>0</v>
      </c>
      <c r="BP362" s="373">
        <v>0</v>
      </c>
      <c r="BQ362" s="373">
        <v>0</v>
      </c>
      <c r="BR362" s="375">
        <v>0</v>
      </c>
      <c r="BT362" s="365">
        <v>0</v>
      </c>
      <c r="BU362" s="373">
        <v>0</v>
      </c>
      <c r="BV362" s="373">
        <v>0</v>
      </c>
      <c r="BW362" s="375">
        <v>0</v>
      </c>
      <c r="BY362" s="365">
        <v>0</v>
      </c>
      <c r="BZ362" s="373">
        <v>300051310.19501489</v>
      </c>
      <c r="CA362" s="375">
        <v>0</v>
      </c>
      <c r="CC362" s="365">
        <v>0</v>
      </c>
      <c r="CD362" s="375">
        <v>0</v>
      </c>
      <c r="CF362" s="365">
        <v>0</v>
      </c>
      <c r="CG362" s="375">
        <v>0</v>
      </c>
      <c r="CI362" s="365">
        <v>0</v>
      </c>
      <c r="CJ362" s="375">
        <v>0</v>
      </c>
    </row>
    <row r="363" spans="7:88">
      <c r="G363" s="417">
        <v>359</v>
      </c>
      <c r="H363" s="251">
        <v>16</v>
      </c>
      <c r="I363" s="377">
        <v>0</v>
      </c>
      <c r="J363" s="368">
        <v>0</v>
      </c>
      <c r="K363" s="368">
        <v>0</v>
      </c>
      <c r="L363" s="369">
        <v>0</v>
      </c>
      <c r="N363" s="367">
        <v>0</v>
      </c>
      <c r="O363" s="370">
        <v>0</v>
      </c>
      <c r="P363" s="370">
        <v>0</v>
      </c>
      <c r="Q363" s="370">
        <v>0</v>
      </c>
      <c r="R363" s="370">
        <v>0</v>
      </c>
      <c r="S363" s="370">
        <v>0</v>
      </c>
      <c r="T363" s="379">
        <v>0</v>
      </c>
      <c r="U363" s="371">
        <v>0</v>
      </c>
      <c r="V363" s="371">
        <v>0</v>
      </c>
      <c r="W363" s="372">
        <v>0</v>
      </c>
      <c r="X363" s="41"/>
      <c r="Y363" s="365">
        <v>0</v>
      </c>
      <c r="Z363" s="370">
        <v>0</v>
      </c>
      <c r="AA363" s="370">
        <v>0</v>
      </c>
      <c r="AB363" s="375">
        <v>0</v>
      </c>
      <c r="AC363" s="41"/>
      <c r="AD363" s="449">
        <v>0</v>
      </c>
      <c r="AE363" s="365">
        <v>0</v>
      </c>
      <c r="AF363" s="375">
        <v>0</v>
      </c>
      <c r="AH363" s="365">
        <v>0</v>
      </c>
      <c r="AI363" s="373">
        <v>0</v>
      </c>
      <c r="AJ363" s="373">
        <v>0</v>
      </c>
      <c r="AK363" s="375">
        <v>0</v>
      </c>
      <c r="AM363" s="365">
        <v>0</v>
      </c>
      <c r="AN363" s="373">
        <v>0</v>
      </c>
      <c r="AO363" s="373">
        <v>0</v>
      </c>
      <c r="AP363" s="375">
        <v>0</v>
      </c>
      <c r="AR363" s="365">
        <v>0</v>
      </c>
      <c r="AS363" s="375">
        <v>0</v>
      </c>
      <c r="AU363" s="378">
        <v>0</v>
      </c>
      <c r="AV363" s="380">
        <v>0</v>
      </c>
      <c r="AW363" s="380">
        <v>0</v>
      </c>
      <c r="AX363" s="381">
        <v>0</v>
      </c>
      <c r="AZ363" s="365">
        <v>0</v>
      </c>
      <c r="BA363" s="373">
        <v>0</v>
      </c>
      <c r="BB363" s="373">
        <v>0</v>
      </c>
      <c r="BC363" s="375">
        <v>0</v>
      </c>
      <c r="BE363" s="365">
        <v>0</v>
      </c>
      <c r="BF363" s="373">
        <v>0</v>
      </c>
      <c r="BG363" s="373">
        <v>0</v>
      </c>
      <c r="BH363" s="375">
        <v>0</v>
      </c>
      <c r="BJ363" s="365">
        <v>0</v>
      </c>
      <c r="BK363" s="373">
        <v>0</v>
      </c>
      <c r="BL363" s="373">
        <v>0</v>
      </c>
      <c r="BM363" s="375">
        <v>0</v>
      </c>
      <c r="BO363" s="365">
        <v>0</v>
      </c>
      <c r="BP363" s="373">
        <v>0</v>
      </c>
      <c r="BQ363" s="373">
        <v>0</v>
      </c>
      <c r="BR363" s="375">
        <v>0</v>
      </c>
      <c r="BT363" s="365">
        <v>0</v>
      </c>
      <c r="BU363" s="373">
        <v>0</v>
      </c>
      <c r="BV363" s="373">
        <v>0</v>
      </c>
      <c r="BW363" s="375">
        <v>0</v>
      </c>
      <c r="BY363" s="365">
        <v>0</v>
      </c>
      <c r="BZ363" s="373">
        <v>300051310.19501489</v>
      </c>
      <c r="CA363" s="375">
        <v>0</v>
      </c>
      <c r="CC363" s="365">
        <v>0</v>
      </c>
      <c r="CD363" s="375">
        <v>0</v>
      </c>
      <c r="CF363" s="365">
        <v>0</v>
      </c>
      <c r="CG363" s="375">
        <v>0</v>
      </c>
      <c r="CI363" s="365">
        <v>0</v>
      </c>
      <c r="CJ363" s="375">
        <v>0</v>
      </c>
    </row>
    <row r="364" spans="7:88">
      <c r="G364" s="417">
        <v>360</v>
      </c>
      <c r="H364" s="251">
        <v>16</v>
      </c>
      <c r="I364" s="377">
        <v>0</v>
      </c>
      <c r="J364" s="368">
        <v>0</v>
      </c>
      <c r="K364" s="368">
        <v>0</v>
      </c>
      <c r="L364" s="369">
        <v>0</v>
      </c>
      <c r="N364" s="367">
        <v>0</v>
      </c>
      <c r="O364" s="370">
        <v>0</v>
      </c>
      <c r="P364" s="370">
        <v>0</v>
      </c>
      <c r="Q364" s="370">
        <v>0</v>
      </c>
      <c r="R364" s="370">
        <v>0</v>
      </c>
      <c r="S364" s="370">
        <v>0</v>
      </c>
      <c r="T364" s="379">
        <v>0</v>
      </c>
      <c r="U364" s="371">
        <v>0</v>
      </c>
      <c r="V364" s="371">
        <v>0</v>
      </c>
      <c r="W364" s="372">
        <v>0</v>
      </c>
      <c r="X364" s="41"/>
      <c r="Y364" s="365">
        <v>0</v>
      </c>
      <c r="Z364" s="370">
        <v>0</v>
      </c>
      <c r="AA364" s="370">
        <v>0</v>
      </c>
      <c r="AB364" s="375">
        <v>0</v>
      </c>
      <c r="AC364" s="41"/>
      <c r="AD364" s="450">
        <v>0</v>
      </c>
      <c r="AE364" s="365">
        <v>0</v>
      </c>
      <c r="AF364" s="375">
        <v>0</v>
      </c>
      <c r="AH364" s="365">
        <v>0</v>
      </c>
      <c r="AI364" s="373">
        <v>0</v>
      </c>
      <c r="AJ364" s="373">
        <v>0</v>
      </c>
      <c r="AK364" s="375">
        <v>0</v>
      </c>
      <c r="AM364" s="365">
        <v>0</v>
      </c>
      <c r="AN364" s="373">
        <v>0</v>
      </c>
      <c r="AO364" s="373">
        <v>0</v>
      </c>
      <c r="AP364" s="375">
        <v>0</v>
      </c>
      <c r="AR364" s="365">
        <v>0</v>
      </c>
      <c r="AS364" s="375">
        <v>0</v>
      </c>
      <c r="AU364" s="378">
        <v>0</v>
      </c>
      <c r="AV364" s="380">
        <v>0</v>
      </c>
      <c r="AW364" s="380">
        <v>0</v>
      </c>
      <c r="AX364" s="381">
        <v>0</v>
      </c>
      <c r="AZ364" s="365">
        <v>0</v>
      </c>
      <c r="BA364" s="373">
        <v>0</v>
      </c>
      <c r="BB364" s="373">
        <v>0</v>
      </c>
      <c r="BC364" s="375">
        <v>0</v>
      </c>
      <c r="BE364" s="365">
        <v>0</v>
      </c>
      <c r="BF364" s="373">
        <v>0</v>
      </c>
      <c r="BG364" s="373">
        <v>0</v>
      </c>
      <c r="BH364" s="375">
        <v>0</v>
      </c>
      <c r="BJ364" s="365">
        <v>0</v>
      </c>
      <c r="BK364" s="373">
        <v>0</v>
      </c>
      <c r="BL364" s="373">
        <v>0</v>
      </c>
      <c r="BM364" s="375">
        <v>0</v>
      </c>
      <c r="BO364" s="365">
        <v>0</v>
      </c>
      <c r="BP364" s="373">
        <v>0</v>
      </c>
      <c r="BQ364" s="373">
        <v>0</v>
      </c>
      <c r="BR364" s="375">
        <v>0</v>
      </c>
      <c r="BT364" s="365">
        <v>0</v>
      </c>
      <c r="BU364" s="373">
        <v>0</v>
      </c>
      <c r="BV364" s="373">
        <v>0</v>
      </c>
      <c r="BW364" s="375">
        <v>0</v>
      </c>
      <c r="BY364" s="365">
        <v>0</v>
      </c>
      <c r="BZ364" s="373">
        <v>300051310.19501489</v>
      </c>
      <c r="CA364" s="375">
        <v>0</v>
      </c>
      <c r="CC364" s="365">
        <v>0</v>
      </c>
      <c r="CD364" s="375">
        <v>0</v>
      </c>
      <c r="CF364" s="365">
        <v>0</v>
      </c>
      <c r="CG364" s="375">
        <v>0</v>
      </c>
      <c r="CI364" s="365">
        <v>0</v>
      </c>
      <c r="CJ364" s="375">
        <v>0</v>
      </c>
    </row>
  </sheetData>
  <mergeCells count="21">
    <mergeCell ref="AH1:AK1"/>
    <mergeCell ref="AM1:AP1"/>
    <mergeCell ref="BO1:BR1"/>
    <mergeCell ref="BT1:BW1"/>
    <mergeCell ref="H1:L1"/>
    <mergeCell ref="CI1:CJ1"/>
    <mergeCell ref="D11:D12"/>
    <mergeCell ref="E11:E12"/>
    <mergeCell ref="D14:D15"/>
    <mergeCell ref="E14:E15"/>
    <mergeCell ref="CF1:CG1"/>
    <mergeCell ref="N1:W1"/>
    <mergeCell ref="Y1:AB1"/>
    <mergeCell ref="AD1:AF1"/>
    <mergeCell ref="BE1:BH1"/>
    <mergeCell ref="BJ1:BM1"/>
    <mergeCell ref="AZ1:BC1"/>
    <mergeCell ref="CC1:CD1"/>
    <mergeCell ref="BY1:CA1"/>
    <mergeCell ref="AU1:AX1"/>
    <mergeCell ref="AR1:AS1"/>
  </mergeCells>
  <dataValidations count="2">
    <dataValidation type="list" allowBlank="1" showInputMessage="1" showErrorMessage="1" sqref="E11:F12 E14:F15" xr:uid="{00000000-0002-0000-0000-000000000000}">
      <formula1>"Y,N"</formula1>
    </dataValidation>
    <dataValidation type="list" allowBlank="1" showInputMessage="1" showErrorMessage="1" sqref="E8:F8" xr:uid="{00000000-0002-0000-0000-000001000000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0</xdr:colOff>
                    <xdr:row>2</xdr:row>
                    <xdr:rowOff>22860</xdr:rowOff>
                  </from>
                  <to>
                    <xdr:col>4</xdr:col>
                    <xdr:colOff>746760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9E6D8-0C05-4616-98F0-FD9312491ACB}">
  <sheetPr codeName="Sheet13"/>
  <dimension ref="A1:K365"/>
  <sheetViews>
    <sheetView workbookViewId="0">
      <selection activeCell="C2" sqref="C2"/>
    </sheetView>
  </sheetViews>
  <sheetFormatPr defaultRowHeight="15.6"/>
  <cols>
    <col min="1" max="1" width="10" style="457" bestFit="1" customWidth="1"/>
    <col min="2" max="2" width="8.88671875" style="457"/>
    <col min="3" max="3" width="11.109375" style="473" bestFit="1" customWidth="1"/>
    <col min="4" max="4" width="8.88671875" style="457"/>
    <col min="5" max="5" width="12.44140625" style="474" bestFit="1" customWidth="1"/>
    <col min="6" max="6" width="8.88671875" style="457"/>
    <col min="7" max="7" width="12.5546875" style="473" bestFit="1" customWidth="1"/>
    <col min="8" max="8" width="8.88671875" style="167"/>
    <col min="9" max="9" width="8.88671875" style="457"/>
    <col min="10" max="10" width="31.33203125" style="476" customWidth="1"/>
    <col min="11" max="11" width="14.33203125" style="15" customWidth="1"/>
  </cols>
  <sheetData>
    <row r="1" spans="1:10" ht="16.2" thickBot="1">
      <c r="A1" s="452" t="s">
        <v>459</v>
      </c>
      <c r="B1" s="453" t="s">
        <v>104</v>
      </c>
      <c r="C1" s="454" t="s">
        <v>454</v>
      </c>
      <c r="D1" s="453" t="s">
        <v>104</v>
      </c>
      <c r="E1" s="455" t="s">
        <v>455</v>
      </c>
      <c r="F1" s="453" t="s">
        <v>104</v>
      </c>
      <c r="G1" s="456" t="s">
        <v>456</v>
      </c>
      <c r="J1" s="458" t="s">
        <v>458</v>
      </c>
    </row>
    <row r="2" spans="1:10" ht="16.2" thickBot="1">
      <c r="A2" s="459">
        <v>1</v>
      </c>
      <c r="B2" s="460">
        <v>39</v>
      </c>
      <c r="C2" s="461">
        <v>650000</v>
      </c>
      <c r="D2" s="460">
        <v>100</v>
      </c>
      <c r="E2" s="462">
        <v>750000</v>
      </c>
      <c r="F2" s="460">
        <v>161</v>
      </c>
      <c r="G2" s="463">
        <v>850000</v>
      </c>
      <c r="J2" s="464" t="s">
        <v>457</v>
      </c>
    </row>
    <row r="3" spans="1:10" ht="31.2">
      <c r="A3" s="459">
        <v>2</v>
      </c>
      <c r="B3" s="460">
        <v>56</v>
      </c>
      <c r="C3" s="461">
        <v>850000</v>
      </c>
      <c r="D3" s="460">
        <v>117</v>
      </c>
      <c r="E3" s="462">
        <v>950000</v>
      </c>
      <c r="F3" s="460">
        <v>179</v>
      </c>
      <c r="G3" s="463">
        <v>0</v>
      </c>
      <c r="I3" s="465" t="s">
        <v>104</v>
      </c>
      <c r="J3" s="466" t="s">
        <v>421</v>
      </c>
    </row>
    <row r="4" spans="1:10">
      <c r="A4" s="459">
        <v>3</v>
      </c>
      <c r="B4" s="460">
        <v>11</v>
      </c>
      <c r="C4" s="461">
        <v>750000</v>
      </c>
      <c r="D4" s="460">
        <v>72</v>
      </c>
      <c r="E4" s="462">
        <v>950000</v>
      </c>
      <c r="F4" s="460">
        <v>132</v>
      </c>
      <c r="G4" s="463">
        <v>1050000</v>
      </c>
      <c r="I4" s="467">
        <v>0</v>
      </c>
      <c r="J4" s="464">
        <v>0</v>
      </c>
    </row>
    <row r="5" spans="1:10">
      <c r="A5" s="459">
        <v>4</v>
      </c>
      <c r="B5" s="460">
        <v>15</v>
      </c>
      <c r="C5" s="461">
        <v>750000</v>
      </c>
      <c r="D5" s="460">
        <v>76</v>
      </c>
      <c r="E5" s="462">
        <v>950000</v>
      </c>
      <c r="F5" s="460">
        <v>136</v>
      </c>
      <c r="G5" s="463">
        <v>1050000</v>
      </c>
      <c r="I5" s="467">
        <v>1</v>
      </c>
      <c r="J5" s="464">
        <v>0</v>
      </c>
    </row>
    <row r="6" spans="1:10">
      <c r="A6" s="459">
        <v>5</v>
      </c>
      <c r="B6" s="460">
        <v>32</v>
      </c>
      <c r="C6" s="461">
        <v>750000</v>
      </c>
      <c r="D6" s="460">
        <v>93</v>
      </c>
      <c r="E6" s="462">
        <v>950000</v>
      </c>
      <c r="F6" s="460">
        <v>154</v>
      </c>
      <c r="G6" s="463">
        <v>1050000</v>
      </c>
      <c r="I6" s="467">
        <v>2</v>
      </c>
      <c r="J6" s="464">
        <v>0</v>
      </c>
    </row>
    <row r="7" spans="1:10">
      <c r="A7" s="459">
        <v>6</v>
      </c>
      <c r="B7" s="460">
        <v>50</v>
      </c>
      <c r="C7" s="461">
        <v>950000</v>
      </c>
      <c r="D7" s="460">
        <v>111</v>
      </c>
      <c r="E7" s="462">
        <v>1050000</v>
      </c>
      <c r="F7" s="460">
        <v>172</v>
      </c>
      <c r="G7" s="463">
        <v>0</v>
      </c>
      <c r="I7" s="467">
        <v>3</v>
      </c>
      <c r="J7" s="464">
        <v>750000</v>
      </c>
    </row>
    <row r="8" spans="1:10">
      <c r="A8" s="459">
        <v>7</v>
      </c>
      <c r="B8" s="460">
        <v>27</v>
      </c>
      <c r="C8" s="461">
        <v>650000</v>
      </c>
      <c r="D8" s="460">
        <v>88</v>
      </c>
      <c r="E8" s="462">
        <v>750000</v>
      </c>
      <c r="F8" s="460">
        <v>149</v>
      </c>
      <c r="G8" s="463">
        <v>850000</v>
      </c>
      <c r="I8" s="467">
        <v>4</v>
      </c>
      <c r="J8" s="464">
        <v>0</v>
      </c>
    </row>
    <row r="9" spans="1:10">
      <c r="A9" s="459">
        <v>8</v>
      </c>
      <c r="B9" s="460">
        <v>20</v>
      </c>
      <c r="C9" s="461">
        <v>750000</v>
      </c>
      <c r="D9" s="460">
        <v>81</v>
      </c>
      <c r="E9" s="462">
        <v>950000</v>
      </c>
      <c r="F9" s="460">
        <v>141</v>
      </c>
      <c r="G9" s="463">
        <v>1050000</v>
      </c>
      <c r="I9" s="467">
        <v>5</v>
      </c>
      <c r="J9" s="464">
        <v>0</v>
      </c>
    </row>
    <row r="10" spans="1:10">
      <c r="A10" s="459">
        <v>9</v>
      </c>
      <c r="B10" s="460">
        <v>14</v>
      </c>
      <c r="C10" s="461">
        <v>750000</v>
      </c>
      <c r="D10" s="460">
        <v>75</v>
      </c>
      <c r="E10" s="462">
        <v>950000</v>
      </c>
      <c r="F10" s="460">
        <v>135</v>
      </c>
      <c r="G10" s="463">
        <v>1050000</v>
      </c>
      <c r="I10" s="467">
        <v>6</v>
      </c>
      <c r="J10" s="464">
        <v>0</v>
      </c>
    </row>
    <row r="11" spans="1:10">
      <c r="A11" s="459">
        <v>10</v>
      </c>
      <c r="B11" s="460">
        <v>59</v>
      </c>
      <c r="C11" s="461">
        <v>950000</v>
      </c>
      <c r="D11" s="460">
        <v>120</v>
      </c>
      <c r="E11" s="462">
        <v>1050000</v>
      </c>
      <c r="F11" s="460">
        <v>182</v>
      </c>
      <c r="G11" s="463">
        <v>0</v>
      </c>
      <c r="I11" s="467">
        <v>7</v>
      </c>
      <c r="J11" s="464">
        <v>0</v>
      </c>
    </row>
    <row r="12" spans="1:10">
      <c r="A12" s="459">
        <v>11</v>
      </c>
      <c r="B12" s="460">
        <v>0</v>
      </c>
      <c r="C12" s="461">
        <v>0</v>
      </c>
      <c r="D12" s="460">
        <v>44</v>
      </c>
      <c r="E12" s="462">
        <v>950000</v>
      </c>
      <c r="F12" s="460">
        <v>105</v>
      </c>
      <c r="G12" s="463">
        <v>1050000</v>
      </c>
      <c r="I12" s="467">
        <v>8</v>
      </c>
      <c r="J12" s="464">
        <v>750000</v>
      </c>
    </row>
    <row r="13" spans="1:10">
      <c r="A13" s="459">
        <v>12</v>
      </c>
      <c r="B13" s="460">
        <v>38</v>
      </c>
      <c r="C13" s="461">
        <v>950000</v>
      </c>
      <c r="D13" s="460">
        <v>99</v>
      </c>
      <c r="E13" s="462">
        <v>1050000</v>
      </c>
      <c r="F13" s="460">
        <v>160</v>
      </c>
      <c r="G13" s="463">
        <v>0</v>
      </c>
      <c r="I13" s="467">
        <v>9</v>
      </c>
      <c r="J13" s="464">
        <v>0</v>
      </c>
    </row>
    <row r="14" spans="1:10">
      <c r="A14" s="459">
        <v>13</v>
      </c>
      <c r="B14" s="460">
        <v>15</v>
      </c>
      <c r="C14" s="461">
        <v>750000</v>
      </c>
      <c r="D14" s="460">
        <v>76</v>
      </c>
      <c r="E14" s="462">
        <v>950000</v>
      </c>
      <c r="F14" s="460">
        <v>136</v>
      </c>
      <c r="G14" s="463">
        <v>1050000</v>
      </c>
      <c r="I14" s="467">
        <v>10</v>
      </c>
      <c r="J14" s="464">
        <v>0</v>
      </c>
    </row>
    <row r="15" spans="1:10">
      <c r="A15" s="459">
        <v>14</v>
      </c>
      <c r="B15" s="460">
        <v>8</v>
      </c>
      <c r="C15" s="461">
        <v>750000</v>
      </c>
      <c r="D15" s="460">
        <v>68</v>
      </c>
      <c r="E15" s="462">
        <v>950000</v>
      </c>
      <c r="F15" s="460">
        <v>129</v>
      </c>
      <c r="G15" s="463">
        <v>1050000</v>
      </c>
      <c r="I15" s="467">
        <v>11</v>
      </c>
      <c r="J15" s="464">
        <v>750000</v>
      </c>
    </row>
    <row r="16" spans="1:10">
      <c r="A16" s="459">
        <v>15</v>
      </c>
      <c r="B16" s="460">
        <v>50</v>
      </c>
      <c r="C16" s="461">
        <v>650000</v>
      </c>
      <c r="D16" s="460">
        <v>111</v>
      </c>
      <c r="E16" s="462">
        <v>750000</v>
      </c>
      <c r="F16" s="460">
        <v>172</v>
      </c>
      <c r="G16" s="463">
        <v>850000</v>
      </c>
      <c r="I16" s="467">
        <v>12</v>
      </c>
      <c r="J16" s="464">
        <v>0</v>
      </c>
    </row>
    <row r="17" spans="1:10" ht="16.2" thickBot="1">
      <c r="A17" s="468">
        <v>16</v>
      </c>
      <c r="B17" s="469">
        <v>3</v>
      </c>
      <c r="C17" s="470">
        <v>750000</v>
      </c>
      <c r="D17" s="469">
        <v>63</v>
      </c>
      <c r="E17" s="471">
        <v>950000</v>
      </c>
      <c r="F17" s="469">
        <v>124</v>
      </c>
      <c r="G17" s="472">
        <v>1050000</v>
      </c>
      <c r="I17" s="467">
        <v>13</v>
      </c>
      <c r="J17" s="464">
        <v>0</v>
      </c>
    </row>
    <row r="18" spans="1:10">
      <c r="I18" s="467">
        <v>14</v>
      </c>
      <c r="J18" s="464">
        <v>750000</v>
      </c>
    </row>
    <row r="19" spans="1:10">
      <c r="I19" s="467">
        <v>15</v>
      </c>
      <c r="J19" s="464">
        <v>1500000</v>
      </c>
    </row>
    <row r="20" spans="1:10">
      <c r="I20" s="467">
        <v>16</v>
      </c>
      <c r="J20" s="464">
        <v>0</v>
      </c>
    </row>
    <row r="21" spans="1:10">
      <c r="I21" s="467">
        <v>17</v>
      </c>
      <c r="J21" s="464">
        <v>0</v>
      </c>
    </row>
    <row r="22" spans="1:10">
      <c r="I22" s="467">
        <v>18</v>
      </c>
      <c r="J22" s="464">
        <v>0</v>
      </c>
    </row>
    <row r="23" spans="1:10">
      <c r="I23" s="467">
        <v>19</v>
      </c>
      <c r="J23" s="464">
        <v>0</v>
      </c>
    </row>
    <row r="24" spans="1:10">
      <c r="I24" s="467">
        <v>20</v>
      </c>
      <c r="J24" s="464">
        <v>750000</v>
      </c>
    </row>
    <row r="25" spans="1:10">
      <c r="I25" s="467">
        <v>21</v>
      </c>
      <c r="J25" s="464">
        <v>0</v>
      </c>
    </row>
    <row r="26" spans="1:10">
      <c r="I26" s="467">
        <v>22</v>
      </c>
      <c r="J26" s="464">
        <v>0</v>
      </c>
    </row>
    <row r="27" spans="1:10">
      <c r="I27" s="467">
        <v>23</v>
      </c>
      <c r="J27" s="464">
        <v>0</v>
      </c>
    </row>
    <row r="28" spans="1:10">
      <c r="I28" s="467">
        <v>24</v>
      </c>
      <c r="J28" s="464">
        <v>0</v>
      </c>
    </row>
    <row r="29" spans="1:10">
      <c r="I29" s="467">
        <v>25</v>
      </c>
      <c r="J29" s="464">
        <v>0</v>
      </c>
    </row>
    <row r="30" spans="1:10">
      <c r="I30" s="467">
        <v>26</v>
      </c>
      <c r="J30" s="464">
        <v>0</v>
      </c>
    </row>
    <row r="31" spans="1:10">
      <c r="I31" s="467">
        <v>27</v>
      </c>
      <c r="J31" s="464">
        <v>650000</v>
      </c>
    </row>
    <row r="32" spans="1:10">
      <c r="I32" s="467">
        <v>28</v>
      </c>
      <c r="J32" s="464">
        <v>0</v>
      </c>
    </row>
    <row r="33" spans="9:10">
      <c r="I33" s="467">
        <v>29</v>
      </c>
      <c r="J33" s="464">
        <v>0</v>
      </c>
    </row>
    <row r="34" spans="9:10">
      <c r="I34" s="467">
        <v>30</v>
      </c>
      <c r="J34" s="464">
        <v>0</v>
      </c>
    </row>
    <row r="35" spans="9:10">
      <c r="I35" s="467">
        <v>31</v>
      </c>
      <c r="J35" s="464">
        <v>0</v>
      </c>
    </row>
    <row r="36" spans="9:10">
      <c r="I36" s="467">
        <v>32</v>
      </c>
      <c r="J36" s="464">
        <v>750000</v>
      </c>
    </row>
    <row r="37" spans="9:10">
      <c r="I37" s="467">
        <v>33</v>
      </c>
      <c r="J37" s="464">
        <v>0</v>
      </c>
    </row>
    <row r="38" spans="9:10">
      <c r="I38" s="467">
        <v>34</v>
      </c>
      <c r="J38" s="464">
        <v>0</v>
      </c>
    </row>
    <row r="39" spans="9:10">
      <c r="I39" s="467">
        <v>35</v>
      </c>
      <c r="J39" s="464">
        <v>0</v>
      </c>
    </row>
    <row r="40" spans="9:10">
      <c r="I40" s="467">
        <v>36</v>
      </c>
      <c r="J40" s="464">
        <v>0</v>
      </c>
    </row>
    <row r="41" spans="9:10">
      <c r="I41" s="467">
        <v>37</v>
      </c>
      <c r="J41" s="464">
        <v>0</v>
      </c>
    </row>
    <row r="42" spans="9:10">
      <c r="I42" s="467">
        <v>38</v>
      </c>
      <c r="J42" s="464">
        <v>950000</v>
      </c>
    </row>
    <row r="43" spans="9:10">
      <c r="I43" s="467">
        <v>39</v>
      </c>
      <c r="J43" s="464">
        <v>650000</v>
      </c>
    </row>
    <row r="44" spans="9:10">
      <c r="I44" s="467">
        <v>40</v>
      </c>
      <c r="J44" s="464">
        <v>0</v>
      </c>
    </row>
    <row r="45" spans="9:10">
      <c r="I45" s="467">
        <v>41</v>
      </c>
      <c r="J45" s="464">
        <v>0</v>
      </c>
    </row>
    <row r="46" spans="9:10">
      <c r="I46" s="467">
        <v>42</v>
      </c>
      <c r="J46" s="464">
        <v>0</v>
      </c>
    </row>
    <row r="47" spans="9:10">
      <c r="I47" s="467">
        <v>43</v>
      </c>
      <c r="J47" s="464">
        <v>0</v>
      </c>
    </row>
    <row r="48" spans="9:10">
      <c r="I48" s="467">
        <v>44</v>
      </c>
      <c r="J48" s="464">
        <v>950000</v>
      </c>
    </row>
    <row r="49" spans="9:10">
      <c r="I49" s="467">
        <v>45</v>
      </c>
      <c r="J49" s="464">
        <v>0</v>
      </c>
    </row>
    <row r="50" spans="9:10">
      <c r="I50" s="467">
        <v>46</v>
      </c>
      <c r="J50" s="464">
        <v>0</v>
      </c>
    </row>
    <row r="51" spans="9:10">
      <c r="I51" s="467">
        <v>47</v>
      </c>
      <c r="J51" s="464">
        <v>0</v>
      </c>
    </row>
    <row r="52" spans="9:10">
      <c r="I52" s="467">
        <v>48</v>
      </c>
      <c r="J52" s="464">
        <v>0</v>
      </c>
    </row>
    <row r="53" spans="9:10">
      <c r="I53" s="467">
        <v>49</v>
      </c>
      <c r="J53" s="464">
        <v>0</v>
      </c>
    </row>
    <row r="54" spans="9:10">
      <c r="I54" s="467">
        <v>50</v>
      </c>
      <c r="J54" s="464">
        <v>1600000</v>
      </c>
    </row>
    <row r="55" spans="9:10">
      <c r="I55" s="467">
        <v>51</v>
      </c>
      <c r="J55" s="464">
        <v>0</v>
      </c>
    </row>
    <row r="56" spans="9:10">
      <c r="I56" s="467">
        <v>52</v>
      </c>
      <c r="J56" s="464">
        <v>0</v>
      </c>
    </row>
    <row r="57" spans="9:10">
      <c r="I57" s="467">
        <v>53</v>
      </c>
      <c r="J57" s="464">
        <v>0</v>
      </c>
    </row>
    <row r="58" spans="9:10">
      <c r="I58" s="467">
        <v>54</v>
      </c>
      <c r="J58" s="464">
        <v>0</v>
      </c>
    </row>
    <row r="59" spans="9:10">
      <c r="I59" s="467">
        <v>55</v>
      </c>
      <c r="J59" s="464">
        <v>0</v>
      </c>
    </row>
    <row r="60" spans="9:10">
      <c r="I60" s="467">
        <v>56</v>
      </c>
      <c r="J60" s="464">
        <v>850000</v>
      </c>
    </row>
    <row r="61" spans="9:10">
      <c r="I61" s="467">
        <v>57</v>
      </c>
      <c r="J61" s="464">
        <v>0</v>
      </c>
    </row>
    <row r="62" spans="9:10">
      <c r="I62" s="467">
        <v>58</v>
      </c>
      <c r="J62" s="464">
        <v>0</v>
      </c>
    </row>
    <row r="63" spans="9:10">
      <c r="I63" s="467">
        <v>59</v>
      </c>
      <c r="J63" s="464">
        <v>950000</v>
      </c>
    </row>
    <row r="64" spans="9:10">
      <c r="I64" s="467">
        <v>60</v>
      </c>
      <c r="J64" s="464">
        <v>0</v>
      </c>
    </row>
    <row r="65" spans="9:10">
      <c r="I65" s="467">
        <v>61</v>
      </c>
      <c r="J65" s="464">
        <v>0</v>
      </c>
    </row>
    <row r="66" spans="9:10">
      <c r="I66" s="467">
        <v>62</v>
      </c>
      <c r="J66" s="464">
        <v>0</v>
      </c>
    </row>
    <row r="67" spans="9:10">
      <c r="I67" s="467">
        <v>63</v>
      </c>
      <c r="J67" s="464">
        <v>950000</v>
      </c>
    </row>
    <row r="68" spans="9:10">
      <c r="I68" s="467">
        <v>64</v>
      </c>
      <c r="J68" s="464">
        <v>0</v>
      </c>
    </row>
    <row r="69" spans="9:10">
      <c r="I69" s="467">
        <v>65</v>
      </c>
      <c r="J69" s="464">
        <v>0</v>
      </c>
    </row>
    <row r="70" spans="9:10">
      <c r="I70" s="467">
        <v>66</v>
      </c>
      <c r="J70" s="464">
        <v>0</v>
      </c>
    </row>
    <row r="71" spans="9:10">
      <c r="I71" s="467">
        <v>67</v>
      </c>
      <c r="J71" s="464">
        <v>0</v>
      </c>
    </row>
    <row r="72" spans="9:10">
      <c r="I72" s="467">
        <v>68</v>
      </c>
      <c r="J72" s="464">
        <v>950000</v>
      </c>
    </row>
    <row r="73" spans="9:10">
      <c r="I73" s="467">
        <v>69</v>
      </c>
      <c r="J73" s="464">
        <v>0</v>
      </c>
    </row>
    <row r="74" spans="9:10">
      <c r="I74" s="467">
        <v>70</v>
      </c>
      <c r="J74" s="464">
        <v>0</v>
      </c>
    </row>
    <row r="75" spans="9:10">
      <c r="I75" s="467">
        <v>71</v>
      </c>
      <c r="J75" s="464">
        <v>0</v>
      </c>
    </row>
    <row r="76" spans="9:10">
      <c r="I76" s="467">
        <v>72</v>
      </c>
      <c r="J76" s="464">
        <v>950000</v>
      </c>
    </row>
    <row r="77" spans="9:10">
      <c r="I77" s="467">
        <v>73</v>
      </c>
      <c r="J77" s="464">
        <v>0</v>
      </c>
    </row>
    <row r="78" spans="9:10">
      <c r="I78" s="467">
        <v>74</v>
      </c>
      <c r="J78" s="464">
        <v>0</v>
      </c>
    </row>
    <row r="79" spans="9:10">
      <c r="I79" s="467">
        <v>75</v>
      </c>
      <c r="J79" s="464">
        <v>950000</v>
      </c>
    </row>
    <row r="80" spans="9:10">
      <c r="I80" s="467">
        <v>76</v>
      </c>
      <c r="J80" s="464">
        <v>1900000</v>
      </c>
    </row>
    <row r="81" spans="9:10">
      <c r="I81" s="467">
        <v>77</v>
      </c>
      <c r="J81" s="464">
        <v>0</v>
      </c>
    </row>
    <row r="82" spans="9:10">
      <c r="I82" s="467">
        <v>78</v>
      </c>
      <c r="J82" s="464">
        <v>0</v>
      </c>
    </row>
    <row r="83" spans="9:10">
      <c r="I83" s="467">
        <v>79</v>
      </c>
      <c r="J83" s="464">
        <v>0</v>
      </c>
    </row>
    <row r="84" spans="9:10">
      <c r="I84" s="467">
        <v>80</v>
      </c>
      <c r="J84" s="464">
        <v>0</v>
      </c>
    </row>
    <row r="85" spans="9:10">
      <c r="I85" s="467">
        <v>81</v>
      </c>
      <c r="J85" s="464">
        <v>950000</v>
      </c>
    </row>
    <row r="86" spans="9:10">
      <c r="I86" s="467">
        <v>82</v>
      </c>
      <c r="J86" s="464">
        <v>0</v>
      </c>
    </row>
    <row r="87" spans="9:10">
      <c r="I87" s="467">
        <v>83</v>
      </c>
      <c r="J87" s="464">
        <v>0</v>
      </c>
    </row>
    <row r="88" spans="9:10">
      <c r="I88" s="467">
        <v>84</v>
      </c>
      <c r="J88" s="464">
        <v>0</v>
      </c>
    </row>
    <row r="89" spans="9:10">
      <c r="I89" s="467">
        <v>85</v>
      </c>
      <c r="J89" s="464">
        <v>0</v>
      </c>
    </row>
    <row r="90" spans="9:10">
      <c r="I90" s="467">
        <v>86</v>
      </c>
      <c r="J90" s="464">
        <v>0</v>
      </c>
    </row>
    <row r="91" spans="9:10">
      <c r="I91" s="467">
        <v>87</v>
      </c>
      <c r="J91" s="464">
        <v>0</v>
      </c>
    </row>
    <row r="92" spans="9:10">
      <c r="I92" s="467">
        <v>88</v>
      </c>
      <c r="J92" s="464">
        <v>750000</v>
      </c>
    </row>
    <row r="93" spans="9:10">
      <c r="I93" s="467">
        <v>89</v>
      </c>
      <c r="J93" s="464">
        <v>0</v>
      </c>
    </row>
    <row r="94" spans="9:10">
      <c r="I94" s="467">
        <v>90</v>
      </c>
      <c r="J94" s="464">
        <v>0</v>
      </c>
    </row>
    <row r="95" spans="9:10">
      <c r="I95" s="467">
        <v>91</v>
      </c>
      <c r="J95" s="464">
        <v>0</v>
      </c>
    </row>
    <row r="96" spans="9:10">
      <c r="I96" s="467">
        <v>92</v>
      </c>
      <c r="J96" s="464">
        <v>0</v>
      </c>
    </row>
    <row r="97" spans="9:10">
      <c r="I97" s="467">
        <v>93</v>
      </c>
      <c r="J97" s="464">
        <v>950000</v>
      </c>
    </row>
    <row r="98" spans="9:10">
      <c r="I98" s="467">
        <v>94</v>
      </c>
      <c r="J98" s="464">
        <v>0</v>
      </c>
    </row>
    <row r="99" spans="9:10">
      <c r="I99" s="467">
        <v>95</v>
      </c>
      <c r="J99" s="464">
        <v>0</v>
      </c>
    </row>
    <row r="100" spans="9:10">
      <c r="I100" s="467">
        <v>96</v>
      </c>
      <c r="J100" s="464">
        <v>0</v>
      </c>
    </row>
    <row r="101" spans="9:10">
      <c r="I101" s="467">
        <v>97</v>
      </c>
      <c r="J101" s="464">
        <v>0</v>
      </c>
    </row>
    <row r="102" spans="9:10">
      <c r="I102" s="467">
        <v>98</v>
      </c>
      <c r="J102" s="464">
        <v>0</v>
      </c>
    </row>
    <row r="103" spans="9:10">
      <c r="I103" s="467">
        <v>99</v>
      </c>
      <c r="J103" s="464">
        <v>1050000</v>
      </c>
    </row>
    <row r="104" spans="9:10">
      <c r="I104" s="467">
        <v>100</v>
      </c>
      <c r="J104" s="464">
        <v>750000</v>
      </c>
    </row>
    <row r="105" spans="9:10">
      <c r="I105" s="467">
        <v>101</v>
      </c>
      <c r="J105" s="464">
        <v>0</v>
      </c>
    </row>
    <row r="106" spans="9:10">
      <c r="I106" s="467">
        <v>102</v>
      </c>
      <c r="J106" s="464">
        <v>0</v>
      </c>
    </row>
    <row r="107" spans="9:10">
      <c r="I107" s="467">
        <v>103</v>
      </c>
      <c r="J107" s="464">
        <v>0</v>
      </c>
    </row>
    <row r="108" spans="9:10">
      <c r="I108" s="467">
        <v>104</v>
      </c>
      <c r="J108" s="464">
        <v>0</v>
      </c>
    </row>
    <row r="109" spans="9:10">
      <c r="I109" s="467">
        <v>105</v>
      </c>
      <c r="J109" s="464">
        <v>1050000</v>
      </c>
    </row>
    <row r="110" spans="9:10">
      <c r="I110" s="467">
        <v>106</v>
      </c>
      <c r="J110" s="464">
        <v>0</v>
      </c>
    </row>
    <row r="111" spans="9:10">
      <c r="I111" s="467">
        <v>107</v>
      </c>
      <c r="J111" s="464">
        <v>0</v>
      </c>
    </row>
    <row r="112" spans="9:10">
      <c r="I112" s="467">
        <v>108</v>
      </c>
      <c r="J112" s="464">
        <v>0</v>
      </c>
    </row>
    <row r="113" spans="9:10">
      <c r="I113" s="467">
        <v>109</v>
      </c>
      <c r="J113" s="464">
        <v>0</v>
      </c>
    </row>
    <row r="114" spans="9:10">
      <c r="I114" s="467">
        <v>110</v>
      </c>
      <c r="J114" s="464">
        <v>0</v>
      </c>
    </row>
    <row r="115" spans="9:10">
      <c r="I115" s="467">
        <v>111</v>
      </c>
      <c r="J115" s="464">
        <v>1800000</v>
      </c>
    </row>
    <row r="116" spans="9:10">
      <c r="I116" s="467">
        <v>112</v>
      </c>
      <c r="J116" s="464">
        <v>0</v>
      </c>
    </row>
    <row r="117" spans="9:10">
      <c r="I117" s="467">
        <v>113</v>
      </c>
      <c r="J117" s="464">
        <v>0</v>
      </c>
    </row>
    <row r="118" spans="9:10">
      <c r="I118" s="467">
        <v>114</v>
      </c>
      <c r="J118" s="464">
        <v>0</v>
      </c>
    </row>
    <row r="119" spans="9:10">
      <c r="I119" s="467">
        <v>115</v>
      </c>
      <c r="J119" s="464">
        <v>0</v>
      </c>
    </row>
    <row r="120" spans="9:10">
      <c r="I120" s="467">
        <v>116</v>
      </c>
      <c r="J120" s="464">
        <v>0</v>
      </c>
    </row>
    <row r="121" spans="9:10">
      <c r="I121" s="467">
        <v>117</v>
      </c>
      <c r="J121" s="464">
        <v>950000</v>
      </c>
    </row>
    <row r="122" spans="9:10">
      <c r="I122" s="467">
        <v>118</v>
      </c>
      <c r="J122" s="464">
        <v>0</v>
      </c>
    </row>
    <row r="123" spans="9:10">
      <c r="I123" s="467">
        <v>119</v>
      </c>
      <c r="J123" s="464">
        <v>0</v>
      </c>
    </row>
    <row r="124" spans="9:10">
      <c r="I124" s="467">
        <v>120</v>
      </c>
      <c r="J124" s="464">
        <v>1050000</v>
      </c>
    </row>
    <row r="125" spans="9:10">
      <c r="I125" s="467">
        <v>121</v>
      </c>
      <c r="J125" s="464">
        <v>0</v>
      </c>
    </row>
    <row r="126" spans="9:10">
      <c r="I126" s="467">
        <v>122</v>
      </c>
      <c r="J126" s="464">
        <v>0</v>
      </c>
    </row>
    <row r="127" spans="9:10">
      <c r="I127" s="467">
        <v>123</v>
      </c>
      <c r="J127" s="464">
        <v>0</v>
      </c>
    </row>
    <row r="128" spans="9:10">
      <c r="I128" s="467">
        <v>124</v>
      </c>
      <c r="J128" s="464">
        <v>1050000</v>
      </c>
    </row>
    <row r="129" spans="9:10">
      <c r="I129" s="467">
        <v>125</v>
      </c>
      <c r="J129" s="464">
        <v>0</v>
      </c>
    </row>
    <row r="130" spans="9:10">
      <c r="I130" s="467">
        <v>126</v>
      </c>
      <c r="J130" s="464">
        <v>0</v>
      </c>
    </row>
    <row r="131" spans="9:10">
      <c r="I131" s="467">
        <v>127</v>
      </c>
      <c r="J131" s="464">
        <v>0</v>
      </c>
    </row>
    <row r="132" spans="9:10">
      <c r="I132" s="467">
        <v>128</v>
      </c>
      <c r="J132" s="464">
        <v>0</v>
      </c>
    </row>
    <row r="133" spans="9:10">
      <c r="I133" s="467">
        <v>129</v>
      </c>
      <c r="J133" s="464">
        <v>1050000</v>
      </c>
    </row>
    <row r="134" spans="9:10">
      <c r="I134" s="467">
        <v>130</v>
      </c>
      <c r="J134" s="464">
        <v>0</v>
      </c>
    </row>
    <row r="135" spans="9:10">
      <c r="I135" s="467">
        <v>131</v>
      </c>
      <c r="J135" s="464">
        <v>0</v>
      </c>
    </row>
    <row r="136" spans="9:10">
      <c r="I136" s="467">
        <v>132</v>
      </c>
      <c r="J136" s="464">
        <v>1050000</v>
      </c>
    </row>
    <row r="137" spans="9:10">
      <c r="I137" s="467">
        <v>133</v>
      </c>
      <c r="J137" s="464">
        <v>0</v>
      </c>
    </row>
    <row r="138" spans="9:10">
      <c r="I138" s="467">
        <v>134</v>
      </c>
      <c r="J138" s="464">
        <v>0</v>
      </c>
    </row>
    <row r="139" spans="9:10">
      <c r="I139" s="467">
        <v>135</v>
      </c>
      <c r="J139" s="464">
        <v>1050000</v>
      </c>
    </row>
    <row r="140" spans="9:10">
      <c r="I140" s="467">
        <v>136</v>
      </c>
      <c r="J140" s="464">
        <v>2100000</v>
      </c>
    </row>
    <row r="141" spans="9:10">
      <c r="I141" s="467">
        <v>137</v>
      </c>
      <c r="J141" s="464">
        <v>0</v>
      </c>
    </row>
    <row r="142" spans="9:10">
      <c r="I142" s="467">
        <v>138</v>
      </c>
      <c r="J142" s="464">
        <v>0</v>
      </c>
    </row>
    <row r="143" spans="9:10">
      <c r="I143" s="467">
        <v>139</v>
      </c>
      <c r="J143" s="464">
        <v>0</v>
      </c>
    </row>
    <row r="144" spans="9:10">
      <c r="I144" s="467">
        <v>140</v>
      </c>
      <c r="J144" s="464">
        <v>0</v>
      </c>
    </row>
    <row r="145" spans="9:10">
      <c r="I145" s="467">
        <v>141</v>
      </c>
      <c r="J145" s="464">
        <v>1050000</v>
      </c>
    </row>
    <row r="146" spans="9:10">
      <c r="I146" s="467">
        <v>142</v>
      </c>
      <c r="J146" s="464">
        <v>0</v>
      </c>
    </row>
    <row r="147" spans="9:10">
      <c r="I147" s="467">
        <v>143</v>
      </c>
      <c r="J147" s="464">
        <v>0</v>
      </c>
    </row>
    <row r="148" spans="9:10">
      <c r="I148" s="467">
        <v>144</v>
      </c>
      <c r="J148" s="464">
        <v>0</v>
      </c>
    </row>
    <row r="149" spans="9:10">
      <c r="I149" s="467">
        <v>145</v>
      </c>
      <c r="J149" s="464">
        <v>0</v>
      </c>
    </row>
    <row r="150" spans="9:10">
      <c r="I150" s="467">
        <v>146</v>
      </c>
      <c r="J150" s="464">
        <v>0</v>
      </c>
    </row>
    <row r="151" spans="9:10">
      <c r="I151" s="467">
        <v>147</v>
      </c>
      <c r="J151" s="464">
        <v>0</v>
      </c>
    </row>
    <row r="152" spans="9:10">
      <c r="I152" s="467">
        <v>148</v>
      </c>
      <c r="J152" s="464">
        <v>0</v>
      </c>
    </row>
    <row r="153" spans="9:10">
      <c r="I153" s="467">
        <v>149</v>
      </c>
      <c r="J153" s="464">
        <v>850000</v>
      </c>
    </row>
    <row r="154" spans="9:10">
      <c r="I154" s="467">
        <v>150</v>
      </c>
      <c r="J154" s="464">
        <v>0</v>
      </c>
    </row>
    <row r="155" spans="9:10">
      <c r="I155" s="467">
        <v>151</v>
      </c>
      <c r="J155" s="464">
        <v>0</v>
      </c>
    </row>
    <row r="156" spans="9:10">
      <c r="I156" s="467">
        <v>152</v>
      </c>
      <c r="J156" s="464">
        <v>0</v>
      </c>
    </row>
    <row r="157" spans="9:10">
      <c r="I157" s="467">
        <v>153</v>
      </c>
      <c r="J157" s="464">
        <v>0</v>
      </c>
    </row>
    <row r="158" spans="9:10">
      <c r="I158" s="467">
        <v>154</v>
      </c>
      <c r="J158" s="464">
        <v>1050000</v>
      </c>
    </row>
    <row r="159" spans="9:10">
      <c r="I159" s="467">
        <v>155</v>
      </c>
      <c r="J159" s="464">
        <v>0</v>
      </c>
    </row>
    <row r="160" spans="9:10">
      <c r="I160" s="467">
        <v>156</v>
      </c>
      <c r="J160" s="464">
        <v>0</v>
      </c>
    </row>
    <row r="161" spans="9:10">
      <c r="I161" s="467">
        <v>157</v>
      </c>
      <c r="J161" s="464">
        <v>0</v>
      </c>
    </row>
    <row r="162" spans="9:10">
      <c r="I162" s="467">
        <v>158</v>
      </c>
      <c r="J162" s="464">
        <v>0</v>
      </c>
    </row>
    <row r="163" spans="9:10">
      <c r="I163" s="467">
        <v>159</v>
      </c>
      <c r="J163" s="464">
        <v>0</v>
      </c>
    </row>
    <row r="164" spans="9:10">
      <c r="I164" s="467">
        <v>160</v>
      </c>
      <c r="J164" s="464">
        <v>0</v>
      </c>
    </row>
    <row r="165" spans="9:10">
      <c r="I165" s="467">
        <v>161</v>
      </c>
      <c r="J165" s="464">
        <v>850000</v>
      </c>
    </row>
    <row r="166" spans="9:10">
      <c r="I166" s="467">
        <v>162</v>
      </c>
      <c r="J166" s="464">
        <v>0</v>
      </c>
    </row>
    <row r="167" spans="9:10">
      <c r="I167" s="467">
        <v>163</v>
      </c>
      <c r="J167" s="464">
        <v>0</v>
      </c>
    </row>
    <row r="168" spans="9:10">
      <c r="I168" s="467">
        <v>164</v>
      </c>
      <c r="J168" s="464">
        <v>0</v>
      </c>
    </row>
    <row r="169" spans="9:10">
      <c r="I169" s="467">
        <v>165</v>
      </c>
      <c r="J169" s="464">
        <v>0</v>
      </c>
    </row>
    <row r="170" spans="9:10">
      <c r="I170" s="467">
        <v>166</v>
      </c>
      <c r="J170" s="464">
        <v>0</v>
      </c>
    </row>
    <row r="171" spans="9:10">
      <c r="I171" s="467">
        <v>167</v>
      </c>
      <c r="J171" s="464">
        <v>0</v>
      </c>
    </row>
    <row r="172" spans="9:10">
      <c r="I172" s="467">
        <v>168</v>
      </c>
      <c r="J172" s="464">
        <v>0</v>
      </c>
    </row>
    <row r="173" spans="9:10">
      <c r="I173" s="467">
        <v>169</v>
      </c>
      <c r="J173" s="464">
        <v>0</v>
      </c>
    </row>
    <row r="174" spans="9:10">
      <c r="I174" s="467">
        <v>170</v>
      </c>
      <c r="J174" s="464">
        <v>0</v>
      </c>
    </row>
    <row r="175" spans="9:10">
      <c r="I175" s="467">
        <v>171</v>
      </c>
      <c r="J175" s="464">
        <v>0</v>
      </c>
    </row>
    <row r="176" spans="9:10">
      <c r="I176" s="467">
        <v>172</v>
      </c>
      <c r="J176" s="464">
        <v>850000</v>
      </c>
    </row>
    <row r="177" spans="9:10">
      <c r="I177" s="467">
        <v>173</v>
      </c>
      <c r="J177" s="464">
        <v>0</v>
      </c>
    </row>
    <row r="178" spans="9:10">
      <c r="I178" s="467">
        <v>174</v>
      </c>
      <c r="J178" s="464">
        <v>0</v>
      </c>
    </row>
    <row r="179" spans="9:10">
      <c r="I179" s="467">
        <v>175</v>
      </c>
      <c r="J179" s="464">
        <v>0</v>
      </c>
    </row>
    <row r="180" spans="9:10">
      <c r="I180" s="467">
        <v>176</v>
      </c>
      <c r="J180" s="464">
        <v>0</v>
      </c>
    </row>
    <row r="181" spans="9:10">
      <c r="I181" s="467">
        <v>177</v>
      </c>
      <c r="J181" s="464">
        <v>0</v>
      </c>
    </row>
    <row r="182" spans="9:10">
      <c r="I182" s="467">
        <v>178</v>
      </c>
      <c r="J182" s="464">
        <v>0</v>
      </c>
    </row>
    <row r="183" spans="9:10">
      <c r="I183" s="467">
        <v>179</v>
      </c>
      <c r="J183" s="464">
        <v>0</v>
      </c>
    </row>
    <row r="184" spans="9:10">
      <c r="I184" s="467">
        <v>180</v>
      </c>
      <c r="J184" s="464">
        <v>0</v>
      </c>
    </row>
    <row r="185" spans="9:10">
      <c r="I185" s="467">
        <v>181</v>
      </c>
      <c r="J185" s="464">
        <v>0</v>
      </c>
    </row>
    <row r="186" spans="9:10">
      <c r="I186" s="467">
        <v>182</v>
      </c>
      <c r="J186" s="464">
        <v>0</v>
      </c>
    </row>
    <row r="187" spans="9:10">
      <c r="I187" s="467">
        <v>183</v>
      </c>
      <c r="J187" s="464">
        <v>0</v>
      </c>
    </row>
    <row r="188" spans="9:10">
      <c r="I188" s="467">
        <v>184</v>
      </c>
      <c r="J188" s="464">
        <v>0</v>
      </c>
    </row>
    <row r="189" spans="9:10">
      <c r="I189" s="467">
        <v>185</v>
      </c>
      <c r="J189" s="464">
        <v>0</v>
      </c>
    </row>
    <row r="190" spans="9:10">
      <c r="I190" s="467">
        <v>186</v>
      </c>
      <c r="J190" s="464">
        <v>0</v>
      </c>
    </row>
    <row r="191" spans="9:10">
      <c r="I191" s="467">
        <v>187</v>
      </c>
      <c r="J191" s="464">
        <v>0</v>
      </c>
    </row>
    <row r="192" spans="9:10">
      <c r="I192" s="467">
        <v>188</v>
      </c>
      <c r="J192" s="464">
        <v>0</v>
      </c>
    </row>
    <row r="193" spans="9:10">
      <c r="I193" s="467">
        <v>189</v>
      </c>
      <c r="J193" s="464">
        <v>0</v>
      </c>
    </row>
    <row r="194" spans="9:10">
      <c r="I194" s="467">
        <v>190</v>
      </c>
      <c r="J194" s="464">
        <v>0</v>
      </c>
    </row>
    <row r="195" spans="9:10">
      <c r="I195" s="467">
        <v>191</v>
      </c>
      <c r="J195" s="464">
        <v>0</v>
      </c>
    </row>
    <row r="196" spans="9:10">
      <c r="I196" s="467">
        <v>192</v>
      </c>
      <c r="J196" s="464">
        <v>0</v>
      </c>
    </row>
    <row r="197" spans="9:10">
      <c r="I197" s="467">
        <v>193</v>
      </c>
      <c r="J197" s="464">
        <v>0</v>
      </c>
    </row>
    <row r="198" spans="9:10">
      <c r="I198" s="467">
        <v>194</v>
      </c>
      <c r="J198" s="464">
        <v>0</v>
      </c>
    </row>
    <row r="199" spans="9:10">
      <c r="I199" s="467">
        <v>195</v>
      </c>
      <c r="J199" s="464">
        <v>0</v>
      </c>
    </row>
    <row r="200" spans="9:10">
      <c r="I200" s="467">
        <v>196</v>
      </c>
      <c r="J200" s="464">
        <v>0</v>
      </c>
    </row>
    <row r="201" spans="9:10">
      <c r="I201" s="467">
        <v>197</v>
      </c>
      <c r="J201" s="464">
        <v>0</v>
      </c>
    </row>
    <row r="202" spans="9:10">
      <c r="I202" s="467">
        <v>198</v>
      </c>
      <c r="J202" s="464">
        <v>0</v>
      </c>
    </row>
    <row r="203" spans="9:10">
      <c r="I203" s="467">
        <v>199</v>
      </c>
      <c r="J203" s="464">
        <v>0</v>
      </c>
    </row>
    <row r="204" spans="9:10">
      <c r="I204" s="467">
        <v>200</v>
      </c>
      <c r="J204" s="464">
        <v>0</v>
      </c>
    </row>
    <row r="205" spans="9:10">
      <c r="I205" s="467">
        <v>201</v>
      </c>
      <c r="J205" s="464">
        <v>0</v>
      </c>
    </row>
    <row r="206" spans="9:10">
      <c r="I206" s="467">
        <v>202</v>
      </c>
      <c r="J206" s="464">
        <v>0</v>
      </c>
    </row>
    <row r="207" spans="9:10">
      <c r="I207" s="467">
        <v>203</v>
      </c>
      <c r="J207" s="464">
        <v>0</v>
      </c>
    </row>
    <row r="208" spans="9:10">
      <c r="I208" s="467">
        <v>204</v>
      </c>
      <c r="J208" s="464">
        <v>0</v>
      </c>
    </row>
    <row r="209" spans="9:10">
      <c r="I209" s="467">
        <v>205</v>
      </c>
      <c r="J209" s="464">
        <v>0</v>
      </c>
    </row>
    <row r="210" spans="9:10">
      <c r="I210" s="467">
        <v>206</v>
      </c>
      <c r="J210" s="464">
        <v>0</v>
      </c>
    </row>
    <row r="211" spans="9:10">
      <c r="I211" s="467">
        <v>207</v>
      </c>
      <c r="J211" s="464">
        <v>0</v>
      </c>
    </row>
    <row r="212" spans="9:10">
      <c r="I212" s="467">
        <v>208</v>
      </c>
      <c r="J212" s="464">
        <v>0</v>
      </c>
    </row>
    <row r="213" spans="9:10">
      <c r="I213" s="467">
        <v>209</v>
      </c>
      <c r="J213" s="464">
        <v>0</v>
      </c>
    </row>
    <row r="214" spans="9:10">
      <c r="I214" s="467">
        <v>210</v>
      </c>
      <c r="J214" s="464">
        <v>0</v>
      </c>
    </row>
    <row r="215" spans="9:10">
      <c r="I215" s="467">
        <v>211</v>
      </c>
      <c r="J215" s="464">
        <v>0</v>
      </c>
    </row>
    <row r="216" spans="9:10">
      <c r="I216" s="467">
        <v>212</v>
      </c>
      <c r="J216" s="464">
        <v>0</v>
      </c>
    </row>
    <row r="217" spans="9:10">
      <c r="I217" s="467">
        <v>213</v>
      </c>
      <c r="J217" s="464">
        <v>0</v>
      </c>
    </row>
    <row r="218" spans="9:10">
      <c r="I218" s="467">
        <v>214</v>
      </c>
      <c r="J218" s="464">
        <v>0</v>
      </c>
    </row>
    <row r="219" spans="9:10">
      <c r="I219" s="467">
        <v>215</v>
      </c>
      <c r="J219" s="464">
        <v>0</v>
      </c>
    </row>
    <row r="220" spans="9:10">
      <c r="I220" s="467">
        <v>216</v>
      </c>
      <c r="J220" s="464">
        <v>0</v>
      </c>
    </row>
    <row r="221" spans="9:10">
      <c r="I221" s="467">
        <v>217</v>
      </c>
      <c r="J221" s="464">
        <v>0</v>
      </c>
    </row>
    <row r="222" spans="9:10">
      <c r="I222" s="467">
        <v>218</v>
      </c>
      <c r="J222" s="464">
        <v>0</v>
      </c>
    </row>
    <row r="223" spans="9:10">
      <c r="I223" s="467">
        <v>219</v>
      </c>
      <c r="J223" s="464">
        <v>0</v>
      </c>
    </row>
    <row r="224" spans="9:10">
      <c r="I224" s="467">
        <v>220</v>
      </c>
      <c r="J224" s="464">
        <v>0</v>
      </c>
    </row>
    <row r="225" spans="9:10">
      <c r="I225" s="467">
        <v>221</v>
      </c>
      <c r="J225" s="464">
        <v>0</v>
      </c>
    </row>
    <row r="226" spans="9:10">
      <c r="I226" s="467">
        <v>222</v>
      </c>
      <c r="J226" s="464">
        <v>0</v>
      </c>
    </row>
    <row r="227" spans="9:10">
      <c r="I227" s="467">
        <v>223</v>
      </c>
      <c r="J227" s="464">
        <v>0</v>
      </c>
    </row>
    <row r="228" spans="9:10">
      <c r="I228" s="467">
        <v>224</v>
      </c>
      <c r="J228" s="464">
        <v>0</v>
      </c>
    </row>
    <row r="229" spans="9:10">
      <c r="I229" s="467">
        <v>225</v>
      </c>
      <c r="J229" s="464">
        <v>0</v>
      </c>
    </row>
    <row r="230" spans="9:10">
      <c r="I230" s="467">
        <v>226</v>
      </c>
      <c r="J230" s="464">
        <v>0</v>
      </c>
    </row>
    <row r="231" spans="9:10">
      <c r="I231" s="467">
        <v>227</v>
      </c>
      <c r="J231" s="464">
        <v>0</v>
      </c>
    </row>
    <row r="232" spans="9:10">
      <c r="I232" s="467">
        <v>228</v>
      </c>
      <c r="J232" s="464">
        <v>0</v>
      </c>
    </row>
    <row r="233" spans="9:10">
      <c r="I233" s="467">
        <v>229</v>
      </c>
      <c r="J233" s="464">
        <v>0</v>
      </c>
    </row>
    <row r="234" spans="9:10">
      <c r="I234" s="467">
        <v>230</v>
      </c>
      <c r="J234" s="464">
        <v>0</v>
      </c>
    </row>
    <row r="235" spans="9:10">
      <c r="I235" s="467">
        <v>231</v>
      </c>
      <c r="J235" s="464">
        <v>0</v>
      </c>
    </row>
    <row r="236" spans="9:10">
      <c r="I236" s="467">
        <v>232</v>
      </c>
      <c r="J236" s="464">
        <v>0</v>
      </c>
    </row>
    <row r="237" spans="9:10">
      <c r="I237" s="467">
        <v>233</v>
      </c>
      <c r="J237" s="464">
        <v>0</v>
      </c>
    </row>
    <row r="238" spans="9:10">
      <c r="I238" s="467">
        <v>234</v>
      </c>
      <c r="J238" s="464">
        <v>0</v>
      </c>
    </row>
    <row r="239" spans="9:10">
      <c r="I239" s="467">
        <v>235</v>
      </c>
      <c r="J239" s="464">
        <v>0</v>
      </c>
    </row>
    <row r="240" spans="9:10">
      <c r="I240" s="467">
        <v>236</v>
      </c>
      <c r="J240" s="464">
        <v>0</v>
      </c>
    </row>
    <row r="241" spans="9:10">
      <c r="I241" s="467">
        <v>237</v>
      </c>
      <c r="J241" s="464">
        <v>0</v>
      </c>
    </row>
    <row r="242" spans="9:10">
      <c r="I242" s="467">
        <v>238</v>
      </c>
      <c r="J242" s="464">
        <v>0</v>
      </c>
    </row>
    <row r="243" spans="9:10">
      <c r="I243" s="467">
        <v>239</v>
      </c>
      <c r="J243" s="464">
        <v>0</v>
      </c>
    </row>
    <row r="244" spans="9:10">
      <c r="I244" s="467">
        <v>240</v>
      </c>
      <c r="J244" s="464">
        <v>0</v>
      </c>
    </row>
    <row r="245" spans="9:10">
      <c r="I245" s="467">
        <v>241</v>
      </c>
      <c r="J245" s="464">
        <v>0</v>
      </c>
    </row>
    <row r="246" spans="9:10">
      <c r="I246" s="467">
        <v>242</v>
      </c>
      <c r="J246" s="464">
        <v>0</v>
      </c>
    </row>
    <row r="247" spans="9:10">
      <c r="I247" s="467">
        <v>243</v>
      </c>
      <c r="J247" s="464">
        <v>0</v>
      </c>
    </row>
    <row r="248" spans="9:10">
      <c r="I248" s="467">
        <v>244</v>
      </c>
      <c r="J248" s="464">
        <v>0</v>
      </c>
    </row>
    <row r="249" spans="9:10">
      <c r="I249" s="467">
        <v>245</v>
      </c>
      <c r="J249" s="464">
        <v>0</v>
      </c>
    </row>
    <row r="250" spans="9:10">
      <c r="I250" s="467">
        <v>246</v>
      </c>
      <c r="J250" s="464">
        <v>0</v>
      </c>
    </row>
    <row r="251" spans="9:10">
      <c r="I251" s="467">
        <v>247</v>
      </c>
      <c r="J251" s="464">
        <v>0</v>
      </c>
    </row>
    <row r="252" spans="9:10">
      <c r="I252" s="467">
        <v>248</v>
      </c>
      <c r="J252" s="464">
        <v>0</v>
      </c>
    </row>
    <row r="253" spans="9:10">
      <c r="I253" s="467">
        <v>249</v>
      </c>
      <c r="J253" s="464">
        <v>0</v>
      </c>
    </row>
    <row r="254" spans="9:10">
      <c r="I254" s="467">
        <v>250</v>
      </c>
      <c r="J254" s="464">
        <v>0</v>
      </c>
    </row>
    <row r="255" spans="9:10">
      <c r="I255" s="467">
        <v>251</v>
      </c>
      <c r="J255" s="464">
        <v>0</v>
      </c>
    </row>
    <row r="256" spans="9:10">
      <c r="I256" s="467">
        <v>252</v>
      </c>
      <c r="J256" s="464">
        <v>0</v>
      </c>
    </row>
    <row r="257" spans="9:10">
      <c r="I257" s="467">
        <v>253</v>
      </c>
      <c r="J257" s="464">
        <v>0</v>
      </c>
    </row>
    <row r="258" spans="9:10">
      <c r="I258" s="467">
        <v>254</v>
      </c>
      <c r="J258" s="464">
        <v>0</v>
      </c>
    </row>
    <row r="259" spans="9:10">
      <c r="I259" s="467">
        <v>255</v>
      </c>
      <c r="J259" s="464">
        <v>0</v>
      </c>
    </row>
    <row r="260" spans="9:10">
      <c r="I260" s="467">
        <v>256</v>
      </c>
      <c r="J260" s="464">
        <v>0</v>
      </c>
    </row>
    <row r="261" spans="9:10">
      <c r="I261" s="467">
        <v>257</v>
      </c>
      <c r="J261" s="464">
        <v>0</v>
      </c>
    </row>
    <row r="262" spans="9:10">
      <c r="I262" s="467">
        <v>258</v>
      </c>
      <c r="J262" s="464">
        <v>0</v>
      </c>
    </row>
    <row r="263" spans="9:10">
      <c r="I263" s="467">
        <v>259</v>
      </c>
      <c r="J263" s="464">
        <v>0</v>
      </c>
    </row>
    <row r="264" spans="9:10">
      <c r="I264" s="467">
        <v>260</v>
      </c>
      <c r="J264" s="464">
        <v>0</v>
      </c>
    </row>
    <row r="265" spans="9:10">
      <c r="I265" s="467">
        <v>261</v>
      </c>
      <c r="J265" s="464">
        <v>0</v>
      </c>
    </row>
    <row r="266" spans="9:10">
      <c r="I266" s="467">
        <v>262</v>
      </c>
      <c r="J266" s="464">
        <v>0</v>
      </c>
    </row>
    <row r="267" spans="9:10">
      <c r="I267" s="467">
        <v>263</v>
      </c>
      <c r="J267" s="464">
        <v>0</v>
      </c>
    </row>
    <row r="268" spans="9:10">
      <c r="I268" s="467">
        <v>264</v>
      </c>
      <c r="J268" s="464">
        <v>0</v>
      </c>
    </row>
    <row r="269" spans="9:10">
      <c r="I269" s="467">
        <v>265</v>
      </c>
      <c r="J269" s="464">
        <v>0</v>
      </c>
    </row>
    <row r="270" spans="9:10">
      <c r="I270" s="467">
        <v>266</v>
      </c>
      <c r="J270" s="464">
        <v>0</v>
      </c>
    </row>
    <row r="271" spans="9:10">
      <c r="I271" s="467">
        <v>267</v>
      </c>
      <c r="J271" s="464">
        <v>0</v>
      </c>
    </row>
    <row r="272" spans="9:10">
      <c r="I272" s="467">
        <v>268</v>
      </c>
      <c r="J272" s="464">
        <v>0</v>
      </c>
    </row>
    <row r="273" spans="9:10">
      <c r="I273" s="467">
        <v>269</v>
      </c>
      <c r="J273" s="464">
        <v>0</v>
      </c>
    </row>
    <row r="274" spans="9:10">
      <c r="I274" s="467">
        <v>270</v>
      </c>
      <c r="J274" s="464">
        <v>0</v>
      </c>
    </row>
    <row r="275" spans="9:10">
      <c r="I275" s="467">
        <v>271</v>
      </c>
      <c r="J275" s="464">
        <v>0</v>
      </c>
    </row>
    <row r="276" spans="9:10">
      <c r="I276" s="467">
        <v>272</v>
      </c>
      <c r="J276" s="464">
        <v>0</v>
      </c>
    </row>
    <row r="277" spans="9:10">
      <c r="I277" s="467">
        <v>273</v>
      </c>
      <c r="J277" s="464">
        <v>0</v>
      </c>
    </row>
    <row r="278" spans="9:10">
      <c r="I278" s="467">
        <v>274</v>
      </c>
      <c r="J278" s="464">
        <v>0</v>
      </c>
    </row>
    <row r="279" spans="9:10">
      <c r="I279" s="467">
        <v>275</v>
      </c>
      <c r="J279" s="464">
        <v>0</v>
      </c>
    </row>
    <row r="280" spans="9:10">
      <c r="I280" s="467">
        <v>276</v>
      </c>
      <c r="J280" s="464">
        <v>0</v>
      </c>
    </row>
    <row r="281" spans="9:10">
      <c r="I281" s="467">
        <v>277</v>
      </c>
      <c r="J281" s="464">
        <v>0</v>
      </c>
    </row>
    <row r="282" spans="9:10">
      <c r="I282" s="467">
        <v>278</v>
      </c>
      <c r="J282" s="464">
        <v>0</v>
      </c>
    </row>
    <row r="283" spans="9:10">
      <c r="I283" s="467">
        <v>279</v>
      </c>
      <c r="J283" s="464">
        <v>0</v>
      </c>
    </row>
    <row r="284" spans="9:10">
      <c r="I284" s="467">
        <v>280</v>
      </c>
      <c r="J284" s="464">
        <v>0</v>
      </c>
    </row>
    <row r="285" spans="9:10">
      <c r="I285" s="467">
        <v>281</v>
      </c>
      <c r="J285" s="464">
        <v>0</v>
      </c>
    </row>
    <row r="286" spans="9:10">
      <c r="I286" s="467">
        <v>282</v>
      </c>
      <c r="J286" s="464">
        <v>0</v>
      </c>
    </row>
    <row r="287" spans="9:10">
      <c r="I287" s="467">
        <v>283</v>
      </c>
      <c r="J287" s="464">
        <v>0</v>
      </c>
    </row>
    <row r="288" spans="9:10">
      <c r="I288" s="467">
        <v>284</v>
      </c>
      <c r="J288" s="464">
        <v>0</v>
      </c>
    </row>
    <row r="289" spans="9:10">
      <c r="I289" s="467">
        <v>285</v>
      </c>
      <c r="J289" s="464">
        <v>0</v>
      </c>
    </row>
    <row r="290" spans="9:10">
      <c r="I290" s="467">
        <v>286</v>
      </c>
      <c r="J290" s="464">
        <v>0</v>
      </c>
    </row>
    <row r="291" spans="9:10">
      <c r="I291" s="467">
        <v>287</v>
      </c>
      <c r="J291" s="464">
        <v>0</v>
      </c>
    </row>
    <row r="292" spans="9:10">
      <c r="I292" s="467">
        <v>288</v>
      </c>
      <c r="J292" s="464">
        <v>0</v>
      </c>
    </row>
    <row r="293" spans="9:10">
      <c r="I293" s="467">
        <v>289</v>
      </c>
      <c r="J293" s="464">
        <v>0</v>
      </c>
    </row>
    <row r="294" spans="9:10">
      <c r="I294" s="467">
        <v>290</v>
      </c>
      <c r="J294" s="464">
        <v>0</v>
      </c>
    </row>
    <row r="295" spans="9:10">
      <c r="I295" s="467">
        <v>291</v>
      </c>
      <c r="J295" s="464">
        <v>0</v>
      </c>
    </row>
    <row r="296" spans="9:10">
      <c r="I296" s="467">
        <v>292</v>
      </c>
      <c r="J296" s="464">
        <v>0</v>
      </c>
    </row>
    <row r="297" spans="9:10">
      <c r="I297" s="467">
        <v>293</v>
      </c>
      <c r="J297" s="464">
        <v>0</v>
      </c>
    </row>
    <row r="298" spans="9:10">
      <c r="I298" s="467">
        <v>294</v>
      </c>
      <c r="J298" s="464">
        <v>0</v>
      </c>
    </row>
    <row r="299" spans="9:10">
      <c r="I299" s="467">
        <v>295</v>
      </c>
      <c r="J299" s="464">
        <v>0</v>
      </c>
    </row>
    <row r="300" spans="9:10">
      <c r="I300" s="467">
        <v>296</v>
      </c>
      <c r="J300" s="464">
        <v>0</v>
      </c>
    </row>
    <row r="301" spans="9:10">
      <c r="I301" s="467">
        <v>297</v>
      </c>
      <c r="J301" s="464">
        <v>0</v>
      </c>
    </row>
    <row r="302" spans="9:10">
      <c r="I302" s="467">
        <v>298</v>
      </c>
      <c r="J302" s="464">
        <v>0</v>
      </c>
    </row>
    <row r="303" spans="9:10">
      <c r="I303" s="467">
        <v>299</v>
      </c>
      <c r="J303" s="464">
        <v>0</v>
      </c>
    </row>
    <row r="304" spans="9:10">
      <c r="I304" s="467">
        <v>300</v>
      </c>
      <c r="J304" s="464">
        <v>0</v>
      </c>
    </row>
    <row r="305" spans="9:10">
      <c r="I305" s="467">
        <v>301</v>
      </c>
      <c r="J305" s="464">
        <v>0</v>
      </c>
    </row>
    <row r="306" spans="9:10">
      <c r="I306" s="467">
        <v>302</v>
      </c>
      <c r="J306" s="464">
        <v>0</v>
      </c>
    </row>
    <row r="307" spans="9:10">
      <c r="I307" s="467">
        <v>303</v>
      </c>
      <c r="J307" s="464">
        <v>0</v>
      </c>
    </row>
    <row r="308" spans="9:10">
      <c r="I308" s="467">
        <v>304</v>
      </c>
      <c r="J308" s="464">
        <v>0</v>
      </c>
    </row>
    <row r="309" spans="9:10">
      <c r="I309" s="467">
        <v>305</v>
      </c>
      <c r="J309" s="464">
        <v>0</v>
      </c>
    </row>
    <row r="310" spans="9:10">
      <c r="I310" s="467">
        <v>306</v>
      </c>
      <c r="J310" s="464">
        <v>0</v>
      </c>
    </row>
    <row r="311" spans="9:10">
      <c r="I311" s="467">
        <v>307</v>
      </c>
      <c r="J311" s="464">
        <v>0</v>
      </c>
    </row>
    <row r="312" spans="9:10">
      <c r="I312" s="467">
        <v>308</v>
      </c>
      <c r="J312" s="464">
        <v>0</v>
      </c>
    </row>
    <row r="313" spans="9:10">
      <c r="I313" s="467">
        <v>309</v>
      </c>
      <c r="J313" s="464">
        <v>0</v>
      </c>
    </row>
    <row r="314" spans="9:10">
      <c r="I314" s="467">
        <v>310</v>
      </c>
      <c r="J314" s="464">
        <v>0</v>
      </c>
    </row>
    <row r="315" spans="9:10">
      <c r="I315" s="467">
        <v>311</v>
      </c>
      <c r="J315" s="464">
        <v>0</v>
      </c>
    </row>
    <row r="316" spans="9:10">
      <c r="I316" s="467">
        <v>312</v>
      </c>
      <c r="J316" s="464">
        <v>0</v>
      </c>
    </row>
    <row r="317" spans="9:10">
      <c r="I317" s="467">
        <v>313</v>
      </c>
      <c r="J317" s="464">
        <v>0</v>
      </c>
    </row>
    <row r="318" spans="9:10">
      <c r="I318" s="467">
        <v>314</v>
      </c>
      <c r="J318" s="464">
        <v>0</v>
      </c>
    </row>
    <row r="319" spans="9:10">
      <c r="I319" s="467">
        <v>315</v>
      </c>
      <c r="J319" s="464">
        <v>0</v>
      </c>
    </row>
    <row r="320" spans="9:10">
      <c r="I320" s="467">
        <v>316</v>
      </c>
      <c r="J320" s="464">
        <v>0</v>
      </c>
    </row>
    <row r="321" spans="9:10">
      <c r="I321" s="467">
        <v>317</v>
      </c>
      <c r="J321" s="464">
        <v>0</v>
      </c>
    </row>
    <row r="322" spans="9:10">
      <c r="I322" s="467">
        <v>318</v>
      </c>
      <c r="J322" s="464">
        <v>0</v>
      </c>
    </row>
    <row r="323" spans="9:10">
      <c r="I323" s="467">
        <v>319</v>
      </c>
      <c r="J323" s="464">
        <v>0</v>
      </c>
    </row>
    <row r="324" spans="9:10">
      <c r="I324" s="467">
        <v>320</v>
      </c>
      <c r="J324" s="464">
        <v>0</v>
      </c>
    </row>
    <row r="325" spans="9:10">
      <c r="I325" s="467">
        <v>321</v>
      </c>
      <c r="J325" s="464">
        <v>0</v>
      </c>
    </row>
    <row r="326" spans="9:10">
      <c r="I326" s="467">
        <v>322</v>
      </c>
      <c r="J326" s="464">
        <v>0</v>
      </c>
    </row>
    <row r="327" spans="9:10">
      <c r="I327" s="467">
        <v>323</v>
      </c>
      <c r="J327" s="464">
        <v>0</v>
      </c>
    </row>
    <row r="328" spans="9:10">
      <c r="I328" s="467">
        <v>324</v>
      </c>
      <c r="J328" s="464">
        <v>0</v>
      </c>
    </row>
    <row r="329" spans="9:10">
      <c r="I329" s="467">
        <v>325</v>
      </c>
      <c r="J329" s="464">
        <v>0</v>
      </c>
    </row>
    <row r="330" spans="9:10">
      <c r="I330" s="467">
        <v>326</v>
      </c>
      <c r="J330" s="464">
        <v>0</v>
      </c>
    </row>
    <row r="331" spans="9:10">
      <c r="I331" s="467">
        <v>327</v>
      </c>
      <c r="J331" s="464">
        <v>0</v>
      </c>
    </row>
    <row r="332" spans="9:10">
      <c r="I332" s="467">
        <v>328</v>
      </c>
      <c r="J332" s="464">
        <v>0</v>
      </c>
    </row>
    <row r="333" spans="9:10">
      <c r="I333" s="467">
        <v>329</v>
      </c>
      <c r="J333" s="464">
        <v>0</v>
      </c>
    </row>
    <row r="334" spans="9:10">
      <c r="I334" s="467">
        <v>330</v>
      </c>
      <c r="J334" s="464">
        <v>0</v>
      </c>
    </row>
    <row r="335" spans="9:10">
      <c r="I335" s="467">
        <v>331</v>
      </c>
      <c r="J335" s="464">
        <v>0</v>
      </c>
    </row>
    <row r="336" spans="9:10">
      <c r="I336" s="467">
        <v>332</v>
      </c>
      <c r="J336" s="464">
        <v>0</v>
      </c>
    </row>
    <row r="337" spans="9:10">
      <c r="I337" s="467">
        <v>333</v>
      </c>
      <c r="J337" s="464">
        <v>0</v>
      </c>
    </row>
    <row r="338" spans="9:10">
      <c r="I338" s="467">
        <v>334</v>
      </c>
      <c r="J338" s="464">
        <v>0</v>
      </c>
    </row>
    <row r="339" spans="9:10">
      <c r="I339" s="467">
        <v>335</v>
      </c>
      <c r="J339" s="464">
        <v>0</v>
      </c>
    </row>
    <row r="340" spans="9:10">
      <c r="I340" s="467">
        <v>336</v>
      </c>
      <c r="J340" s="464">
        <v>0</v>
      </c>
    </row>
    <row r="341" spans="9:10">
      <c r="I341" s="467">
        <v>337</v>
      </c>
      <c r="J341" s="464">
        <v>0</v>
      </c>
    </row>
    <row r="342" spans="9:10">
      <c r="I342" s="467">
        <v>338</v>
      </c>
      <c r="J342" s="464">
        <v>0</v>
      </c>
    </row>
    <row r="343" spans="9:10">
      <c r="I343" s="467">
        <v>339</v>
      </c>
      <c r="J343" s="464">
        <v>0</v>
      </c>
    </row>
    <row r="344" spans="9:10">
      <c r="I344" s="467">
        <v>340</v>
      </c>
      <c r="J344" s="464">
        <v>0</v>
      </c>
    </row>
    <row r="345" spans="9:10">
      <c r="I345" s="467">
        <v>341</v>
      </c>
      <c r="J345" s="464">
        <v>0</v>
      </c>
    </row>
    <row r="346" spans="9:10">
      <c r="I346" s="467">
        <v>342</v>
      </c>
      <c r="J346" s="464">
        <v>0</v>
      </c>
    </row>
    <row r="347" spans="9:10">
      <c r="I347" s="467">
        <v>343</v>
      </c>
      <c r="J347" s="464">
        <v>0</v>
      </c>
    </row>
    <row r="348" spans="9:10">
      <c r="I348" s="467">
        <v>344</v>
      </c>
      <c r="J348" s="464">
        <v>0</v>
      </c>
    </row>
    <row r="349" spans="9:10">
      <c r="I349" s="467">
        <v>345</v>
      </c>
      <c r="J349" s="464">
        <v>0</v>
      </c>
    </row>
    <row r="350" spans="9:10">
      <c r="I350" s="467">
        <v>346</v>
      </c>
      <c r="J350" s="464">
        <v>0</v>
      </c>
    </row>
    <row r="351" spans="9:10">
      <c r="I351" s="467">
        <v>347</v>
      </c>
      <c r="J351" s="464">
        <v>0</v>
      </c>
    </row>
    <row r="352" spans="9:10">
      <c r="I352" s="467">
        <v>348</v>
      </c>
      <c r="J352" s="464">
        <v>0</v>
      </c>
    </row>
    <row r="353" spans="9:10">
      <c r="I353" s="467">
        <v>349</v>
      </c>
      <c r="J353" s="464">
        <v>0</v>
      </c>
    </row>
    <row r="354" spans="9:10">
      <c r="I354" s="467">
        <v>350</v>
      </c>
      <c r="J354" s="464">
        <v>0</v>
      </c>
    </row>
    <row r="355" spans="9:10">
      <c r="I355" s="467">
        <v>351</v>
      </c>
      <c r="J355" s="464">
        <v>0</v>
      </c>
    </row>
    <row r="356" spans="9:10">
      <c r="I356" s="467">
        <v>352</v>
      </c>
      <c r="J356" s="464">
        <v>0</v>
      </c>
    </row>
    <row r="357" spans="9:10">
      <c r="I357" s="467">
        <v>353</v>
      </c>
      <c r="J357" s="464">
        <v>0</v>
      </c>
    </row>
    <row r="358" spans="9:10">
      <c r="I358" s="467">
        <v>354</v>
      </c>
      <c r="J358" s="464">
        <v>0</v>
      </c>
    </row>
    <row r="359" spans="9:10">
      <c r="I359" s="467">
        <v>355</v>
      </c>
      <c r="J359" s="464">
        <v>0</v>
      </c>
    </row>
    <row r="360" spans="9:10">
      <c r="I360" s="467">
        <v>356</v>
      </c>
      <c r="J360" s="464">
        <v>0</v>
      </c>
    </row>
    <row r="361" spans="9:10">
      <c r="I361" s="467">
        <v>357</v>
      </c>
      <c r="J361" s="464">
        <v>0</v>
      </c>
    </row>
    <row r="362" spans="9:10">
      <c r="I362" s="467">
        <v>358</v>
      </c>
      <c r="J362" s="464">
        <v>0</v>
      </c>
    </row>
    <row r="363" spans="9:10">
      <c r="I363" s="467">
        <v>359</v>
      </c>
      <c r="J363" s="464">
        <v>0</v>
      </c>
    </row>
    <row r="364" spans="9:10">
      <c r="I364" s="467">
        <v>360</v>
      </c>
      <c r="J364" s="464">
        <v>0</v>
      </c>
    </row>
    <row r="365" spans="9:10" ht="16.2" thickBot="1">
      <c r="J365" s="47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AH364"/>
  <sheetViews>
    <sheetView topLeftCell="L4" zoomScaleNormal="100" workbookViewId="0">
      <selection activeCell="S16" sqref="S16"/>
    </sheetView>
  </sheetViews>
  <sheetFormatPr defaultColWidth="11.5546875" defaultRowHeight="14.4"/>
  <cols>
    <col min="2" max="2" width="10.6640625" customWidth="1"/>
    <col min="8" max="8" width="11.5546875" style="210"/>
    <col min="9" max="9" width="11.5546875" style="204"/>
    <col min="10" max="10" width="13.33203125" style="204" bestFit="1" customWidth="1"/>
    <col min="12" max="12" width="19.109375" customWidth="1"/>
    <col min="13" max="13" width="14" customWidth="1"/>
    <col min="18" max="18" width="37" customWidth="1"/>
    <col min="19" max="19" width="12.88671875" style="15" customWidth="1"/>
    <col min="21" max="21" width="23.6640625" customWidth="1"/>
    <col min="22" max="22" width="13.6640625" customWidth="1"/>
    <col min="23" max="24" width="11.6640625" bestFit="1" customWidth="1"/>
    <col min="25" max="25" width="13.6640625" bestFit="1" customWidth="1"/>
    <col min="26" max="28" width="12.33203125" bestFit="1" customWidth="1"/>
    <col min="29" max="29" width="11.33203125" bestFit="1" customWidth="1"/>
    <col min="31" max="31" width="11.5546875" style="158"/>
    <col min="32" max="32" width="11.5546875" style="430"/>
    <col min="33" max="33" width="15" style="15" bestFit="1" customWidth="1"/>
    <col min="34" max="34" width="14.109375" style="15" bestFit="1" customWidth="1"/>
  </cols>
  <sheetData>
    <row r="1" spans="1:34" ht="15" thickBot="1">
      <c r="A1" s="169"/>
      <c r="B1" s="170"/>
      <c r="C1" s="170"/>
      <c r="D1" s="170"/>
      <c r="E1" s="170"/>
      <c r="F1" s="170"/>
      <c r="G1" s="170"/>
      <c r="H1" s="205"/>
      <c r="I1" s="200"/>
      <c r="J1" s="200"/>
      <c r="K1" s="170"/>
      <c r="L1" s="170"/>
      <c r="M1" s="170"/>
      <c r="N1" s="170"/>
      <c r="O1" s="171" t="s">
        <v>101</v>
      </c>
      <c r="P1" s="172">
        <f ca="1">TODAY()</f>
        <v>43728</v>
      </c>
      <c r="Q1" s="27"/>
      <c r="R1" s="54" t="s">
        <v>101</v>
      </c>
      <c r="S1" s="383">
        <f ca="1">TODAY()</f>
        <v>43728</v>
      </c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427"/>
      <c r="AG1" s="422"/>
      <c r="AH1" s="423"/>
    </row>
    <row r="2" spans="1:34" ht="17.399999999999999">
      <c r="A2" s="173"/>
      <c r="B2" s="106" t="s">
        <v>0</v>
      </c>
      <c r="C2" s="106"/>
      <c r="D2" s="106" t="s">
        <v>1</v>
      </c>
      <c r="E2" s="174" t="s">
        <v>2</v>
      </c>
      <c r="F2" s="174"/>
      <c r="G2" s="175" t="s">
        <v>3</v>
      </c>
      <c r="H2" s="206" t="s">
        <v>4</v>
      </c>
      <c r="I2" s="201" t="s">
        <v>361</v>
      </c>
      <c r="J2" s="201"/>
      <c r="K2" s="174"/>
      <c r="L2" s="174"/>
      <c r="M2" s="174"/>
      <c r="N2" s="175"/>
      <c r="O2" s="174" t="s">
        <v>42</v>
      </c>
      <c r="P2" s="176"/>
      <c r="Q2" s="27"/>
      <c r="R2" s="54"/>
      <c r="S2" s="383"/>
      <c r="T2" s="27"/>
      <c r="U2" s="196"/>
      <c r="V2" s="237"/>
      <c r="W2" s="237"/>
      <c r="X2" s="237"/>
      <c r="Y2" s="238" t="s">
        <v>44</v>
      </c>
      <c r="Z2" s="497" t="s">
        <v>107</v>
      </c>
      <c r="AA2" s="497"/>
      <c r="AB2" s="497"/>
      <c r="AC2" s="498"/>
      <c r="AD2" s="27"/>
      <c r="AE2" s="27"/>
      <c r="AF2" s="428"/>
      <c r="AG2" s="425" t="s">
        <v>443</v>
      </c>
      <c r="AH2" s="426" t="s">
        <v>444</v>
      </c>
    </row>
    <row r="3" spans="1:34" ht="31.8" thickBot="1">
      <c r="A3" s="177" t="s">
        <v>320</v>
      </c>
      <c r="B3" s="174" t="s">
        <v>5</v>
      </c>
      <c r="C3" s="174" t="s">
        <v>103</v>
      </c>
      <c r="D3" s="174" t="s">
        <v>5</v>
      </c>
      <c r="E3" s="174" t="s">
        <v>9</v>
      </c>
      <c r="F3" s="174" t="s">
        <v>10</v>
      </c>
      <c r="G3" s="174" t="s">
        <v>11</v>
      </c>
      <c r="H3" s="207" t="s">
        <v>11</v>
      </c>
      <c r="I3" s="201" t="s">
        <v>360</v>
      </c>
      <c r="J3" s="201" t="s">
        <v>362</v>
      </c>
      <c r="K3" s="178" t="s">
        <v>47</v>
      </c>
      <c r="L3" s="178" t="s">
        <v>321</v>
      </c>
      <c r="M3" s="178" t="s">
        <v>322</v>
      </c>
      <c r="N3" s="178" t="s">
        <v>24</v>
      </c>
      <c r="O3" s="178" t="s">
        <v>43</v>
      </c>
      <c r="P3" s="179" t="s">
        <v>30</v>
      </c>
      <c r="Q3" s="27"/>
      <c r="R3" s="27"/>
      <c r="S3" s="28"/>
      <c r="T3" s="27"/>
      <c r="U3" s="197"/>
      <c r="V3" s="239" t="s">
        <v>324</v>
      </c>
      <c r="W3" s="239" t="s">
        <v>399</v>
      </c>
      <c r="X3" s="239" t="s">
        <v>325</v>
      </c>
      <c r="Y3" s="240" t="s">
        <v>326</v>
      </c>
      <c r="Z3" s="241" t="s">
        <v>327</v>
      </c>
      <c r="AA3" s="241" t="s">
        <v>328</v>
      </c>
      <c r="AB3" s="241" t="s">
        <v>329</v>
      </c>
      <c r="AC3" s="242" t="s">
        <v>330</v>
      </c>
      <c r="AD3" s="27"/>
      <c r="AE3" s="27"/>
      <c r="AF3" s="445" t="s">
        <v>104</v>
      </c>
      <c r="AG3" s="446" t="s">
        <v>451</v>
      </c>
      <c r="AH3" s="447" t="s">
        <v>452</v>
      </c>
    </row>
    <row r="4" spans="1:34" ht="16.2" thickBot="1">
      <c r="A4" s="180">
        <f>'Pool Cut'!A8</f>
        <v>1</v>
      </c>
      <c r="B4" s="42">
        <f>'Pool Cut'!F8</f>
        <v>2008</v>
      </c>
      <c r="C4" s="42">
        <f ca="1">YEAR(TODAY())-B4</f>
        <v>11</v>
      </c>
      <c r="D4" s="42">
        <f>'Pool Cut'!G8</f>
        <v>2018</v>
      </c>
      <c r="E4" s="42">
        <f>'Pool Cut'!H8</f>
        <v>1800</v>
      </c>
      <c r="F4" s="42">
        <f>'Pool Cut'!I8</f>
        <v>1400</v>
      </c>
      <c r="G4" s="42">
        <f>'Pool Cut'!J8</f>
        <v>22171</v>
      </c>
      <c r="H4" s="208">
        <f>'Pool Cut'!K8</f>
        <v>8665</v>
      </c>
      <c r="I4" s="202">
        <f>'Pool Cut'!M8</f>
        <v>9.25</v>
      </c>
      <c r="J4" s="202">
        <f>'Pool Cut'!N8</f>
        <v>3.9859</v>
      </c>
      <c r="K4" s="181">
        <f>'Pool Cut'!P8</f>
        <v>45017</v>
      </c>
      <c r="L4" s="134">
        <f ca="1">ROUND((K4-$S$1)/30,0)</f>
        <v>43</v>
      </c>
      <c r="M4" s="182" t="s">
        <v>323</v>
      </c>
      <c r="N4" s="183">
        <f>'Pool Cut'!R8</f>
        <v>11500</v>
      </c>
      <c r="O4" s="183">
        <f>'Pool Cut'!S8</f>
        <v>4750</v>
      </c>
      <c r="P4" s="184">
        <f>'Pool Cut'!T8</f>
        <v>325</v>
      </c>
      <c r="Q4" s="27"/>
      <c r="R4" s="319" t="s">
        <v>333</v>
      </c>
      <c r="S4" s="438">
        <v>30</v>
      </c>
      <c r="T4" s="27"/>
      <c r="U4" s="198" t="s">
        <v>331</v>
      </c>
      <c r="V4" s="187" t="s">
        <v>332</v>
      </c>
      <c r="W4" s="187" t="s">
        <v>332</v>
      </c>
      <c r="X4" s="187" t="s">
        <v>332</v>
      </c>
      <c r="Y4" s="188" t="s">
        <v>332</v>
      </c>
      <c r="Z4" s="187" t="s">
        <v>332</v>
      </c>
      <c r="AA4" s="187" t="s">
        <v>332</v>
      </c>
      <c r="AB4" s="187" t="s">
        <v>332</v>
      </c>
      <c r="AC4" s="189" t="s">
        <v>332</v>
      </c>
      <c r="AD4" s="27"/>
      <c r="AE4" s="27"/>
      <c r="AF4" s="427">
        <v>0</v>
      </c>
      <c r="AG4" s="379">
        <f>Class_A_Bal</f>
        <v>107902000</v>
      </c>
      <c r="AH4" s="381">
        <f>Class_B_Bal</f>
        <v>16185300</v>
      </c>
    </row>
    <row r="5" spans="1:34" ht="16.2" thickBot="1">
      <c r="A5" s="180">
        <f>'Pool Cut'!A9</f>
        <v>2</v>
      </c>
      <c r="B5" s="42">
        <f>'Pool Cut'!F9</f>
        <v>2004</v>
      </c>
      <c r="C5" s="42">
        <f t="shared" ref="C5:C28" ca="1" si="0">YEAR(TODAY())-B5</f>
        <v>15</v>
      </c>
      <c r="D5" s="42">
        <f>'Pool Cut'!G9</f>
        <v>2019</v>
      </c>
      <c r="E5" s="42">
        <f>'Pool Cut'!H9</f>
        <v>2500</v>
      </c>
      <c r="F5" s="42">
        <f>'Pool Cut'!I9</f>
        <v>1900</v>
      </c>
      <c r="G5" s="42">
        <f>'Pool Cut'!J9</f>
        <v>33400</v>
      </c>
      <c r="H5" s="208">
        <f>'Pool Cut'!K9</f>
        <v>10600</v>
      </c>
      <c r="I5" s="202">
        <f>'Pool Cut'!M9</f>
        <v>7</v>
      </c>
      <c r="J5" s="202">
        <f>'Pool Cut'!N9</f>
        <v>4.8760000000000003</v>
      </c>
      <c r="K5" s="181">
        <f>'Pool Cut'!P9</f>
        <v>45107</v>
      </c>
      <c r="L5" s="134">
        <f t="shared" ref="L5:L28" ca="1" si="1">ROUND((K5-$S$1)/30,0)</f>
        <v>46</v>
      </c>
      <c r="M5" s="182" t="s">
        <v>323</v>
      </c>
      <c r="N5" s="183">
        <f>'Pool Cut'!R9</f>
        <v>10500</v>
      </c>
      <c r="O5" s="183">
        <f>'Pool Cut'!S9</f>
        <v>5250</v>
      </c>
      <c r="P5" s="184">
        <f>'Pool Cut'!T9</f>
        <v>350</v>
      </c>
      <c r="Q5" s="27"/>
      <c r="R5" s="319" t="s">
        <v>334</v>
      </c>
      <c r="S5" s="438">
        <v>16</v>
      </c>
      <c r="T5" s="27"/>
      <c r="U5" s="185" t="s">
        <v>63</v>
      </c>
      <c r="V5" s="232">
        <v>-5.0000000000000001E-3</v>
      </c>
      <c r="W5" s="233">
        <v>0</v>
      </c>
      <c r="X5" s="234">
        <v>1</v>
      </c>
      <c r="Y5" s="390">
        <v>0.99</v>
      </c>
      <c r="Z5" s="235">
        <v>2656.3364692861096</v>
      </c>
      <c r="AA5" s="235">
        <v>1436.1300075585789</v>
      </c>
      <c r="AB5" s="235">
        <v>1144.1647597254005</v>
      </c>
      <c r="AC5" s="236">
        <v>1015.2284263959391</v>
      </c>
      <c r="AD5" s="27"/>
      <c r="AE5" s="27"/>
      <c r="AF5" s="429">
        <v>1</v>
      </c>
      <c r="AG5" s="431">
        <v>107600542.81452705</v>
      </c>
      <c r="AH5" s="424">
        <v>16201320.351492612</v>
      </c>
    </row>
    <row r="6" spans="1:34" ht="16.2" thickBot="1">
      <c r="A6" s="180">
        <f>'Pool Cut'!A10</f>
        <v>5</v>
      </c>
      <c r="B6" s="42">
        <f>'Pool Cut'!F25</f>
        <v>2000</v>
      </c>
      <c r="C6" s="42">
        <f t="shared" ca="1" si="0"/>
        <v>19</v>
      </c>
      <c r="D6" s="42">
        <f>'Pool Cut'!G10</f>
        <v>2018</v>
      </c>
      <c r="E6" s="42">
        <f>'Pool Cut'!H10</f>
        <v>2800</v>
      </c>
      <c r="F6" s="42">
        <f>'Pool Cut'!I10</f>
        <v>2000</v>
      </c>
      <c r="G6" s="42">
        <f>'Pool Cut'!J10</f>
        <v>39410</v>
      </c>
      <c r="H6" s="208">
        <f>'Pool Cut'!K10</f>
        <v>11900</v>
      </c>
      <c r="I6" s="202">
        <f>'Pool Cut'!M10</f>
        <v>8.5</v>
      </c>
      <c r="J6" s="202">
        <f>'Pool Cut'!N10</f>
        <v>5.4740000000000002</v>
      </c>
      <c r="K6" s="181">
        <f>'Pool Cut'!P10</f>
        <v>44742</v>
      </c>
      <c r="L6" s="134">
        <f t="shared" ca="1" si="1"/>
        <v>34</v>
      </c>
      <c r="M6" s="182" t="s">
        <v>323</v>
      </c>
      <c r="N6" s="183">
        <f>'Pool Cut'!R10</f>
        <v>10750</v>
      </c>
      <c r="O6" s="183">
        <f>'Pool Cut'!S10</f>
        <v>5250</v>
      </c>
      <c r="P6" s="184">
        <f>'Pool Cut'!T10</f>
        <v>350</v>
      </c>
      <c r="Q6" s="27"/>
      <c r="R6" s="319" t="s">
        <v>335</v>
      </c>
      <c r="S6" s="439">
        <v>360</v>
      </c>
      <c r="T6" s="27"/>
      <c r="U6" s="185" t="s">
        <v>64</v>
      </c>
      <c r="V6" s="232">
        <v>0.02</v>
      </c>
      <c r="W6" s="233">
        <v>2.5000000000000001E-2</v>
      </c>
      <c r="X6" s="234">
        <v>5</v>
      </c>
      <c r="Y6" s="390">
        <v>1.0049999999999999</v>
      </c>
      <c r="Z6" s="235">
        <v>12392.755004766444</v>
      </c>
      <c r="AA6" s="235">
        <v>15722.656250000002</v>
      </c>
      <c r="AB6" s="235">
        <v>34344.262295081964</v>
      </c>
      <c r="AC6" s="236">
        <v>5185.8254105445112</v>
      </c>
      <c r="AD6" s="27"/>
      <c r="AE6" s="27"/>
      <c r="AF6" s="429">
        <v>2</v>
      </c>
      <c r="AG6" s="431">
        <v>106094706.37892985</v>
      </c>
      <c r="AH6" s="424">
        <v>16036452.479889138</v>
      </c>
    </row>
    <row r="7" spans="1:34" ht="16.2" thickBot="1">
      <c r="A7" s="180">
        <f>'Pool Cut'!A11</f>
        <v>6</v>
      </c>
      <c r="B7" s="42">
        <f>'Pool Cut'!F26</f>
        <v>2004</v>
      </c>
      <c r="C7" s="42">
        <f t="shared" ca="1" si="0"/>
        <v>15</v>
      </c>
      <c r="D7" s="42">
        <f>'Pool Cut'!G11</f>
        <v>2019</v>
      </c>
      <c r="E7" s="42">
        <f>'Pool Cut'!H11</f>
        <v>2800</v>
      </c>
      <c r="F7" s="42">
        <f>'Pool Cut'!I11</f>
        <v>2000</v>
      </c>
      <c r="G7" s="42">
        <f>'Pool Cut'!J11</f>
        <v>39418</v>
      </c>
      <c r="H7" s="208">
        <f>'Pool Cut'!K11</f>
        <v>11891</v>
      </c>
      <c r="I7" s="202">
        <f>'Pool Cut'!M11</f>
        <v>10.5</v>
      </c>
      <c r="J7" s="202">
        <f>'Pool Cut'!N11</f>
        <v>5.4698599999999997</v>
      </c>
      <c r="K7" s="181">
        <f>'Pool Cut'!P11</f>
        <v>45107</v>
      </c>
      <c r="L7" s="134">
        <f t="shared" ca="1" si="1"/>
        <v>46</v>
      </c>
      <c r="M7" s="182" t="s">
        <v>323</v>
      </c>
      <c r="N7" s="183">
        <f>'Pool Cut'!R11</f>
        <v>11000</v>
      </c>
      <c r="O7" s="183">
        <f>'Pool Cut'!S11</f>
        <v>5250</v>
      </c>
      <c r="P7" s="184">
        <f>'Pool Cut'!T11</f>
        <v>350</v>
      </c>
      <c r="Q7" s="27"/>
      <c r="R7" s="186" t="s">
        <v>447</v>
      </c>
      <c r="S7" s="384">
        <v>0</v>
      </c>
      <c r="T7" s="27"/>
      <c r="U7" s="185" t="s">
        <v>65</v>
      </c>
      <c r="V7" s="232">
        <v>0.01</v>
      </c>
      <c r="W7" s="233">
        <v>0.01</v>
      </c>
      <c r="X7" s="234">
        <v>2</v>
      </c>
      <c r="Y7" s="390">
        <v>1.002</v>
      </c>
      <c r="Z7" s="235">
        <v>8401.9612347850525</v>
      </c>
      <c r="AA7" s="235">
        <v>5557.8194572637294</v>
      </c>
      <c r="AB7" s="235">
        <v>3782.1353002545161</v>
      </c>
      <c r="AC7" s="236">
        <v>2524.412939761884</v>
      </c>
      <c r="AD7" s="27"/>
      <c r="AE7" s="27"/>
      <c r="AF7" s="429">
        <v>3</v>
      </c>
      <c r="AG7" s="431">
        <v>104584477.92039545</v>
      </c>
      <c r="AH7" s="424">
        <v>15870691.573981149</v>
      </c>
    </row>
    <row r="8" spans="1:34" ht="16.2" thickBot="1">
      <c r="A8" s="180">
        <f>'Pool Cut'!A12</f>
        <v>7</v>
      </c>
      <c r="B8" s="42">
        <f>'Pool Cut'!F10</f>
        <v>2005</v>
      </c>
      <c r="C8" s="42">
        <f t="shared" ca="1" si="0"/>
        <v>14</v>
      </c>
      <c r="D8" s="42">
        <f>'Pool Cut'!G12</f>
        <v>2017</v>
      </c>
      <c r="E8" s="42">
        <f>'Pool Cut'!H12</f>
        <v>2800</v>
      </c>
      <c r="F8" s="42">
        <f>'Pool Cut'!I12</f>
        <v>2000</v>
      </c>
      <c r="G8" s="42">
        <f>'Pool Cut'!J12</f>
        <v>39345</v>
      </c>
      <c r="H8" s="208">
        <f>'Pool Cut'!K12</f>
        <v>11800</v>
      </c>
      <c r="I8" s="202">
        <f>'Pool Cut'!M12</f>
        <v>10</v>
      </c>
      <c r="J8" s="202">
        <f>'Pool Cut'!N12</f>
        <v>5.4279999999999999</v>
      </c>
      <c r="K8" s="181">
        <f>'Pool Cut'!P12</f>
        <v>43966</v>
      </c>
      <c r="L8" s="134">
        <f t="shared" ca="1" si="1"/>
        <v>8</v>
      </c>
      <c r="M8" s="182" t="s">
        <v>323</v>
      </c>
      <c r="N8" s="183">
        <f>'Pool Cut'!R12</f>
        <v>11750</v>
      </c>
      <c r="O8" s="183">
        <f>'Pool Cut'!S12</f>
        <v>5250</v>
      </c>
      <c r="P8" s="184">
        <f>'Pool Cut'!T12</f>
        <v>350</v>
      </c>
      <c r="Q8" s="27"/>
      <c r="R8" s="285" t="s">
        <v>449</v>
      </c>
      <c r="S8" s="385">
        <v>1.4999999999999999E-2</v>
      </c>
      <c r="T8" s="27"/>
      <c r="U8" s="185" t="s">
        <v>66</v>
      </c>
      <c r="V8" s="233">
        <v>3.5000000000000001E-3</v>
      </c>
      <c r="W8" s="232">
        <v>4.0000000000000001E-3</v>
      </c>
      <c r="X8" s="275">
        <v>1</v>
      </c>
      <c r="Y8" s="390">
        <v>0.1</v>
      </c>
      <c r="Z8" s="235">
        <v>3063.979162794526</v>
      </c>
      <c r="AA8" s="235">
        <v>2383.2369138205627</v>
      </c>
      <c r="AB8" s="235">
        <v>4330.81280964917</v>
      </c>
      <c r="AC8" s="236">
        <v>926.80532945798484</v>
      </c>
      <c r="AD8" s="27"/>
      <c r="AE8" s="27"/>
      <c r="AF8" s="429">
        <v>4</v>
      </c>
      <c r="AG8" s="431">
        <v>103069844.62885703</v>
      </c>
      <c r="AH8" s="424">
        <v>15704032.796499487</v>
      </c>
    </row>
    <row r="9" spans="1:34" ht="16.2" thickBot="1">
      <c r="A9" s="180">
        <f>'Pool Cut'!A13</f>
        <v>8</v>
      </c>
      <c r="B9" s="42">
        <f>'Pool Cut'!F11</f>
        <v>2006</v>
      </c>
      <c r="C9" s="42">
        <f t="shared" ca="1" si="0"/>
        <v>13</v>
      </c>
      <c r="D9" s="42">
        <f>'Pool Cut'!G13</f>
        <v>2023</v>
      </c>
      <c r="E9" s="42">
        <f>'Pool Cut'!H13</f>
        <v>2700</v>
      </c>
      <c r="F9" s="42">
        <f>'Pool Cut'!I13</f>
        <v>2200</v>
      </c>
      <c r="G9" s="42">
        <f>'Pool Cut'!J13</f>
        <v>43093</v>
      </c>
      <c r="H9" s="208">
        <f>'Pool Cut'!K13</f>
        <v>11000</v>
      </c>
      <c r="I9" s="202">
        <f>'Pool Cut'!M13</f>
        <v>8</v>
      </c>
      <c r="J9" s="202">
        <f>'Pool Cut'!N13</f>
        <v>5.0599999999999996</v>
      </c>
      <c r="K9" s="181">
        <f>'Pool Cut'!P13</f>
        <v>44378</v>
      </c>
      <c r="L9" s="134">
        <f t="shared" ca="1" si="1"/>
        <v>22</v>
      </c>
      <c r="M9" s="182" t="s">
        <v>323</v>
      </c>
      <c r="N9" s="183">
        <f>'Pool Cut'!R13</f>
        <v>11500</v>
      </c>
      <c r="O9" s="183">
        <f>'Pool Cut'!S13</f>
        <v>5250</v>
      </c>
      <c r="P9" s="184">
        <f>'Pool Cut'!T13</f>
        <v>350</v>
      </c>
      <c r="Q9" s="27"/>
      <c r="R9" s="323" t="s">
        <v>448</v>
      </c>
      <c r="S9" s="386">
        <v>0.15</v>
      </c>
      <c r="T9" s="27"/>
      <c r="U9" s="173" t="s">
        <v>67</v>
      </c>
      <c r="V9" s="191">
        <f>(V7-V5)/(V6-V5)</f>
        <v>0.6</v>
      </c>
      <c r="W9" s="191">
        <f>(W7-W5)/(W6-W5)</f>
        <v>0.39999999999999997</v>
      </c>
      <c r="X9" s="191">
        <f>(X7-X5)/(X6-X5)</f>
        <v>0.25</v>
      </c>
      <c r="Y9" s="190">
        <f>(Y7-ScrapInf_L)/(ScrapInf_U-ScrapInf_L)</f>
        <v>0.80000000000000593</v>
      </c>
      <c r="Z9" s="191">
        <v>0.59011686325535406</v>
      </c>
      <c r="AA9" s="191">
        <v>0.28850186390731719</v>
      </c>
      <c r="AB9" s="191">
        <v>7.945671056296745E-2</v>
      </c>
      <c r="AC9" s="192">
        <v>0.36186294650429884</v>
      </c>
      <c r="AD9" s="27"/>
      <c r="AE9" s="27"/>
      <c r="AF9" s="429">
        <v>5</v>
      </c>
      <c r="AG9" s="431">
        <v>101550793.65688489</v>
      </c>
      <c r="AH9" s="424">
        <v>15536471.283973139</v>
      </c>
    </row>
    <row r="10" spans="1:34" ht="16.2" thickBot="1">
      <c r="A10" s="180">
        <f>'Pool Cut'!A14</f>
        <v>10</v>
      </c>
      <c r="B10" s="42">
        <f>'Pool Cut'!F12</f>
        <v>2007</v>
      </c>
      <c r="C10" s="42">
        <f t="shared" ca="1" si="0"/>
        <v>12</v>
      </c>
      <c r="D10" s="42">
        <f>'Pool Cut'!G14</f>
        <v>2022</v>
      </c>
      <c r="E10" s="42">
        <f>'Pool Cut'!H14</f>
        <v>1700</v>
      </c>
      <c r="F10" s="42">
        <f>'Pool Cut'!I14</f>
        <v>1200</v>
      </c>
      <c r="G10" s="42">
        <f>'Pool Cut'!J14</f>
        <v>21442</v>
      </c>
      <c r="H10" s="208">
        <f>'Pool Cut'!K14</f>
        <v>7852</v>
      </c>
      <c r="I10" s="202">
        <f>'Pool Cut'!M14</f>
        <v>7</v>
      </c>
      <c r="J10" s="202">
        <f>'Pool Cut'!N14</f>
        <v>3.61192</v>
      </c>
      <c r="K10" s="181">
        <f>'Pool Cut'!P14</f>
        <v>44803</v>
      </c>
      <c r="L10" s="134">
        <f t="shared" ca="1" si="1"/>
        <v>36</v>
      </c>
      <c r="M10" s="182" t="s">
        <v>323</v>
      </c>
      <c r="N10" s="183">
        <f>'Pool Cut'!R14</f>
        <v>8200</v>
      </c>
      <c r="O10" s="183">
        <f>'Pool Cut'!S14</f>
        <v>4500</v>
      </c>
      <c r="P10" s="184">
        <f>'Pool Cut'!T14</f>
        <v>300</v>
      </c>
      <c r="Q10" s="27"/>
      <c r="R10" s="324" t="s">
        <v>405</v>
      </c>
      <c r="S10" s="387">
        <v>2.5</v>
      </c>
      <c r="T10" s="27"/>
      <c r="U10" s="173" t="s">
        <v>68</v>
      </c>
      <c r="V10" s="191">
        <f>V9^(-1)-1</f>
        <v>0.66666666666666674</v>
      </c>
      <c r="W10" s="191">
        <f>W9^(-1)-1</f>
        <v>1.5</v>
      </c>
      <c r="X10" s="191">
        <f>X9^(-1)-1</f>
        <v>3</v>
      </c>
      <c r="Y10" s="190">
        <f>(Y9^-1) - 1</f>
        <v>0.24999999999999067</v>
      </c>
      <c r="Z10" s="191">
        <v>0.69457960323916756</v>
      </c>
      <c r="AA10" s="191">
        <v>2.4661821121587466</v>
      </c>
      <c r="AB10" s="191">
        <v>11.585469407363965</v>
      </c>
      <c r="AC10" s="192">
        <v>1.7634771939495062</v>
      </c>
      <c r="AD10" s="27"/>
      <c r="AE10" s="27"/>
      <c r="AF10" s="429">
        <v>6</v>
      </c>
      <c r="AG10" s="431">
        <v>100027312.11957791</v>
      </c>
      <c r="AH10" s="424">
        <v>15368002.146587266</v>
      </c>
    </row>
    <row r="11" spans="1:34" ht="16.2" thickBot="1">
      <c r="A11" s="180">
        <f>'Pool Cut'!A15</f>
        <v>13</v>
      </c>
      <c r="B11" s="42">
        <f>'Pool Cut'!F13</f>
        <v>2003</v>
      </c>
      <c r="C11" s="42">
        <f t="shared" ca="1" si="0"/>
        <v>16</v>
      </c>
      <c r="D11" s="42">
        <f>'Pool Cut'!G15</f>
        <v>2021</v>
      </c>
      <c r="E11" s="42">
        <f>'Pool Cut'!H15</f>
        <v>2500</v>
      </c>
      <c r="F11" s="42">
        <f>'Pool Cut'!I15</f>
        <v>1900</v>
      </c>
      <c r="G11" s="42">
        <f>'Pool Cut'!J15</f>
        <v>34704</v>
      </c>
      <c r="H11" s="208">
        <f>'Pool Cut'!K15</f>
        <v>11334</v>
      </c>
      <c r="I11" s="202">
        <f>'Pool Cut'!M15</f>
        <v>8</v>
      </c>
      <c r="J11" s="202">
        <f>'Pool Cut'!N15</f>
        <v>5.2136399999999998</v>
      </c>
      <c r="K11" s="181">
        <f>'Pool Cut'!P15</f>
        <v>43997</v>
      </c>
      <c r="L11" s="134">
        <f t="shared" ca="1" si="1"/>
        <v>9</v>
      </c>
      <c r="M11" s="182" t="s">
        <v>323</v>
      </c>
      <c r="N11" s="183">
        <f>'Pool Cut'!R15</f>
        <v>9150</v>
      </c>
      <c r="O11" s="183">
        <f>'Pool Cut'!S15</f>
        <v>5250</v>
      </c>
      <c r="P11" s="184">
        <f>'Pool Cut'!T15</f>
        <v>350</v>
      </c>
      <c r="Q11" s="27"/>
      <c r="R11" s="319" t="s">
        <v>404</v>
      </c>
      <c r="S11" s="388">
        <v>50000</v>
      </c>
      <c r="T11" s="27"/>
      <c r="U11" s="173" t="s">
        <v>69</v>
      </c>
      <c r="V11" s="191">
        <f>V8/V7</f>
        <v>0.35</v>
      </c>
      <c r="W11" s="191">
        <f>W8/W7</f>
        <v>0.4</v>
      </c>
      <c r="X11" s="191">
        <f>X8/X7</f>
        <v>0.5</v>
      </c>
      <c r="Y11" s="190">
        <f>Y8/Y7</f>
        <v>9.9800399201596807E-2</v>
      </c>
      <c r="Z11" s="191">
        <v>0.36467427987043216</v>
      </c>
      <c r="AA11" s="191">
        <v>0.42880790427724635</v>
      </c>
      <c r="AB11" s="191">
        <v>1.1450708305854977</v>
      </c>
      <c r="AC11" s="192">
        <v>0.36713697464464989</v>
      </c>
      <c r="AD11" s="27"/>
      <c r="AE11" s="27"/>
      <c r="AF11" s="429">
        <v>7</v>
      </c>
      <c r="AG11" s="431">
        <v>98499387.094453722</v>
      </c>
      <c r="AH11" s="424">
        <v>15198620.468040558</v>
      </c>
    </row>
    <row r="12" spans="1:34" ht="16.2" thickBot="1">
      <c r="A12" s="180">
        <f>'Pool Cut'!A16</f>
        <v>14</v>
      </c>
      <c r="B12" s="42">
        <f>'Pool Cut'!F27</f>
        <v>2008</v>
      </c>
      <c r="C12" s="42">
        <f t="shared" ca="1" si="0"/>
        <v>11</v>
      </c>
      <c r="D12" s="42">
        <f>'Pool Cut'!G16</f>
        <v>2023</v>
      </c>
      <c r="E12" s="42">
        <f>'Pool Cut'!H16</f>
        <v>2500</v>
      </c>
      <c r="F12" s="42">
        <f>'Pool Cut'!I16</f>
        <v>1900</v>
      </c>
      <c r="G12" s="42">
        <f>'Pool Cut'!J16</f>
        <v>34740</v>
      </c>
      <c r="H12" s="208">
        <f>'Pool Cut'!K16</f>
        <v>11298</v>
      </c>
      <c r="I12" s="202">
        <f>'Pool Cut'!M16</f>
        <v>7.5</v>
      </c>
      <c r="J12" s="202">
        <f>'Pool Cut'!N16</f>
        <v>5.1970799999999997</v>
      </c>
      <c r="K12" s="181">
        <f>'Pool Cut'!P16</f>
        <v>44454</v>
      </c>
      <c r="L12" s="134">
        <f t="shared" ca="1" si="1"/>
        <v>24</v>
      </c>
      <c r="M12" s="182" t="s">
        <v>323</v>
      </c>
      <c r="N12" s="183">
        <f>'Pool Cut'!R16</f>
        <v>10750</v>
      </c>
      <c r="O12" s="183">
        <f>'Pool Cut'!S16</f>
        <v>5250</v>
      </c>
      <c r="P12" s="184">
        <f>'Pool Cut'!T16</f>
        <v>350</v>
      </c>
      <c r="Q12" s="27"/>
      <c r="R12" s="324" t="s">
        <v>450</v>
      </c>
      <c r="S12" s="393" t="s">
        <v>394</v>
      </c>
      <c r="T12" s="27"/>
      <c r="U12" s="173" t="s">
        <v>70</v>
      </c>
      <c r="V12" s="191">
        <f>((V10/(V11)^2)-1)/(1+V10)</f>
        <v>2.6653061224489805</v>
      </c>
      <c r="W12" s="191">
        <f>((W10/(W11)^2)-1)/(1+W10)</f>
        <v>3.3499999999999992</v>
      </c>
      <c r="X12" s="191">
        <f>((X10/(X11)^2)-1)/(1+X10)</f>
        <v>2.75</v>
      </c>
      <c r="Y12" s="190">
        <f>(Y10/Y11^2 -1 )/(1+Y10)</f>
        <v>19.280079999999394</v>
      </c>
      <c r="Z12" s="191">
        <v>2.4920048359683467</v>
      </c>
      <c r="AA12" s="191">
        <v>3.5809388981966825</v>
      </c>
      <c r="AB12" s="191">
        <v>0.62261183043712787</v>
      </c>
      <c r="AC12" s="192">
        <v>4.3724581852539002</v>
      </c>
      <c r="AD12" s="27"/>
      <c r="AE12" s="27"/>
      <c r="AF12" s="429">
        <v>8</v>
      </c>
      <c r="AG12" s="431">
        <v>96967005.621339604</v>
      </c>
      <c r="AH12" s="424">
        <v>15028321.305401718</v>
      </c>
    </row>
    <row r="13" spans="1:34" ht="16.2" thickBot="1">
      <c r="A13" s="180">
        <f>'Pool Cut'!A17</f>
        <v>16</v>
      </c>
      <c r="B13" s="42">
        <f>'Pool Cut'!F14</f>
        <v>2007</v>
      </c>
      <c r="C13" s="42">
        <f t="shared" ca="1" si="0"/>
        <v>12</v>
      </c>
      <c r="D13" s="42">
        <f>'Pool Cut'!G17</f>
        <v>2019</v>
      </c>
      <c r="E13" s="42">
        <f>'Pool Cut'!H17</f>
        <v>2700</v>
      </c>
      <c r="F13" s="42">
        <f>'Pool Cut'!I17</f>
        <v>2000</v>
      </c>
      <c r="G13" s="42">
        <f>'Pool Cut'!J17</f>
        <v>35800</v>
      </c>
      <c r="H13" s="208">
        <f>'Pool Cut'!K17</f>
        <v>12800</v>
      </c>
      <c r="I13" s="202">
        <f>'Pool Cut'!M17</f>
        <v>7.5</v>
      </c>
      <c r="J13" s="202">
        <f>'Pool Cut'!N17</f>
        <v>5.8879999999999999</v>
      </c>
      <c r="K13" s="181">
        <f>'Pool Cut'!P17</f>
        <v>44377</v>
      </c>
      <c r="L13" s="134">
        <f t="shared" ca="1" si="1"/>
        <v>22</v>
      </c>
      <c r="M13" s="182" t="s">
        <v>323</v>
      </c>
      <c r="N13" s="183">
        <f>'Pool Cut'!R17</f>
        <v>10500</v>
      </c>
      <c r="O13" s="183">
        <f>'Pool Cut'!S17</f>
        <v>5750</v>
      </c>
      <c r="P13" s="184">
        <f>'Pool Cut'!T17</f>
        <v>350</v>
      </c>
      <c r="Q13" s="27"/>
      <c r="R13" s="323" t="s">
        <v>424</v>
      </c>
      <c r="S13" s="433">
        <v>4</v>
      </c>
      <c r="T13" s="27"/>
      <c r="U13" s="199" t="s">
        <v>71</v>
      </c>
      <c r="V13" s="194">
        <f>V10*V12</f>
        <v>1.7768707482993205</v>
      </c>
      <c r="W13" s="194">
        <f>W10*W12</f>
        <v>5.0249999999999986</v>
      </c>
      <c r="X13" s="194">
        <f>X10*X12</f>
        <v>8.25</v>
      </c>
      <c r="Y13" s="193">
        <f>Y10*ScrapInf_alpha</f>
        <v>4.8200199999996691</v>
      </c>
      <c r="Z13" s="194">
        <v>1.730895730236981</v>
      </c>
      <c r="AA13" s="194">
        <v>8.8312474554661087</v>
      </c>
      <c r="AB13" s="194">
        <v>7.2132503141922246</v>
      </c>
      <c r="AC13" s="195">
        <v>7.7107302911930979</v>
      </c>
      <c r="AD13" s="27"/>
      <c r="AE13" s="27"/>
      <c r="AF13" s="429">
        <v>9</v>
      </c>
      <c r="AG13" s="431">
        <v>95430154.702262267</v>
      </c>
      <c r="AH13" s="424">
        <v>14857099.688965252</v>
      </c>
    </row>
    <row r="14" spans="1:34" ht="16.2" thickBot="1">
      <c r="A14" s="180">
        <f>'Pool Cut'!A18</f>
        <v>17</v>
      </c>
      <c r="B14" s="42">
        <f>'Pool Cut'!F28</f>
        <v>2003</v>
      </c>
      <c r="C14" s="42">
        <f t="shared" ca="1" si="0"/>
        <v>16</v>
      </c>
      <c r="D14" s="42">
        <f>'Pool Cut'!G18</f>
        <v>2022</v>
      </c>
      <c r="E14" s="42">
        <f>'Pool Cut'!H18</f>
        <v>2700</v>
      </c>
      <c r="F14" s="42">
        <f>'Pool Cut'!I18</f>
        <v>2000</v>
      </c>
      <c r="G14" s="42">
        <f>'Pool Cut'!J18</f>
        <v>35800</v>
      </c>
      <c r="H14" s="208">
        <f>'Pool Cut'!K18</f>
        <v>12800</v>
      </c>
      <c r="I14" s="202">
        <f>'Pool Cut'!M18</f>
        <v>7</v>
      </c>
      <c r="J14" s="202">
        <f>'Pool Cut'!N18</f>
        <v>5.8879999999999999</v>
      </c>
      <c r="K14" s="181">
        <f>'Pool Cut'!P18</f>
        <v>44742</v>
      </c>
      <c r="L14" s="134">
        <f t="shared" ca="1" si="1"/>
        <v>34</v>
      </c>
      <c r="M14" s="182" t="s">
        <v>323</v>
      </c>
      <c r="N14" s="183">
        <f>'Pool Cut'!R18</f>
        <v>10500</v>
      </c>
      <c r="O14" s="183">
        <f>'Pool Cut'!S18</f>
        <v>5750</v>
      </c>
      <c r="P14" s="184">
        <f>'Pool Cut'!T18</f>
        <v>450</v>
      </c>
      <c r="Q14" s="27"/>
      <c r="R14" s="394" t="s">
        <v>422</v>
      </c>
      <c r="S14" s="434">
        <v>1</v>
      </c>
      <c r="T14" s="27"/>
      <c r="U14" s="165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429">
        <v>10</v>
      </c>
      <c r="AG14" s="431">
        <v>93888821.3013376</v>
      </c>
      <c r="AH14" s="424">
        <v>14684950.622106425</v>
      </c>
    </row>
    <row r="15" spans="1:34" ht="16.2" thickBot="1">
      <c r="A15" s="180">
        <f>'Pool Cut'!A19</f>
        <v>18</v>
      </c>
      <c r="B15" s="42">
        <f>'Pool Cut'!F29</f>
        <v>2003</v>
      </c>
      <c r="C15" s="42">
        <f t="shared" ca="1" si="0"/>
        <v>16</v>
      </c>
      <c r="D15" s="42">
        <f>'Pool Cut'!G19</f>
        <v>2022</v>
      </c>
      <c r="E15" s="42">
        <f>'Pool Cut'!H19</f>
        <v>2700</v>
      </c>
      <c r="F15" s="42">
        <f>'Pool Cut'!I19</f>
        <v>2000</v>
      </c>
      <c r="G15" s="42">
        <f>'Pool Cut'!J19</f>
        <v>35800</v>
      </c>
      <c r="H15" s="208">
        <f>'Pool Cut'!K19</f>
        <v>12800</v>
      </c>
      <c r="I15" s="202">
        <f>'Pool Cut'!M19</f>
        <v>6.5</v>
      </c>
      <c r="J15" s="202">
        <f>'Pool Cut'!N19</f>
        <v>5.8879999999999999</v>
      </c>
      <c r="K15" s="181">
        <f>'Pool Cut'!P19</f>
        <v>44742</v>
      </c>
      <c r="L15" s="134">
        <f t="shared" ca="1" si="1"/>
        <v>34</v>
      </c>
      <c r="M15" s="182" t="s">
        <v>323</v>
      </c>
      <c r="N15" s="183">
        <f>'Pool Cut'!R19</f>
        <v>10500</v>
      </c>
      <c r="O15" s="183">
        <f>'Pool Cut'!S19</f>
        <v>5750</v>
      </c>
      <c r="P15" s="184">
        <f>'Pool Cut'!T19</f>
        <v>450</v>
      </c>
      <c r="Q15" s="27"/>
      <c r="R15" s="394" t="s">
        <v>442</v>
      </c>
      <c r="S15" s="434" t="s">
        <v>394</v>
      </c>
      <c r="AF15" s="429">
        <v>11</v>
      </c>
      <c r="AG15" s="431">
        <v>92342992.344660223</v>
      </c>
      <c r="AH15" s="424">
        <v>14511869.081135442</v>
      </c>
    </row>
    <row r="16" spans="1:34" ht="16.2" thickBot="1">
      <c r="A16" s="180">
        <f>'Pool Cut'!A20</f>
        <v>19</v>
      </c>
      <c r="B16" s="42">
        <f>'Pool Cut'!F15</f>
        <v>2006</v>
      </c>
      <c r="C16" s="42">
        <f t="shared" ca="1" si="0"/>
        <v>13</v>
      </c>
      <c r="D16" s="42">
        <f>'Pool Cut'!G20</f>
        <v>2021</v>
      </c>
      <c r="E16" s="42">
        <f>'Pool Cut'!H20</f>
        <v>2800</v>
      </c>
      <c r="F16" s="42">
        <f>'Pool Cut'!I20</f>
        <v>2000</v>
      </c>
      <c r="G16" s="42">
        <f>'Pool Cut'!J20</f>
        <v>38700</v>
      </c>
      <c r="H16" s="208">
        <f>'Pool Cut'!K20</f>
        <v>12000</v>
      </c>
      <c r="I16" s="202">
        <f>'Pool Cut'!M20</f>
        <v>10.75</v>
      </c>
      <c r="J16" s="202">
        <f>'Pool Cut'!N20</f>
        <v>5.52</v>
      </c>
      <c r="K16" s="181">
        <f>'Pool Cut'!P20</f>
        <v>45473</v>
      </c>
      <c r="L16" s="134">
        <f t="shared" ca="1" si="1"/>
        <v>58</v>
      </c>
      <c r="M16" s="182" t="s">
        <v>323</v>
      </c>
      <c r="N16" s="183">
        <f>'Pool Cut'!R20</f>
        <v>10500</v>
      </c>
      <c r="O16" s="183">
        <f>'Pool Cut'!S20</f>
        <v>5000</v>
      </c>
      <c r="P16" s="184">
        <f>'Pool Cut'!T20</f>
        <v>350</v>
      </c>
      <c r="Q16" s="27"/>
      <c r="R16" s="323" t="s">
        <v>445</v>
      </c>
      <c r="S16" s="437">
        <v>360</v>
      </c>
      <c r="AF16" s="429">
        <v>12</v>
      </c>
      <c r="AG16" s="431">
        <v>90792654.720192581</v>
      </c>
      <c r="AH16" s="424">
        <v>14337850.015150871</v>
      </c>
    </row>
    <row r="17" spans="1:34" ht="15.6">
      <c r="A17" s="180">
        <f>'Pool Cut'!A21</f>
        <v>20</v>
      </c>
      <c r="B17" s="42">
        <f>'Pool Cut'!F16</f>
        <v>2005</v>
      </c>
      <c r="C17" s="42">
        <f t="shared" ca="1" si="0"/>
        <v>14</v>
      </c>
      <c r="D17" s="42">
        <f>'Pool Cut'!G21</f>
        <v>2020</v>
      </c>
      <c r="E17" s="42">
        <f>'Pool Cut'!H21</f>
        <v>2500</v>
      </c>
      <c r="F17" s="42">
        <f>'Pool Cut'!I21</f>
        <v>1900</v>
      </c>
      <c r="G17" s="42">
        <f>'Pool Cut'!J21</f>
        <v>33400</v>
      </c>
      <c r="H17" s="208">
        <f>'Pool Cut'!K21</f>
        <v>10600</v>
      </c>
      <c r="I17" s="202">
        <f>'Pool Cut'!M21</f>
        <v>8</v>
      </c>
      <c r="J17" s="202">
        <f>'Pool Cut'!N21</f>
        <v>4.8760000000000003</v>
      </c>
      <c r="K17" s="181">
        <f>'Pool Cut'!P21</f>
        <v>44742</v>
      </c>
      <c r="L17" s="134">
        <f t="shared" ca="1" si="1"/>
        <v>34</v>
      </c>
      <c r="M17" s="182" t="s">
        <v>323</v>
      </c>
      <c r="N17" s="183">
        <f>'Pool Cut'!R21</f>
        <v>10500</v>
      </c>
      <c r="O17" s="183">
        <f>'Pool Cut'!S21</f>
        <v>5250</v>
      </c>
      <c r="P17" s="184">
        <f>'Pool Cut'!T21</f>
        <v>350</v>
      </c>
      <c r="Q17" s="27"/>
      <c r="R17" s="322"/>
      <c r="S17" s="389"/>
      <c r="AF17" s="429">
        <v>13</v>
      </c>
      <c r="AG17" s="431">
        <v>89237795.277653545</v>
      </c>
      <c r="AH17" s="424">
        <v>14162888.345892213</v>
      </c>
    </row>
    <row r="18" spans="1:34" ht="15" thickBot="1">
      <c r="A18" s="180">
        <f>'Pool Cut'!A22</f>
        <v>21</v>
      </c>
      <c r="B18" s="42">
        <f>'Pool Cut'!F30</f>
        <v>2007</v>
      </c>
      <c r="C18" s="42">
        <f t="shared" ca="1" si="0"/>
        <v>12</v>
      </c>
      <c r="D18" s="42">
        <f>'Pool Cut'!G22</f>
        <v>2023</v>
      </c>
      <c r="E18" s="42">
        <f>'Pool Cut'!H22</f>
        <v>1900</v>
      </c>
      <c r="F18" s="42">
        <f>'Pool Cut'!I22</f>
        <v>1400</v>
      </c>
      <c r="G18" s="42">
        <f>'Pool Cut'!J22</f>
        <v>21000</v>
      </c>
      <c r="H18" s="208">
        <f>'Pool Cut'!K22</f>
        <v>8800</v>
      </c>
      <c r="I18" s="202">
        <f>'Pool Cut'!M22</f>
        <v>9.5</v>
      </c>
      <c r="J18" s="202">
        <f>'Pool Cut'!N22</f>
        <v>4.048</v>
      </c>
      <c r="K18" s="181">
        <f>'Pool Cut'!P22</f>
        <v>45107</v>
      </c>
      <c r="L18" s="134">
        <f t="shared" ca="1" si="1"/>
        <v>46</v>
      </c>
      <c r="M18" s="182" t="s">
        <v>323</v>
      </c>
      <c r="N18" s="183">
        <f>'Pool Cut'!R22</f>
        <v>9500</v>
      </c>
      <c r="O18" s="183">
        <f>'Pool Cut'!S22</f>
        <v>4850</v>
      </c>
      <c r="P18" s="184">
        <f>'Pool Cut'!T22</f>
        <v>350</v>
      </c>
      <c r="Q18" s="27"/>
      <c r="AF18" s="429">
        <v>14</v>
      </c>
      <c r="AG18" s="431">
        <v>87678400.828407109</v>
      </c>
      <c r="AH18" s="424">
        <v>13986978.967591738</v>
      </c>
    </row>
    <row r="19" spans="1:34">
      <c r="A19" s="180">
        <f>'Pool Cut'!A23</f>
        <v>24</v>
      </c>
      <c r="B19" s="42">
        <f>'Pool Cut'!F17</f>
        <v>2004</v>
      </c>
      <c r="C19" s="42">
        <f t="shared" ca="1" si="0"/>
        <v>15</v>
      </c>
      <c r="D19" s="42">
        <f>'Pool Cut'!G23</f>
        <v>2020</v>
      </c>
      <c r="E19" s="42">
        <f>'Pool Cut'!H23</f>
        <v>2500</v>
      </c>
      <c r="F19" s="42">
        <f>'Pool Cut'!I23</f>
        <v>1900</v>
      </c>
      <c r="G19" s="42">
        <f>'Pool Cut'!J23</f>
        <v>33400</v>
      </c>
      <c r="H19" s="208">
        <f>'Pool Cut'!K23</f>
        <v>10600</v>
      </c>
      <c r="I19" s="202">
        <f>'Pool Cut'!M23</f>
        <v>7.75</v>
      </c>
      <c r="J19" s="202">
        <f>'Pool Cut'!N23</f>
        <v>4.8760000000000003</v>
      </c>
      <c r="K19" s="181">
        <f>'Pool Cut'!P23</f>
        <v>45107</v>
      </c>
      <c r="L19" s="134">
        <f t="shared" ca="1" si="1"/>
        <v>46</v>
      </c>
      <c r="M19" s="182" t="s">
        <v>323</v>
      </c>
      <c r="N19" s="183">
        <f>'Pool Cut'!R23</f>
        <v>10750</v>
      </c>
      <c r="O19" s="183">
        <f>'Pool Cut'!S23</f>
        <v>5250</v>
      </c>
      <c r="P19" s="184">
        <f>'Pool Cut'!T23</f>
        <v>350</v>
      </c>
      <c r="Q19" s="27"/>
      <c r="R19" s="499" t="s">
        <v>299</v>
      </c>
      <c r="S19" s="500"/>
      <c r="AF19" s="429">
        <v>15</v>
      </c>
      <c r="AG19" s="431">
        <v>86114458.145350367</v>
      </c>
      <c r="AH19" s="424">
        <v>13810116.746825472</v>
      </c>
    </row>
    <row r="20" spans="1:34" s="295" customFormat="1">
      <c r="A20" s="299">
        <f>'Pool Cut'!A24</f>
        <v>25</v>
      </c>
      <c r="B20" s="300">
        <f>'Pool Cut'!F18</f>
        <v>2003</v>
      </c>
      <c r="C20" s="300">
        <f t="shared" ca="1" si="0"/>
        <v>16</v>
      </c>
      <c r="D20" s="300">
        <f>'Pool Cut'!G24</f>
        <v>2022</v>
      </c>
      <c r="E20" s="300">
        <f>'Pool Cut'!H24</f>
        <v>2700</v>
      </c>
      <c r="F20" s="300">
        <f>'Pool Cut'!I24</f>
        <v>2200</v>
      </c>
      <c r="G20" s="300">
        <f>'Pool Cut'!J24</f>
        <v>39307</v>
      </c>
      <c r="H20" s="301">
        <f>'Pool Cut'!K24</f>
        <v>12985</v>
      </c>
      <c r="I20" s="302">
        <f>'Pool Cut'!M24</f>
        <v>6.75</v>
      </c>
      <c r="J20" s="302">
        <f>'Pool Cut'!N24</f>
        <v>5.9730999999999996</v>
      </c>
      <c r="K20" s="303">
        <f>'Pool Cut'!P24</f>
        <v>44012</v>
      </c>
      <c r="L20" s="304">
        <f t="shared" ca="1" si="1"/>
        <v>9</v>
      </c>
      <c r="M20" s="305" t="s">
        <v>323</v>
      </c>
      <c r="N20" s="306">
        <f>'Pool Cut'!R24</f>
        <v>9500</v>
      </c>
      <c r="O20" s="306">
        <f>'Pool Cut'!S24</f>
        <v>5500</v>
      </c>
      <c r="P20" s="307">
        <f>'Pool Cut'!T24</f>
        <v>450</v>
      </c>
      <c r="Q20" s="286"/>
      <c r="R20" s="117" t="s">
        <v>301</v>
      </c>
      <c r="S20" s="118" t="s">
        <v>300</v>
      </c>
      <c r="AF20" s="429">
        <v>16</v>
      </c>
      <c r="AG20" s="431">
        <v>84545953.962801352</v>
      </c>
      <c r="AH20" s="424">
        <v>13632296.522363387</v>
      </c>
    </row>
    <row r="21" spans="1:34" s="295" customFormat="1">
      <c r="A21" s="299">
        <f>'Pool Cut'!A25</f>
        <v>3</v>
      </c>
      <c r="B21" s="300">
        <f>'Pool Cut'!F19</f>
        <v>2002</v>
      </c>
      <c r="C21" s="300">
        <f t="shared" ca="1" si="0"/>
        <v>17</v>
      </c>
      <c r="D21" s="300">
        <f>'Pool Cut'!G25</f>
        <v>2020</v>
      </c>
      <c r="E21" s="300">
        <f>'Pool Cut'!H25</f>
        <v>1300</v>
      </c>
      <c r="F21" s="300">
        <f>'Pool Cut'!I25</f>
        <v>1000</v>
      </c>
      <c r="G21" s="300">
        <f>'Pool Cut'!J25</f>
        <v>15317</v>
      </c>
      <c r="H21" s="301">
        <f>'Pool Cut'!K25</f>
        <v>6435</v>
      </c>
      <c r="I21" s="302">
        <f>'Pool Cut'!M25</f>
        <v>4.25</v>
      </c>
      <c r="J21" s="302">
        <f>'Pool Cut'!N25</f>
        <v>2.9601000000000002</v>
      </c>
      <c r="K21" s="303">
        <f>'Pool Cut'!P25</f>
        <v>44317</v>
      </c>
      <c r="L21" s="304">
        <f t="shared" ca="1" si="1"/>
        <v>20</v>
      </c>
      <c r="M21" s="305" t="s">
        <v>323</v>
      </c>
      <c r="N21" s="306">
        <f>'Pool Cut'!R25</f>
        <v>9250</v>
      </c>
      <c r="O21" s="306">
        <f>'Pool Cut'!S25</f>
        <v>4750</v>
      </c>
      <c r="P21" s="307">
        <f>'Pool Cut'!T25</f>
        <v>300</v>
      </c>
      <c r="Q21" s="286"/>
      <c r="R21" s="119">
        <v>0</v>
      </c>
      <c r="S21" s="120" t="s">
        <v>282</v>
      </c>
      <c r="AF21" s="429">
        <v>17</v>
      </c>
      <c r="AG21" s="431">
        <v>82972874.976386592</v>
      </c>
      <c r="AH21" s="424">
        <v>13453513.105018798</v>
      </c>
    </row>
    <row r="22" spans="1:34" s="295" customFormat="1">
      <c r="A22" s="299">
        <f>'Pool Cut'!A26</f>
        <v>4</v>
      </c>
      <c r="B22" s="300">
        <f>'Pool Cut'!F20</f>
        <v>2006</v>
      </c>
      <c r="C22" s="300">
        <f t="shared" ca="1" si="0"/>
        <v>13</v>
      </c>
      <c r="D22" s="300">
        <f>'Pool Cut'!G26</f>
        <v>2020</v>
      </c>
      <c r="E22" s="300">
        <f>'Pool Cut'!H26</f>
        <v>1300</v>
      </c>
      <c r="F22" s="300">
        <f>'Pool Cut'!I26</f>
        <v>1000</v>
      </c>
      <c r="G22" s="300">
        <f>'Pool Cut'!J26</f>
        <v>15317</v>
      </c>
      <c r="H22" s="301">
        <f>'Pool Cut'!K26</f>
        <v>6419</v>
      </c>
      <c r="I22" s="302">
        <f>'Pool Cut'!M26</f>
        <v>5</v>
      </c>
      <c r="J22" s="302">
        <f>'Pool Cut'!N26</f>
        <v>2.9527399999999999</v>
      </c>
      <c r="K22" s="303">
        <f>'Pool Cut'!P26</f>
        <v>44185</v>
      </c>
      <c r="L22" s="304">
        <f t="shared" ca="1" si="1"/>
        <v>15</v>
      </c>
      <c r="M22" s="305" t="s">
        <v>323</v>
      </c>
      <c r="N22" s="306">
        <f>'Pool Cut'!R26</f>
        <v>9750</v>
      </c>
      <c r="O22" s="306">
        <f>'Pool Cut'!S26</f>
        <v>4750</v>
      </c>
      <c r="P22" s="307">
        <f>'Pool Cut'!T26</f>
        <v>300</v>
      </c>
      <c r="Q22" s="286"/>
      <c r="R22" s="119">
        <v>0.06</v>
      </c>
      <c r="S22" s="120" t="s">
        <v>302</v>
      </c>
      <c r="AF22" s="429">
        <v>18</v>
      </c>
      <c r="AG22" s="431">
        <v>81395207.842928097</v>
      </c>
      <c r="AH22" s="424">
        <v>13273761.277496923</v>
      </c>
    </row>
    <row r="23" spans="1:34" s="295" customFormat="1">
      <c r="A23" s="299">
        <f>'Pool Cut'!A27</f>
        <v>9</v>
      </c>
      <c r="B23" s="300">
        <f>'Pool Cut'!F21</f>
        <v>2005</v>
      </c>
      <c r="C23" s="300">
        <f t="shared" ca="1" si="0"/>
        <v>14</v>
      </c>
      <c r="D23" s="300">
        <f>'Pool Cut'!G27</f>
        <v>2023</v>
      </c>
      <c r="E23" s="300">
        <f>'Pool Cut'!H27</f>
        <v>1700</v>
      </c>
      <c r="F23" s="300">
        <f>'Pool Cut'!I27</f>
        <v>1200</v>
      </c>
      <c r="G23" s="300">
        <f>'Pool Cut'!J27</f>
        <v>21292</v>
      </c>
      <c r="H23" s="301">
        <f>'Pool Cut'!K27</f>
        <v>7636</v>
      </c>
      <c r="I23" s="302">
        <f>'Pool Cut'!M27</f>
        <v>8.5</v>
      </c>
      <c r="J23" s="302">
        <f>'Pool Cut'!N27</f>
        <v>3.5125600000000001</v>
      </c>
      <c r="K23" s="303">
        <f>'Pool Cut'!P27</f>
        <v>44256</v>
      </c>
      <c r="L23" s="304">
        <f t="shared" ca="1" si="1"/>
        <v>18</v>
      </c>
      <c r="M23" s="305" t="s">
        <v>323</v>
      </c>
      <c r="N23" s="306">
        <f>'Pool Cut'!R27</f>
        <v>9150</v>
      </c>
      <c r="O23" s="306">
        <f>'Pool Cut'!S27</f>
        <v>4500</v>
      </c>
      <c r="P23" s="307">
        <f>'Pool Cut'!T27</f>
        <v>350</v>
      </c>
      <c r="Q23" s="286"/>
      <c r="R23" s="119">
        <v>0.67</v>
      </c>
      <c r="S23" s="120" t="s">
        <v>303</v>
      </c>
      <c r="AF23" s="429">
        <v>19</v>
      </c>
      <c r="AG23" s="431">
        <v>79812939.180330381</v>
      </c>
      <c r="AH23" s="424">
        <v>13093035.794242641</v>
      </c>
    </row>
    <row r="24" spans="1:34" s="295" customFormat="1">
      <c r="A24" s="299">
        <f>'Pool Cut'!A28</f>
        <v>11</v>
      </c>
      <c r="B24" s="300">
        <f>'Pool Cut'!F22</f>
        <v>2008</v>
      </c>
      <c r="C24" s="300">
        <f t="shared" ca="1" si="0"/>
        <v>11</v>
      </c>
      <c r="D24" s="300">
        <f>'Pool Cut'!G28</f>
        <v>2023</v>
      </c>
      <c r="E24" s="300">
        <f>'Pool Cut'!H28</f>
        <v>1300</v>
      </c>
      <c r="F24" s="300">
        <f>'Pool Cut'!I28</f>
        <v>1000</v>
      </c>
      <c r="G24" s="300">
        <f>'Pool Cut'!J28</f>
        <v>16439</v>
      </c>
      <c r="H24" s="301">
        <f>'Pool Cut'!K28</f>
        <v>6023</v>
      </c>
      <c r="I24" s="302">
        <f>'Pool Cut'!M28</f>
        <v>4</v>
      </c>
      <c r="J24" s="302">
        <f>'Pool Cut'!N28</f>
        <v>2.7705799999999998</v>
      </c>
      <c r="K24" s="303">
        <f>'Pool Cut'!P28</f>
        <v>43814</v>
      </c>
      <c r="L24" s="304">
        <f t="shared" ca="1" si="1"/>
        <v>3</v>
      </c>
      <c r="M24" s="305" t="s">
        <v>323</v>
      </c>
      <c r="N24" s="306">
        <f>'Pool Cut'!R28</f>
        <v>8950</v>
      </c>
      <c r="O24" s="306">
        <f>'Pool Cut'!S28</f>
        <v>4500</v>
      </c>
      <c r="P24" s="307">
        <f>'Pool Cut'!T28</f>
        <v>300</v>
      </c>
      <c r="Q24" s="286"/>
      <c r="R24" s="119">
        <v>1.3</v>
      </c>
      <c r="S24" s="120" t="s">
        <v>304</v>
      </c>
      <c r="AF24" s="429">
        <v>20</v>
      </c>
      <c r="AG24" s="431">
        <v>78226055.567466781</v>
      </c>
      <c r="AH24" s="424">
        <v>12911331.381287396</v>
      </c>
    </row>
    <row r="25" spans="1:34" s="295" customFormat="1">
      <c r="A25" s="299">
        <f>'Pool Cut'!A29</f>
        <v>12</v>
      </c>
      <c r="B25" s="300">
        <f>'Pool Cut'!F31</f>
        <v>2008</v>
      </c>
      <c r="C25" s="300">
        <f t="shared" ca="1" si="0"/>
        <v>11</v>
      </c>
      <c r="D25" s="300">
        <f>'Pool Cut'!G29</f>
        <v>2018</v>
      </c>
      <c r="E25" s="300">
        <f>'Pool Cut'!H29</f>
        <v>1300</v>
      </c>
      <c r="F25" s="300">
        <f>'Pool Cut'!I29</f>
        <v>1000</v>
      </c>
      <c r="G25" s="300">
        <f>'Pool Cut'!J29</f>
        <v>16439</v>
      </c>
      <c r="H25" s="301">
        <f>'Pool Cut'!K29</f>
        <v>6023</v>
      </c>
      <c r="I25" s="302">
        <f>'Pool Cut'!M29</f>
        <v>4.5</v>
      </c>
      <c r="J25" s="302">
        <f>'Pool Cut'!N29</f>
        <v>2.7705799999999998</v>
      </c>
      <c r="K25" s="303">
        <f>'Pool Cut'!P29</f>
        <v>45092</v>
      </c>
      <c r="L25" s="304">
        <f t="shared" ca="1" si="1"/>
        <v>45</v>
      </c>
      <c r="M25" s="305" t="s">
        <v>323</v>
      </c>
      <c r="N25" s="306">
        <f>'Pool Cut'!R29</f>
        <v>9000</v>
      </c>
      <c r="O25" s="306">
        <f>'Pool Cut'!S29</f>
        <v>4500</v>
      </c>
      <c r="P25" s="307">
        <f>'Pool Cut'!T29</f>
        <v>300</v>
      </c>
      <c r="Q25" s="286"/>
      <c r="R25" s="119">
        <v>2.7</v>
      </c>
      <c r="S25" s="120" t="s">
        <v>305</v>
      </c>
      <c r="AF25" s="429">
        <v>21</v>
      </c>
      <c r="AG25" s="431">
        <v>76634543.54406561</v>
      </c>
      <c r="AH25" s="424">
        <v>12728642.736095315</v>
      </c>
    </row>
    <row r="26" spans="1:34" s="295" customFormat="1">
      <c r="A26" s="299">
        <f>'Pool Cut'!A30</f>
        <v>15</v>
      </c>
      <c r="B26" s="300">
        <f>'Pool Cut'!F32</f>
        <v>2008</v>
      </c>
      <c r="C26" s="300">
        <f t="shared" ca="1" si="0"/>
        <v>11</v>
      </c>
      <c r="D26" s="300">
        <f>'Pool Cut'!G30</f>
        <v>2022</v>
      </c>
      <c r="E26" s="300">
        <f>'Pool Cut'!H30</f>
        <v>1700</v>
      </c>
      <c r="F26" s="300">
        <f>'Pool Cut'!I30</f>
        <v>1300</v>
      </c>
      <c r="G26" s="300">
        <f>'Pool Cut'!J30</f>
        <v>23716</v>
      </c>
      <c r="H26" s="301">
        <f>'Pool Cut'!K30</f>
        <v>9056</v>
      </c>
      <c r="I26" s="302">
        <f>'Pool Cut'!M30</f>
        <v>6</v>
      </c>
      <c r="J26" s="302">
        <f>'Pool Cut'!N30</f>
        <v>4.1657599999999997</v>
      </c>
      <c r="K26" s="303">
        <f>'Pool Cut'!P30</f>
        <v>44104</v>
      </c>
      <c r="L26" s="304">
        <f t="shared" ca="1" si="1"/>
        <v>13</v>
      </c>
      <c r="M26" s="305" t="s">
        <v>323</v>
      </c>
      <c r="N26" s="306">
        <f>'Pool Cut'!R30</f>
        <v>9000</v>
      </c>
      <c r="O26" s="306">
        <f>'Pool Cut'!S30</f>
        <v>4750</v>
      </c>
      <c r="P26" s="307">
        <f>'Pool Cut'!T30</f>
        <v>300</v>
      </c>
      <c r="Q26" s="286"/>
      <c r="R26" s="317">
        <v>5.2</v>
      </c>
      <c r="S26" s="318" t="s">
        <v>186</v>
      </c>
      <c r="AF26" s="429">
        <v>22</v>
      </c>
      <c r="AG26" s="431">
        <v>75038389.610596225</v>
      </c>
      <c r="AH26" s="424">
        <v>12544964.527408442</v>
      </c>
    </row>
    <row r="27" spans="1:34" s="295" customFormat="1">
      <c r="A27" s="299">
        <f>'Pool Cut'!A31</f>
        <v>22</v>
      </c>
      <c r="B27" s="300">
        <f>'Pool Cut'!F23</f>
        <v>2005</v>
      </c>
      <c r="C27" s="300">
        <f t="shared" ca="1" si="0"/>
        <v>14</v>
      </c>
      <c r="D27" s="300">
        <f>'Pool Cut'!G31</f>
        <v>2023</v>
      </c>
      <c r="E27" s="300">
        <f>'Pool Cut'!H31</f>
        <v>1900</v>
      </c>
      <c r="F27" s="300">
        <f>'Pool Cut'!I31</f>
        <v>1400</v>
      </c>
      <c r="G27" s="300">
        <f>'Pool Cut'!J31</f>
        <v>21000</v>
      </c>
      <c r="H27" s="301">
        <f>'Pool Cut'!K31</f>
        <v>8800</v>
      </c>
      <c r="I27" s="302">
        <f>'Pool Cut'!M31</f>
        <v>9.5</v>
      </c>
      <c r="J27" s="302">
        <f>'Pool Cut'!N31</f>
        <v>4.048</v>
      </c>
      <c r="K27" s="303">
        <f>'Pool Cut'!P31</f>
        <v>44377</v>
      </c>
      <c r="L27" s="304">
        <f t="shared" ca="1" si="1"/>
        <v>22</v>
      </c>
      <c r="M27" s="305" t="s">
        <v>323</v>
      </c>
      <c r="N27" s="306">
        <f>'Pool Cut'!R31</f>
        <v>9500</v>
      </c>
      <c r="O27" s="306">
        <f>'Pool Cut'!S31</f>
        <v>4850</v>
      </c>
      <c r="P27" s="307">
        <f>'Pool Cut'!T31</f>
        <v>350</v>
      </c>
      <c r="Q27" s="286"/>
      <c r="R27" s="317">
        <v>8.9</v>
      </c>
      <c r="S27" s="318" t="s">
        <v>306</v>
      </c>
      <c r="AF27" s="429">
        <v>23</v>
      </c>
      <c r="AG27" s="431">
        <v>73437580.228154197</v>
      </c>
      <c r="AH27" s="424">
        <v>12360291.395091178</v>
      </c>
    </row>
    <row r="28" spans="1:34" s="295" customFormat="1" ht="15" thickBot="1">
      <c r="A28" s="308">
        <f>'Pool Cut'!A32</f>
        <v>23</v>
      </c>
      <c r="B28" s="309">
        <f>'Pool Cut'!F24</f>
        <v>2002</v>
      </c>
      <c r="C28" s="309">
        <f t="shared" ca="1" si="0"/>
        <v>17</v>
      </c>
      <c r="D28" s="309">
        <f>'Pool Cut'!G32</f>
        <v>2023</v>
      </c>
      <c r="E28" s="309">
        <f>'Pool Cut'!H32</f>
        <v>1700</v>
      </c>
      <c r="F28" s="309">
        <f>'Pool Cut'!I32</f>
        <v>1200</v>
      </c>
      <c r="G28" s="309">
        <f>'Pool Cut'!J32</f>
        <v>21000</v>
      </c>
      <c r="H28" s="310">
        <f>'Pool Cut'!K32</f>
        <v>7700</v>
      </c>
      <c r="I28" s="311">
        <f>'Pool Cut'!M32</f>
        <v>7.75</v>
      </c>
      <c r="J28" s="311">
        <f>'Pool Cut'!N32</f>
        <v>3.5419999999999998</v>
      </c>
      <c r="K28" s="312">
        <f>'Pool Cut'!P32</f>
        <v>44012</v>
      </c>
      <c r="L28" s="313">
        <f t="shared" ca="1" si="1"/>
        <v>9</v>
      </c>
      <c r="M28" s="314" t="s">
        <v>323</v>
      </c>
      <c r="N28" s="315">
        <f>'Pool Cut'!R32</f>
        <v>9000</v>
      </c>
      <c r="O28" s="315">
        <f>'Pool Cut'!S32</f>
        <v>4600</v>
      </c>
      <c r="P28" s="316">
        <f>'Pool Cut'!T32</f>
        <v>350</v>
      </c>
      <c r="Q28" s="286"/>
      <c r="R28" s="317">
        <v>13</v>
      </c>
      <c r="S28" s="318" t="s">
        <v>307</v>
      </c>
      <c r="AF28" s="429">
        <v>24</v>
      </c>
      <c r="AG28" s="431">
        <v>71832101.818346694</v>
      </c>
      <c r="AH28" s="424">
        <v>12174617.949973864</v>
      </c>
    </row>
    <row r="29" spans="1:34">
      <c r="A29" s="27"/>
      <c r="B29" s="27"/>
      <c r="C29" s="27"/>
      <c r="D29" s="27"/>
      <c r="E29" s="27"/>
      <c r="F29" s="27"/>
      <c r="G29" s="27"/>
      <c r="H29" s="209"/>
      <c r="I29" s="203"/>
      <c r="J29" s="203"/>
      <c r="K29" s="27"/>
      <c r="L29" s="27"/>
      <c r="M29" s="27"/>
      <c r="N29" s="27"/>
      <c r="O29" s="27"/>
      <c r="P29" s="27"/>
      <c r="Q29" s="27"/>
      <c r="R29" s="317">
        <v>19</v>
      </c>
      <c r="S29" s="318" t="s">
        <v>187</v>
      </c>
      <c r="AF29" s="429">
        <v>25</v>
      </c>
      <c r="AG29" s="431">
        <v>70221940.763177276</v>
      </c>
      <c r="AH29" s="424">
        <v>11987938.773695497</v>
      </c>
    </row>
    <row r="30" spans="1:34">
      <c r="A30" s="27"/>
      <c r="B30" s="27"/>
      <c r="C30" s="27"/>
      <c r="D30" s="27"/>
      <c r="E30" s="27"/>
      <c r="F30" s="27"/>
      <c r="G30" s="27"/>
      <c r="H30" s="209"/>
      <c r="I30" s="203"/>
      <c r="J30" s="203"/>
      <c r="K30" s="27"/>
      <c r="L30" s="27"/>
      <c r="M30" s="27"/>
      <c r="N30" s="27"/>
      <c r="O30" s="27"/>
      <c r="P30" s="27"/>
      <c r="Q30" s="27"/>
      <c r="R30" s="317">
        <v>27</v>
      </c>
      <c r="S30" s="318" t="s">
        <v>308</v>
      </c>
      <c r="AF30" s="429">
        <v>26</v>
      </c>
      <c r="AG30" s="431">
        <v>68607083.404930264</v>
      </c>
      <c r="AH30" s="424">
        <v>11800248.418545628</v>
      </c>
    </row>
    <row r="31" spans="1:34">
      <c r="A31" s="27"/>
      <c r="B31" s="27"/>
      <c r="C31" s="27"/>
      <c r="D31" s="27"/>
      <c r="E31" s="27"/>
      <c r="F31" s="27"/>
      <c r="G31" s="27"/>
      <c r="H31" s="209"/>
      <c r="I31" s="203"/>
      <c r="J31" s="203"/>
      <c r="K31" s="27"/>
      <c r="L31" s="27"/>
      <c r="M31" s="27"/>
      <c r="N31" s="27"/>
      <c r="O31" s="27"/>
      <c r="P31" s="27"/>
      <c r="Q31" s="27"/>
      <c r="R31" s="317">
        <v>46</v>
      </c>
      <c r="S31" s="318" t="s">
        <v>309</v>
      </c>
      <c r="AF31" s="429">
        <v>27</v>
      </c>
      <c r="AG31" s="431">
        <v>66987516.046055086</v>
      </c>
      <c r="AH31" s="424">
        <v>11611541.40730536</v>
      </c>
    </row>
    <row r="32" spans="1:34">
      <c r="A32" s="27"/>
      <c r="B32" s="27"/>
      <c r="C32" s="27"/>
      <c r="D32" s="27"/>
      <c r="E32" s="27"/>
      <c r="F32" s="27"/>
      <c r="G32" s="27"/>
      <c r="H32" s="209"/>
      <c r="I32" s="203"/>
      <c r="J32" s="203"/>
      <c r="K32" s="27"/>
      <c r="L32" s="27"/>
      <c r="M32" s="27"/>
      <c r="N32" s="27"/>
      <c r="O32" s="27"/>
      <c r="P32" s="27"/>
      <c r="Q32" s="27"/>
      <c r="R32" s="317">
        <v>72</v>
      </c>
      <c r="S32" s="318" t="s">
        <v>310</v>
      </c>
      <c r="AF32" s="429">
        <v>28</v>
      </c>
      <c r="AG32" s="431">
        <v>65363224.949049808</v>
      </c>
      <c r="AH32" s="424">
        <v>11421812.23308754</v>
      </c>
    </row>
    <row r="33" spans="1:34">
      <c r="A33" s="27"/>
      <c r="B33" s="27"/>
      <c r="C33" s="27"/>
      <c r="D33" s="27"/>
      <c r="E33" s="27"/>
      <c r="F33" s="27"/>
      <c r="G33" s="27"/>
      <c r="H33" s="209"/>
      <c r="I33" s="203"/>
      <c r="J33" s="203"/>
      <c r="K33" s="27"/>
      <c r="L33" s="27"/>
      <c r="M33" s="27"/>
      <c r="N33" s="27"/>
      <c r="O33" s="27"/>
      <c r="P33" s="27"/>
      <c r="Q33" s="27"/>
      <c r="R33" s="317">
        <v>106</v>
      </c>
      <c r="S33" s="318" t="s">
        <v>311</v>
      </c>
      <c r="AF33" s="429">
        <v>29</v>
      </c>
      <c r="AG33" s="431">
        <v>63734196.33634489</v>
      </c>
      <c r="AH33" s="424">
        <v>11231055.359176038</v>
      </c>
    </row>
    <row r="34" spans="1:34">
      <c r="A34" s="27"/>
      <c r="B34" s="27"/>
      <c r="C34" s="27"/>
      <c r="D34" s="27"/>
      <c r="E34" s="27"/>
      <c r="F34" s="27"/>
      <c r="G34" s="27"/>
      <c r="H34" s="209"/>
      <c r="I34" s="203"/>
      <c r="J34" s="203"/>
      <c r="K34" s="27"/>
      <c r="L34" s="27"/>
      <c r="M34" s="27"/>
      <c r="N34" s="27"/>
      <c r="O34" s="27"/>
      <c r="P34" s="27"/>
      <c r="Q34" s="27"/>
      <c r="R34" s="317">
        <v>143</v>
      </c>
      <c r="S34" s="318" t="s">
        <v>312</v>
      </c>
      <c r="AF34" s="429">
        <v>30</v>
      </c>
      <c r="AG34" s="431">
        <v>62100416.390186347</v>
      </c>
      <c r="AH34" s="424">
        <v>11039265.218864188</v>
      </c>
    </row>
    <row r="35" spans="1:34">
      <c r="R35" s="317">
        <v>183</v>
      </c>
      <c r="S35" s="318" t="s">
        <v>313</v>
      </c>
      <c r="AF35" s="429">
        <v>31</v>
      </c>
      <c r="AG35" s="431">
        <v>60461871.252518088</v>
      </c>
      <c r="AH35" s="424">
        <v>10846436.21529231</v>
      </c>
    </row>
    <row r="36" spans="1:34">
      <c r="R36" s="317">
        <v>231</v>
      </c>
      <c r="S36" s="318" t="s">
        <v>314</v>
      </c>
      <c r="AF36" s="429">
        <v>32</v>
      </c>
      <c r="AG36" s="431">
        <v>58818547.024865046</v>
      </c>
      <c r="AH36" s="424">
        <v>10652562.721284419</v>
      </c>
    </row>
    <row r="37" spans="1:34">
      <c r="R37" s="119">
        <v>311</v>
      </c>
      <c r="S37" s="120" t="s">
        <v>315</v>
      </c>
      <c r="AF37" s="429">
        <v>33</v>
      </c>
      <c r="AG37" s="431">
        <v>57170429.768214643</v>
      </c>
      <c r="AH37" s="424">
        <v>10457639.079183986</v>
      </c>
    </row>
    <row r="38" spans="1:34" ht="15" thickBot="1">
      <c r="R38" s="121">
        <v>2500</v>
      </c>
      <c r="S38" s="122" t="s">
        <v>316</v>
      </c>
      <c r="AF38" s="429">
        <v>34</v>
      </c>
      <c r="AG38" s="431">
        <v>55517505.502898954</v>
      </c>
      <c r="AH38" s="424">
        <v>10261659.600688841</v>
      </c>
    </row>
    <row r="39" spans="1:34">
      <c r="R39" s="251"/>
      <c r="S39" s="251"/>
      <c r="AF39" s="429">
        <v>35</v>
      </c>
      <c r="AG39" s="431">
        <v>53859760.208476163</v>
      </c>
      <c r="AH39" s="424">
        <v>10064618.566685181</v>
      </c>
    </row>
    <row r="40" spans="1:34">
      <c r="R40" s="251"/>
      <c r="S40" s="251"/>
      <c r="AF40" s="429">
        <v>36</v>
      </c>
      <c r="AG40" s="431">
        <v>52197179.823611259</v>
      </c>
      <c r="AH40" s="424">
        <v>9866510.2270806693</v>
      </c>
    </row>
    <row r="41" spans="1:34">
      <c r="R41" s="251"/>
      <c r="S41" s="251"/>
      <c r="AF41" s="429">
        <v>37</v>
      </c>
      <c r="AG41" s="431">
        <v>50529750.245957233</v>
      </c>
      <c r="AH41" s="424">
        <v>9667328.8006366342</v>
      </c>
    </row>
    <row r="42" spans="1:34">
      <c r="R42" s="251"/>
      <c r="S42" s="251"/>
      <c r="AF42" s="429">
        <v>38</v>
      </c>
      <c r="AG42" s="431">
        <v>48857457.332035027</v>
      </c>
      <c r="AH42" s="424">
        <v>9467068.4747993574</v>
      </c>
    </row>
    <row r="43" spans="1:34">
      <c r="AF43" s="429">
        <v>39</v>
      </c>
      <c r="AG43" s="431">
        <v>47180286.897113852</v>
      </c>
      <c r="AH43" s="424">
        <v>9265723.4055304658</v>
      </c>
    </row>
    <row r="44" spans="1:34">
      <c r="AF44" s="429">
        <v>40</v>
      </c>
      <c r="AG44" s="431">
        <v>45498224.715090834</v>
      </c>
      <c r="AH44" s="424">
        <v>9063287.7171363644</v>
      </c>
    </row>
    <row r="45" spans="1:34">
      <c r="AF45" s="429">
        <v>41</v>
      </c>
      <c r="AG45" s="431">
        <v>43811256.518370211</v>
      </c>
      <c r="AH45" s="424">
        <v>8859755.5020967945</v>
      </c>
    </row>
    <row r="46" spans="1:34">
      <c r="AF46" s="429">
        <v>42</v>
      </c>
      <c r="AG46" s="431">
        <v>42119367.997742541</v>
      </c>
      <c r="AH46" s="424">
        <v>8655120.820892429</v>
      </c>
    </row>
    <row r="47" spans="1:34">
      <c r="AF47" s="429">
        <v>43</v>
      </c>
      <c r="AG47" s="431">
        <v>40422544.802263066</v>
      </c>
      <c r="AH47" s="424">
        <v>8449377.7018315345</v>
      </c>
    </row>
    <row r="48" spans="1:34">
      <c r="AF48" s="429">
        <v>44</v>
      </c>
      <c r="AG48" s="431">
        <v>38720772.539129995</v>
      </c>
      <c r="AH48" s="424">
        <v>8242520.1408757363</v>
      </c>
    </row>
    <row r="49" spans="32:34">
      <c r="AF49" s="429">
        <v>45</v>
      </c>
      <c r="AG49" s="431">
        <v>37014036.773562923</v>
      </c>
      <c r="AH49" s="424">
        <v>8034542.101464754</v>
      </c>
    </row>
    <row r="50" spans="32:34">
      <c r="AF50" s="429">
        <v>46</v>
      </c>
      <c r="AG50" s="431">
        <v>35302323.028679535</v>
      </c>
      <c r="AH50" s="424">
        <v>7825437.5143402983</v>
      </c>
    </row>
    <row r="51" spans="32:34">
      <c r="AF51" s="429">
        <v>47</v>
      </c>
      <c r="AG51" s="431">
        <v>33585616.785373561</v>
      </c>
      <c r="AH51" s="424">
        <v>7615200.2773689199</v>
      </c>
    </row>
    <row r="52" spans="32:34">
      <c r="AF52" s="429">
        <v>48</v>
      </c>
      <c r="AG52" s="431">
        <v>31863903.482191313</v>
      </c>
      <c r="AH52" s="424">
        <v>7403824.2553639421</v>
      </c>
    </row>
    <row r="53" spans="32:34">
      <c r="AF53" s="429">
        <v>49</v>
      </c>
      <c r="AG53" s="431">
        <v>30137168.515208106</v>
      </c>
      <c r="AH53" s="424">
        <v>7191303.2799064405</v>
      </c>
    </row>
    <row r="54" spans="32:34">
      <c r="AF54" s="429">
        <v>50</v>
      </c>
      <c r="AG54" s="431">
        <v>28405397.237904504</v>
      </c>
      <c r="AH54" s="424">
        <v>6977631.1491652094</v>
      </c>
    </row>
    <row r="55" spans="32:34">
      <c r="AF55" s="429">
        <v>51</v>
      </c>
      <c r="AG55" s="431">
        <v>26668574.961042177</v>
      </c>
      <c r="AH55" s="424">
        <v>6762801.6277158</v>
      </c>
    </row>
    <row r="56" spans="32:34">
      <c r="AF56" s="429">
        <v>52</v>
      </c>
      <c r="AG56" s="431">
        <v>24926686.952538963</v>
      </c>
      <c r="AH56" s="424">
        <v>6546808.4463585345</v>
      </c>
    </row>
    <row r="57" spans="32:34">
      <c r="AF57" s="429">
        <v>53</v>
      </c>
      <c r="AG57" s="431">
        <v>23179718.437344242</v>
      </c>
      <c r="AH57" s="424">
        <v>6329645.3019355871</v>
      </c>
    </row>
    <row r="58" spans="32:34">
      <c r="AF58" s="429">
        <v>54</v>
      </c>
      <c r="AG58" s="431">
        <v>21427654.597313587</v>
      </c>
      <c r="AH58" s="424">
        <v>6111305.8571470119</v>
      </c>
    </row>
    <row r="59" spans="32:34">
      <c r="AF59" s="429">
        <v>55</v>
      </c>
      <c r="AG59" s="431">
        <v>19670480.571082816</v>
      </c>
      <c r="AH59" s="424">
        <v>5891783.7403658377</v>
      </c>
    </row>
    <row r="60" spans="32:34">
      <c r="AF60" s="429">
        <v>56</v>
      </c>
      <c r="AG60" s="431">
        <v>17908181.453942154</v>
      </c>
      <c r="AH60" s="424">
        <v>5671072.5454520928</v>
      </c>
    </row>
    <row r="61" spans="32:34">
      <c r="AF61" s="429">
        <v>57</v>
      </c>
      <c r="AG61" s="431">
        <v>16140742.297709886</v>
      </c>
      <c r="AH61" s="424">
        <v>5449165.8315659016</v>
      </c>
    </row>
    <row r="62" spans="32:34">
      <c r="AF62" s="429">
        <v>58</v>
      </c>
      <c r="AG62" s="431">
        <v>14368148.110605324</v>
      </c>
      <c r="AH62" s="424">
        <v>5226057.1229794938</v>
      </c>
    </row>
    <row r="63" spans="32:34">
      <c r="AF63" s="429">
        <v>59</v>
      </c>
      <c r="AG63" s="431">
        <v>12590383.857121635</v>
      </c>
      <c r="AH63" s="424">
        <v>5001739.9088882413</v>
      </c>
    </row>
    <row r="64" spans="32:34">
      <c r="AF64" s="429">
        <v>60</v>
      </c>
      <c r="AG64" s="431">
        <v>10807434.457898676</v>
      </c>
      <c r="AH64" s="424">
        <v>4776207.6432206659</v>
      </c>
    </row>
    <row r="65" spans="32:34">
      <c r="AF65" s="429">
        <v>61</v>
      </c>
      <c r="AG65" s="431">
        <v>9019284.789594572</v>
      </c>
      <c r="AH65" s="424">
        <v>4549453.744447385</v>
      </c>
    </row>
    <row r="66" spans="32:34">
      <c r="AF66" s="429">
        <v>62</v>
      </c>
      <c r="AG66" s="431">
        <v>7225919.6847579852</v>
      </c>
      <c r="AH66" s="424">
        <v>4321471.5953890877</v>
      </c>
    </row>
    <row r="67" spans="32:34">
      <c r="AF67" s="429">
        <v>63</v>
      </c>
      <c r="AG67" s="431">
        <v>5427323.9316989435</v>
      </c>
      <c r="AH67" s="424">
        <v>4092254.5430233851</v>
      </c>
    </row>
    <row r="68" spans="32:34">
      <c r="AF68" s="429">
        <v>64</v>
      </c>
      <c r="AG68" s="431">
        <v>3623482.2743600723</v>
      </c>
      <c r="AH68" s="424">
        <v>3861795.8982907035</v>
      </c>
    </row>
    <row r="69" spans="32:34">
      <c r="AF69" s="429">
        <v>65</v>
      </c>
      <c r="AG69" s="431">
        <v>1814379.4121874128</v>
      </c>
      <c r="AH69" s="424">
        <v>3630088.9358990551</v>
      </c>
    </row>
    <row r="70" spans="32:34">
      <c r="AF70" s="429">
        <v>66</v>
      </c>
      <c r="AG70" s="431">
        <v>0</v>
      </c>
      <c r="AH70" s="424">
        <v>3397126.8941277894</v>
      </c>
    </row>
    <row r="71" spans="32:34">
      <c r="AF71" s="429">
        <v>67</v>
      </c>
      <c r="AG71" s="431">
        <v>0</v>
      </c>
      <c r="AH71" s="424">
        <v>3162902.9746302539</v>
      </c>
    </row>
    <row r="72" spans="32:34">
      <c r="AF72" s="429">
        <v>68</v>
      </c>
      <c r="AG72" s="431">
        <v>0</v>
      </c>
      <c r="AH72" s="424">
        <v>2927410.3422354441</v>
      </c>
    </row>
    <row r="73" spans="32:34">
      <c r="AF73" s="429">
        <v>69</v>
      </c>
      <c r="AG73" s="431">
        <v>0</v>
      </c>
      <c r="AH73" s="424">
        <v>2690642.1247484973</v>
      </c>
    </row>
    <row r="74" spans="32:34">
      <c r="AF74" s="429">
        <v>70</v>
      </c>
      <c r="AG74" s="431">
        <v>0</v>
      </c>
      <c r="AH74" s="424">
        <v>2452591.4127501631</v>
      </c>
    </row>
    <row r="75" spans="32:34">
      <c r="AF75" s="429">
        <v>71</v>
      </c>
      <c r="AG75" s="431">
        <v>0</v>
      </c>
      <c r="AH75" s="424">
        <v>2213251.2593951663</v>
      </c>
    </row>
    <row r="76" spans="32:34">
      <c r="AF76" s="429">
        <v>72</v>
      </c>
      <c r="AG76" s="431">
        <v>0</v>
      </c>
      <c r="AH76" s="424">
        <v>1972614.6802095007</v>
      </c>
    </row>
    <row r="77" spans="32:34">
      <c r="AF77" s="429">
        <v>73</v>
      </c>
      <c r="AG77" s="431">
        <v>0</v>
      </c>
      <c r="AH77" s="424">
        <v>1730674.6528865804</v>
      </c>
    </row>
    <row r="78" spans="32:34">
      <c r="AF78" s="429">
        <v>74</v>
      </c>
      <c r="AG78" s="431">
        <v>0</v>
      </c>
      <c r="AH78" s="424">
        <v>1487424.1170823241</v>
      </c>
    </row>
    <row r="79" spans="32:34">
      <c r="AF79" s="429">
        <v>75</v>
      </c>
      <c r="AG79" s="431">
        <v>0</v>
      </c>
      <c r="AH79" s="424">
        <v>1242855.974209131</v>
      </c>
    </row>
    <row r="80" spans="32:34">
      <c r="AF80" s="429">
        <v>76</v>
      </c>
      <c r="AG80" s="431">
        <v>0</v>
      </c>
      <c r="AH80" s="424">
        <v>996963.08722870797</v>
      </c>
    </row>
    <row r="81" spans="32:34">
      <c r="AF81" s="429">
        <v>77</v>
      </c>
      <c r="AG81" s="431">
        <v>0</v>
      </c>
      <c r="AH81" s="424">
        <v>749738.28044380853</v>
      </c>
    </row>
    <row r="82" spans="32:34">
      <c r="AF82" s="429">
        <v>78</v>
      </c>
      <c r="AG82" s="431">
        <v>0</v>
      </c>
      <c r="AH82" s="424">
        <v>501174.33928881725</v>
      </c>
    </row>
    <row r="83" spans="32:34">
      <c r="AF83" s="429">
        <v>79</v>
      </c>
      <c r="AG83" s="431">
        <v>0</v>
      </c>
      <c r="AH83" s="424">
        <v>251264.0101192421</v>
      </c>
    </row>
    <row r="84" spans="32:34">
      <c r="AF84" s="429">
        <v>80</v>
      </c>
      <c r="AG84" s="431">
        <v>0</v>
      </c>
      <c r="AH84" s="424">
        <v>0</v>
      </c>
    </row>
    <row r="85" spans="32:34">
      <c r="AF85" s="429">
        <v>81</v>
      </c>
      <c r="AG85" s="431">
        <v>0</v>
      </c>
      <c r="AH85" s="424">
        <v>0</v>
      </c>
    </row>
    <row r="86" spans="32:34">
      <c r="AF86" s="429">
        <v>82</v>
      </c>
      <c r="AG86" s="431">
        <v>0</v>
      </c>
      <c r="AH86" s="424">
        <v>0</v>
      </c>
    </row>
    <row r="87" spans="32:34">
      <c r="AF87" s="429">
        <v>83</v>
      </c>
      <c r="AG87" s="431">
        <v>0</v>
      </c>
      <c r="AH87" s="424">
        <v>0</v>
      </c>
    </row>
    <row r="88" spans="32:34">
      <c r="AF88" s="429">
        <v>84</v>
      </c>
      <c r="AG88" s="431">
        <v>0</v>
      </c>
      <c r="AH88" s="424">
        <v>0</v>
      </c>
    </row>
    <row r="89" spans="32:34">
      <c r="AF89" s="429">
        <v>85</v>
      </c>
      <c r="AG89" s="431">
        <v>0</v>
      </c>
      <c r="AH89" s="424">
        <v>0</v>
      </c>
    </row>
    <row r="90" spans="32:34">
      <c r="AF90" s="429">
        <v>86</v>
      </c>
      <c r="AG90" s="431">
        <v>0</v>
      </c>
      <c r="AH90" s="424">
        <v>0</v>
      </c>
    </row>
    <row r="91" spans="32:34">
      <c r="AF91" s="429">
        <v>87</v>
      </c>
      <c r="AG91" s="431">
        <v>0</v>
      </c>
      <c r="AH91" s="424">
        <v>0</v>
      </c>
    </row>
    <row r="92" spans="32:34">
      <c r="AF92" s="429">
        <v>88</v>
      </c>
      <c r="AG92" s="431">
        <v>0</v>
      </c>
      <c r="AH92" s="424">
        <v>0</v>
      </c>
    </row>
    <row r="93" spans="32:34">
      <c r="AF93" s="429">
        <v>89</v>
      </c>
      <c r="AG93" s="431">
        <v>0</v>
      </c>
      <c r="AH93" s="424">
        <v>0</v>
      </c>
    </row>
    <row r="94" spans="32:34">
      <c r="AF94" s="429">
        <v>90</v>
      </c>
      <c r="AG94" s="431">
        <v>0</v>
      </c>
      <c r="AH94" s="424">
        <v>0</v>
      </c>
    </row>
    <row r="95" spans="32:34">
      <c r="AF95" s="429">
        <v>91</v>
      </c>
      <c r="AG95" s="431">
        <v>0</v>
      </c>
      <c r="AH95" s="424">
        <v>0</v>
      </c>
    </row>
    <row r="96" spans="32:34">
      <c r="AF96" s="429">
        <v>92</v>
      </c>
      <c r="AG96" s="431">
        <v>0</v>
      </c>
      <c r="AH96" s="424">
        <v>0</v>
      </c>
    </row>
    <row r="97" spans="32:34">
      <c r="AF97" s="429">
        <v>93</v>
      </c>
      <c r="AG97" s="431">
        <v>0</v>
      </c>
      <c r="AH97" s="424">
        <v>0</v>
      </c>
    </row>
    <row r="98" spans="32:34">
      <c r="AF98" s="429">
        <v>94</v>
      </c>
      <c r="AG98" s="431">
        <v>0</v>
      </c>
      <c r="AH98" s="424">
        <v>0</v>
      </c>
    </row>
    <row r="99" spans="32:34">
      <c r="AF99" s="429">
        <v>95</v>
      </c>
      <c r="AG99" s="431">
        <v>0</v>
      </c>
      <c r="AH99" s="424">
        <v>0</v>
      </c>
    </row>
    <row r="100" spans="32:34">
      <c r="AF100" s="429">
        <v>96</v>
      </c>
      <c r="AG100" s="431">
        <v>0</v>
      </c>
      <c r="AH100" s="424">
        <v>0</v>
      </c>
    </row>
    <row r="101" spans="32:34">
      <c r="AF101" s="429">
        <v>97</v>
      </c>
      <c r="AG101" s="431">
        <v>0</v>
      </c>
      <c r="AH101" s="424">
        <v>0</v>
      </c>
    </row>
    <row r="102" spans="32:34">
      <c r="AF102" s="429">
        <v>98</v>
      </c>
      <c r="AG102" s="431">
        <v>0</v>
      </c>
      <c r="AH102" s="424">
        <v>0</v>
      </c>
    </row>
    <row r="103" spans="32:34">
      <c r="AF103" s="429">
        <v>99</v>
      </c>
      <c r="AG103" s="431">
        <v>0</v>
      </c>
      <c r="AH103" s="424">
        <v>0</v>
      </c>
    </row>
    <row r="104" spans="32:34">
      <c r="AF104" s="429">
        <v>100</v>
      </c>
      <c r="AG104" s="431">
        <v>0</v>
      </c>
      <c r="AH104" s="424">
        <v>0</v>
      </c>
    </row>
    <row r="105" spans="32:34">
      <c r="AF105" s="429">
        <v>101</v>
      </c>
      <c r="AG105" s="431">
        <v>0</v>
      </c>
      <c r="AH105" s="424">
        <v>0</v>
      </c>
    </row>
    <row r="106" spans="32:34">
      <c r="AF106" s="429">
        <v>102</v>
      </c>
      <c r="AG106" s="431">
        <v>0</v>
      </c>
      <c r="AH106" s="424">
        <v>0</v>
      </c>
    </row>
    <row r="107" spans="32:34">
      <c r="AF107" s="429">
        <v>103</v>
      </c>
      <c r="AG107" s="431">
        <v>0</v>
      </c>
      <c r="AH107" s="424">
        <v>0</v>
      </c>
    </row>
    <row r="108" spans="32:34">
      <c r="AF108" s="429">
        <v>104</v>
      </c>
      <c r="AG108" s="431">
        <v>0</v>
      </c>
      <c r="AH108" s="424">
        <v>0</v>
      </c>
    </row>
    <row r="109" spans="32:34">
      <c r="AF109" s="429">
        <v>105</v>
      </c>
      <c r="AG109" s="431">
        <v>0</v>
      </c>
      <c r="AH109" s="424">
        <v>0</v>
      </c>
    </row>
    <row r="110" spans="32:34">
      <c r="AF110" s="429">
        <v>106</v>
      </c>
      <c r="AG110" s="431">
        <v>0</v>
      </c>
      <c r="AH110" s="424">
        <v>0</v>
      </c>
    </row>
    <row r="111" spans="32:34">
      <c r="AF111" s="429">
        <v>107</v>
      </c>
      <c r="AG111" s="431">
        <v>0</v>
      </c>
      <c r="AH111" s="424">
        <v>0</v>
      </c>
    </row>
    <row r="112" spans="32:34">
      <c r="AF112" s="429">
        <v>108</v>
      </c>
      <c r="AG112" s="431">
        <v>0</v>
      </c>
      <c r="AH112" s="424">
        <v>0</v>
      </c>
    </row>
    <row r="113" spans="32:34">
      <c r="AF113" s="429">
        <v>109</v>
      </c>
      <c r="AG113" s="431">
        <v>0</v>
      </c>
      <c r="AH113" s="424">
        <v>0</v>
      </c>
    </row>
    <row r="114" spans="32:34">
      <c r="AF114" s="429">
        <v>110</v>
      </c>
      <c r="AG114" s="431">
        <v>0</v>
      </c>
      <c r="AH114" s="424">
        <v>0</v>
      </c>
    </row>
    <row r="115" spans="32:34">
      <c r="AF115" s="429">
        <v>111</v>
      </c>
      <c r="AG115" s="431">
        <v>0</v>
      </c>
      <c r="AH115" s="424">
        <v>0</v>
      </c>
    </row>
    <row r="116" spans="32:34">
      <c r="AF116" s="429">
        <v>112</v>
      </c>
      <c r="AG116" s="431">
        <v>0</v>
      </c>
      <c r="AH116" s="424">
        <v>0</v>
      </c>
    </row>
    <row r="117" spans="32:34">
      <c r="AF117" s="429">
        <v>113</v>
      </c>
      <c r="AG117" s="431">
        <v>0</v>
      </c>
      <c r="AH117" s="424">
        <v>0</v>
      </c>
    </row>
    <row r="118" spans="32:34">
      <c r="AF118" s="429">
        <v>114</v>
      </c>
      <c r="AG118" s="431">
        <v>0</v>
      </c>
      <c r="AH118" s="424">
        <v>0</v>
      </c>
    </row>
    <row r="119" spans="32:34">
      <c r="AF119" s="429">
        <v>115</v>
      </c>
      <c r="AG119" s="431">
        <v>0</v>
      </c>
      <c r="AH119" s="424">
        <v>0</v>
      </c>
    </row>
    <row r="120" spans="32:34">
      <c r="AF120" s="429">
        <v>116</v>
      </c>
      <c r="AG120" s="431">
        <v>0</v>
      </c>
      <c r="AH120" s="424">
        <v>0</v>
      </c>
    </row>
    <row r="121" spans="32:34">
      <c r="AF121" s="429">
        <v>117</v>
      </c>
      <c r="AG121" s="431">
        <v>0</v>
      </c>
      <c r="AH121" s="424">
        <v>0</v>
      </c>
    </row>
    <row r="122" spans="32:34">
      <c r="AF122" s="429">
        <v>118</v>
      </c>
      <c r="AG122" s="431">
        <v>0</v>
      </c>
      <c r="AH122" s="424">
        <v>0</v>
      </c>
    </row>
    <row r="123" spans="32:34">
      <c r="AF123" s="429">
        <v>119</v>
      </c>
      <c r="AG123" s="431">
        <v>0</v>
      </c>
      <c r="AH123" s="424">
        <v>0</v>
      </c>
    </row>
    <row r="124" spans="32:34">
      <c r="AF124" s="429">
        <v>120</v>
      </c>
      <c r="AG124" s="431">
        <v>0</v>
      </c>
      <c r="AH124" s="424">
        <v>0</v>
      </c>
    </row>
    <row r="125" spans="32:34">
      <c r="AF125" s="429">
        <v>121</v>
      </c>
      <c r="AG125" s="431">
        <v>0</v>
      </c>
      <c r="AH125" s="424">
        <v>0</v>
      </c>
    </row>
    <row r="126" spans="32:34">
      <c r="AF126" s="429">
        <v>122</v>
      </c>
      <c r="AG126" s="431">
        <v>0</v>
      </c>
      <c r="AH126" s="424">
        <v>0</v>
      </c>
    </row>
    <row r="127" spans="32:34">
      <c r="AF127" s="429">
        <v>123</v>
      </c>
      <c r="AG127" s="431">
        <v>0</v>
      </c>
      <c r="AH127" s="424">
        <v>0</v>
      </c>
    </row>
    <row r="128" spans="32:34">
      <c r="AF128" s="429">
        <v>124</v>
      </c>
      <c r="AG128" s="431">
        <v>0</v>
      </c>
      <c r="AH128" s="424">
        <v>0</v>
      </c>
    </row>
    <row r="129" spans="32:34">
      <c r="AF129" s="429">
        <v>125</v>
      </c>
      <c r="AG129" s="431">
        <v>0</v>
      </c>
      <c r="AH129" s="424">
        <v>0</v>
      </c>
    </row>
    <row r="130" spans="32:34">
      <c r="AF130" s="429">
        <v>126</v>
      </c>
      <c r="AG130" s="431">
        <v>0</v>
      </c>
      <c r="AH130" s="424">
        <v>0</v>
      </c>
    </row>
    <row r="131" spans="32:34">
      <c r="AF131" s="429">
        <v>127</v>
      </c>
      <c r="AG131" s="431">
        <v>0</v>
      </c>
      <c r="AH131" s="424">
        <v>0</v>
      </c>
    </row>
    <row r="132" spans="32:34">
      <c r="AF132" s="429">
        <v>128</v>
      </c>
      <c r="AG132" s="431">
        <v>0</v>
      </c>
      <c r="AH132" s="424">
        <v>0</v>
      </c>
    </row>
    <row r="133" spans="32:34">
      <c r="AF133" s="429">
        <v>129</v>
      </c>
      <c r="AG133" s="431">
        <v>0</v>
      </c>
      <c r="AH133" s="424">
        <v>0</v>
      </c>
    </row>
    <row r="134" spans="32:34">
      <c r="AF134" s="429">
        <v>130</v>
      </c>
      <c r="AG134" s="431">
        <v>0</v>
      </c>
      <c r="AH134" s="424">
        <v>0</v>
      </c>
    </row>
    <row r="135" spans="32:34">
      <c r="AF135" s="429">
        <v>131</v>
      </c>
      <c r="AG135" s="431">
        <v>0</v>
      </c>
      <c r="AH135" s="424">
        <v>0</v>
      </c>
    </row>
    <row r="136" spans="32:34">
      <c r="AF136" s="429">
        <v>132</v>
      </c>
      <c r="AG136" s="431">
        <v>0</v>
      </c>
      <c r="AH136" s="424">
        <v>0</v>
      </c>
    </row>
    <row r="137" spans="32:34">
      <c r="AF137" s="429">
        <v>133</v>
      </c>
      <c r="AG137" s="431">
        <v>0</v>
      </c>
      <c r="AH137" s="424">
        <v>0</v>
      </c>
    </row>
    <row r="138" spans="32:34">
      <c r="AF138" s="429">
        <v>134</v>
      </c>
      <c r="AG138" s="431">
        <v>0</v>
      </c>
      <c r="AH138" s="424">
        <v>0</v>
      </c>
    </row>
    <row r="139" spans="32:34">
      <c r="AF139" s="429">
        <v>135</v>
      </c>
      <c r="AG139" s="431">
        <v>0</v>
      </c>
      <c r="AH139" s="424">
        <v>0</v>
      </c>
    </row>
    <row r="140" spans="32:34">
      <c r="AF140" s="429">
        <v>136</v>
      </c>
      <c r="AG140" s="431">
        <v>0</v>
      </c>
      <c r="AH140" s="424">
        <v>0</v>
      </c>
    </row>
    <row r="141" spans="32:34">
      <c r="AF141" s="429">
        <v>137</v>
      </c>
      <c r="AG141" s="431">
        <v>0</v>
      </c>
      <c r="AH141" s="424">
        <v>0</v>
      </c>
    </row>
    <row r="142" spans="32:34">
      <c r="AF142" s="429">
        <v>138</v>
      </c>
      <c r="AG142" s="431">
        <v>0</v>
      </c>
      <c r="AH142" s="424">
        <v>0</v>
      </c>
    </row>
    <row r="143" spans="32:34">
      <c r="AF143" s="429">
        <v>139</v>
      </c>
      <c r="AG143" s="431">
        <v>0</v>
      </c>
      <c r="AH143" s="424">
        <v>0</v>
      </c>
    </row>
    <row r="144" spans="32:34">
      <c r="AF144" s="429">
        <v>140</v>
      </c>
      <c r="AG144" s="431">
        <v>0</v>
      </c>
      <c r="AH144" s="424">
        <v>0</v>
      </c>
    </row>
    <row r="145" spans="32:34">
      <c r="AF145" s="429">
        <v>141</v>
      </c>
      <c r="AG145" s="431">
        <v>0</v>
      </c>
      <c r="AH145" s="424">
        <v>0</v>
      </c>
    </row>
    <row r="146" spans="32:34">
      <c r="AF146" s="429">
        <v>142</v>
      </c>
      <c r="AG146" s="431">
        <v>0</v>
      </c>
      <c r="AH146" s="424">
        <v>0</v>
      </c>
    </row>
    <row r="147" spans="32:34">
      <c r="AF147" s="429">
        <v>143</v>
      </c>
      <c r="AG147" s="431">
        <v>0</v>
      </c>
      <c r="AH147" s="424">
        <v>0</v>
      </c>
    </row>
    <row r="148" spans="32:34">
      <c r="AF148" s="429">
        <v>144</v>
      </c>
      <c r="AG148" s="431">
        <v>0</v>
      </c>
      <c r="AH148" s="424">
        <v>0</v>
      </c>
    </row>
    <row r="149" spans="32:34">
      <c r="AF149" s="429">
        <v>145</v>
      </c>
      <c r="AG149" s="431">
        <v>0</v>
      </c>
      <c r="AH149" s="424">
        <v>0</v>
      </c>
    </row>
    <row r="150" spans="32:34">
      <c r="AF150" s="429">
        <v>146</v>
      </c>
      <c r="AG150" s="431">
        <v>0</v>
      </c>
      <c r="AH150" s="424">
        <v>0</v>
      </c>
    </row>
    <row r="151" spans="32:34">
      <c r="AF151" s="429">
        <v>147</v>
      </c>
      <c r="AG151" s="431">
        <v>0</v>
      </c>
      <c r="AH151" s="424">
        <v>0</v>
      </c>
    </row>
    <row r="152" spans="32:34">
      <c r="AF152" s="429">
        <v>148</v>
      </c>
      <c r="AG152" s="431">
        <v>0</v>
      </c>
      <c r="AH152" s="424">
        <v>0</v>
      </c>
    </row>
    <row r="153" spans="32:34">
      <c r="AF153" s="429">
        <v>149</v>
      </c>
      <c r="AG153" s="431">
        <v>0</v>
      </c>
      <c r="AH153" s="424">
        <v>0</v>
      </c>
    </row>
    <row r="154" spans="32:34">
      <c r="AF154" s="429">
        <v>150</v>
      </c>
      <c r="AG154" s="431">
        <v>0</v>
      </c>
      <c r="AH154" s="424">
        <v>0</v>
      </c>
    </row>
    <row r="155" spans="32:34">
      <c r="AF155" s="429">
        <v>151</v>
      </c>
      <c r="AG155" s="431">
        <v>0</v>
      </c>
      <c r="AH155" s="424">
        <v>0</v>
      </c>
    </row>
    <row r="156" spans="32:34">
      <c r="AF156" s="429">
        <v>152</v>
      </c>
      <c r="AG156" s="431">
        <v>0</v>
      </c>
      <c r="AH156" s="424">
        <v>0</v>
      </c>
    </row>
    <row r="157" spans="32:34">
      <c r="AF157" s="429">
        <v>153</v>
      </c>
      <c r="AG157" s="431">
        <v>0</v>
      </c>
      <c r="AH157" s="424">
        <v>0</v>
      </c>
    </row>
    <row r="158" spans="32:34">
      <c r="AF158" s="429">
        <v>154</v>
      </c>
      <c r="AG158" s="431">
        <v>0</v>
      </c>
      <c r="AH158" s="424">
        <v>0</v>
      </c>
    </row>
    <row r="159" spans="32:34">
      <c r="AF159" s="429">
        <v>155</v>
      </c>
      <c r="AG159" s="431">
        <v>0</v>
      </c>
      <c r="AH159" s="424">
        <v>0</v>
      </c>
    </row>
    <row r="160" spans="32:34">
      <c r="AF160" s="429">
        <v>156</v>
      </c>
      <c r="AG160" s="431">
        <v>0</v>
      </c>
      <c r="AH160" s="424">
        <v>0</v>
      </c>
    </row>
    <row r="161" spans="32:34">
      <c r="AF161" s="429">
        <v>157</v>
      </c>
      <c r="AG161" s="431">
        <v>0</v>
      </c>
      <c r="AH161" s="424">
        <v>0</v>
      </c>
    </row>
    <row r="162" spans="32:34">
      <c r="AF162" s="429">
        <v>158</v>
      </c>
      <c r="AG162" s="431">
        <v>0</v>
      </c>
      <c r="AH162" s="424">
        <v>0</v>
      </c>
    </row>
    <row r="163" spans="32:34">
      <c r="AF163" s="429">
        <v>159</v>
      </c>
      <c r="AG163" s="431">
        <v>0</v>
      </c>
      <c r="AH163" s="424">
        <v>0</v>
      </c>
    </row>
    <row r="164" spans="32:34">
      <c r="AF164" s="429">
        <v>160</v>
      </c>
      <c r="AG164" s="431">
        <v>0</v>
      </c>
      <c r="AH164" s="424">
        <v>0</v>
      </c>
    </row>
    <row r="165" spans="32:34">
      <c r="AF165" s="429">
        <v>161</v>
      </c>
      <c r="AG165" s="431">
        <v>0</v>
      </c>
      <c r="AH165" s="424">
        <v>0</v>
      </c>
    </row>
    <row r="166" spans="32:34">
      <c r="AF166" s="429">
        <v>162</v>
      </c>
      <c r="AG166" s="431">
        <v>0</v>
      </c>
      <c r="AH166" s="424">
        <v>0</v>
      </c>
    </row>
    <row r="167" spans="32:34">
      <c r="AF167" s="429">
        <v>163</v>
      </c>
      <c r="AG167" s="431">
        <v>0</v>
      </c>
      <c r="AH167" s="424">
        <v>0</v>
      </c>
    </row>
    <row r="168" spans="32:34">
      <c r="AF168" s="429">
        <v>164</v>
      </c>
      <c r="AG168" s="431">
        <v>0</v>
      </c>
      <c r="AH168" s="424">
        <v>0</v>
      </c>
    </row>
    <row r="169" spans="32:34">
      <c r="AF169" s="429">
        <v>165</v>
      </c>
      <c r="AG169" s="431">
        <v>0</v>
      </c>
      <c r="AH169" s="424">
        <v>0</v>
      </c>
    </row>
    <row r="170" spans="32:34">
      <c r="AF170" s="429">
        <v>166</v>
      </c>
      <c r="AG170" s="431">
        <v>0</v>
      </c>
      <c r="AH170" s="424">
        <v>0</v>
      </c>
    </row>
    <row r="171" spans="32:34">
      <c r="AF171" s="429">
        <v>167</v>
      </c>
      <c r="AG171" s="431">
        <v>0</v>
      </c>
      <c r="AH171" s="424">
        <v>0</v>
      </c>
    </row>
    <row r="172" spans="32:34">
      <c r="AF172" s="429">
        <v>168</v>
      </c>
      <c r="AG172" s="431">
        <v>0</v>
      </c>
      <c r="AH172" s="424">
        <v>0</v>
      </c>
    </row>
    <row r="173" spans="32:34">
      <c r="AF173" s="429">
        <v>169</v>
      </c>
      <c r="AG173" s="431">
        <v>0</v>
      </c>
      <c r="AH173" s="424">
        <v>0</v>
      </c>
    </row>
    <row r="174" spans="32:34">
      <c r="AF174" s="429">
        <v>170</v>
      </c>
      <c r="AG174" s="431">
        <v>0</v>
      </c>
      <c r="AH174" s="424">
        <v>0</v>
      </c>
    </row>
    <row r="175" spans="32:34">
      <c r="AF175" s="429">
        <v>171</v>
      </c>
      <c r="AG175" s="431">
        <v>0</v>
      </c>
      <c r="AH175" s="424">
        <v>0</v>
      </c>
    </row>
    <row r="176" spans="32:34">
      <c r="AF176" s="429">
        <v>172</v>
      </c>
      <c r="AG176" s="431">
        <v>0</v>
      </c>
      <c r="AH176" s="424">
        <v>0</v>
      </c>
    </row>
    <row r="177" spans="32:34">
      <c r="AF177" s="429">
        <v>173</v>
      </c>
      <c r="AG177" s="431">
        <v>0</v>
      </c>
      <c r="AH177" s="424">
        <v>0</v>
      </c>
    </row>
    <row r="178" spans="32:34">
      <c r="AF178" s="429">
        <v>174</v>
      </c>
      <c r="AG178" s="431">
        <v>0</v>
      </c>
      <c r="AH178" s="424">
        <v>0</v>
      </c>
    </row>
    <row r="179" spans="32:34">
      <c r="AF179" s="429">
        <v>175</v>
      </c>
      <c r="AG179" s="431">
        <v>0</v>
      </c>
      <c r="AH179" s="424">
        <v>0</v>
      </c>
    </row>
    <row r="180" spans="32:34">
      <c r="AF180" s="429">
        <v>176</v>
      </c>
      <c r="AG180" s="431">
        <v>0</v>
      </c>
      <c r="AH180" s="424">
        <v>0</v>
      </c>
    </row>
    <row r="181" spans="32:34">
      <c r="AF181" s="429">
        <v>177</v>
      </c>
      <c r="AG181" s="431">
        <v>0</v>
      </c>
      <c r="AH181" s="424">
        <v>0</v>
      </c>
    </row>
    <row r="182" spans="32:34">
      <c r="AF182" s="429">
        <v>178</v>
      </c>
      <c r="AG182" s="431">
        <v>0</v>
      </c>
      <c r="AH182" s="424">
        <v>0</v>
      </c>
    </row>
    <row r="183" spans="32:34">
      <c r="AF183" s="429">
        <v>179</v>
      </c>
      <c r="AG183" s="431">
        <v>0</v>
      </c>
      <c r="AH183" s="424">
        <v>0</v>
      </c>
    </row>
    <row r="184" spans="32:34">
      <c r="AF184" s="429">
        <v>180</v>
      </c>
      <c r="AG184" s="431">
        <v>0</v>
      </c>
      <c r="AH184" s="424">
        <v>0</v>
      </c>
    </row>
    <row r="185" spans="32:34">
      <c r="AF185" s="429">
        <v>181</v>
      </c>
      <c r="AG185" s="431">
        <v>0</v>
      </c>
      <c r="AH185" s="424">
        <v>0</v>
      </c>
    </row>
    <row r="186" spans="32:34">
      <c r="AF186" s="429">
        <v>182</v>
      </c>
      <c r="AG186" s="431">
        <v>0</v>
      </c>
      <c r="AH186" s="424">
        <v>0</v>
      </c>
    </row>
    <row r="187" spans="32:34">
      <c r="AF187" s="429">
        <v>183</v>
      </c>
      <c r="AG187" s="431">
        <v>0</v>
      </c>
      <c r="AH187" s="424">
        <v>0</v>
      </c>
    </row>
    <row r="188" spans="32:34">
      <c r="AF188" s="429">
        <v>184</v>
      </c>
      <c r="AG188" s="431">
        <v>0</v>
      </c>
      <c r="AH188" s="424">
        <v>0</v>
      </c>
    </row>
    <row r="189" spans="32:34">
      <c r="AF189" s="429">
        <v>185</v>
      </c>
      <c r="AG189" s="431">
        <v>0</v>
      </c>
      <c r="AH189" s="424">
        <v>0</v>
      </c>
    </row>
    <row r="190" spans="32:34">
      <c r="AF190" s="429">
        <v>186</v>
      </c>
      <c r="AG190" s="431">
        <v>0</v>
      </c>
      <c r="AH190" s="424">
        <v>0</v>
      </c>
    </row>
    <row r="191" spans="32:34">
      <c r="AF191" s="429">
        <v>187</v>
      </c>
      <c r="AG191" s="431">
        <v>0</v>
      </c>
      <c r="AH191" s="424">
        <v>0</v>
      </c>
    </row>
    <row r="192" spans="32:34">
      <c r="AF192" s="429">
        <v>188</v>
      </c>
      <c r="AG192" s="431">
        <v>0</v>
      </c>
      <c r="AH192" s="424">
        <v>0</v>
      </c>
    </row>
    <row r="193" spans="32:34">
      <c r="AF193" s="429">
        <v>189</v>
      </c>
      <c r="AG193" s="431">
        <v>0</v>
      </c>
      <c r="AH193" s="424">
        <v>0</v>
      </c>
    </row>
    <row r="194" spans="32:34">
      <c r="AF194" s="429">
        <v>190</v>
      </c>
      <c r="AG194" s="431">
        <v>0</v>
      </c>
      <c r="AH194" s="424">
        <v>0</v>
      </c>
    </row>
    <row r="195" spans="32:34">
      <c r="AF195" s="429">
        <v>191</v>
      </c>
      <c r="AG195" s="431">
        <v>0</v>
      </c>
      <c r="AH195" s="424">
        <v>0</v>
      </c>
    </row>
    <row r="196" spans="32:34">
      <c r="AF196" s="429">
        <v>192</v>
      </c>
      <c r="AG196" s="431">
        <v>0</v>
      </c>
      <c r="AH196" s="424">
        <v>0</v>
      </c>
    </row>
    <row r="197" spans="32:34">
      <c r="AF197" s="429">
        <v>193</v>
      </c>
      <c r="AG197" s="431">
        <v>0</v>
      </c>
      <c r="AH197" s="424">
        <v>0</v>
      </c>
    </row>
    <row r="198" spans="32:34">
      <c r="AF198" s="429">
        <v>194</v>
      </c>
      <c r="AG198" s="431">
        <v>0</v>
      </c>
      <c r="AH198" s="424">
        <v>0</v>
      </c>
    </row>
    <row r="199" spans="32:34">
      <c r="AF199" s="429">
        <v>195</v>
      </c>
      <c r="AG199" s="431">
        <v>0</v>
      </c>
      <c r="AH199" s="424">
        <v>0</v>
      </c>
    </row>
    <row r="200" spans="32:34">
      <c r="AF200" s="429">
        <v>196</v>
      </c>
      <c r="AG200" s="431">
        <v>0</v>
      </c>
      <c r="AH200" s="424">
        <v>0</v>
      </c>
    </row>
    <row r="201" spans="32:34">
      <c r="AF201" s="429">
        <v>197</v>
      </c>
      <c r="AG201" s="431">
        <v>0</v>
      </c>
      <c r="AH201" s="424">
        <v>0</v>
      </c>
    </row>
    <row r="202" spans="32:34">
      <c r="AF202" s="429">
        <v>198</v>
      </c>
      <c r="AG202" s="431">
        <v>0</v>
      </c>
      <c r="AH202" s="424">
        <v>0</v>
      </c>
    </row>
    <row r="203" spans="32:34">
      <c r="AF203" s="429">
        <v>199</v>
      </c>
      <c r="AG203" s="431">
        <v>0</v>
      </c>
      <c r="AH203" s="424">
        <v>0</v>
      </c>
    </row>
    <row r="204" spans="32:34">
      <c r="AF204" s="429">
        <v>200</v>
      </c>
      <c r="AG204" s="431">
        <v>0</v>
      </c>
      <c r="AH204" s="424">
        <v>0</v>
      </c>
    </row>
    <row r="205" spans="32:34">
      <c r="AF205" s="429">
        <v>201</v>
      </c>
      <c r="AG205" s="431">
        <v>0</v>
      </c>
      <c r="AH205" s="424">
        <v>0</v>
      </c>
    </row>
    <row r="206" spans="32:34">
      <c r="AF206" s="429">
        <v>202</v>
      </c>
      <c r="AG206" s="431">
        <v>0</v>
      </c>
      <c r="AH206" s="424">
        <v>0</v>
      </c>
    </row>
    <row r="207" spans="32:34">
      <c r="AF207" s="429">
        <v>203</v>
      </c>
      <c r="AG207" s="431">
        <v>0</v>
      </c>
      <c r="AH207" s="424">
        <v>0</v>
      </c>
    </row>
    <row r="208" spans="32:34">
      <c r="AF208" s="429">
        <v>204</v>
      </c>
      <c r="AG208" s="431">
        <v>0</v>
      </c>
      <c r="AH208" s="424">
        <v>0</v>
      </c>
    </row>
    <row r="209" spans="32:34">
      <c r="AF209" s="429">
        <v>205</v>
      </c>
      <c r="AG209" s="431">
        <v>0</v>
      </c>
      <c r="AH209" s="424">
        <v>0</v>
      </c>
    </row>
    <row r="210" spans="32:34">
      <c r="AF210" s="429">
        <v>206</v>
      </c>
      <c r="AG210" s="431">
        <v>0</v>
      </c>
      <c r="AH210" s="424">
        <v>0</v>
      </c>
    </row>
    <row r="211" spans="32:34">
      <c r="AF211" s="429">
        <v>207</v>
      </c>
      <c r="AG211" s="431">
        <v>0</v>
      </c>
      <c r="AH211" s="424">
        <v>0</v>
      </c>
    </row>
    <row r="212" spans="32:34">
      <c r="AF212" s="429">
        <v>208</v>
      </c>
      <c r="AG212" s="431">
        <v>0</v>
      </c>
      <c r="AH212" s="424">
        <v>0</v>
      </c>
    </row>
    <row r="213" spans="32:34">
      <c r="AF213" s="429">
        <v>209</v>
      </c>
      <c r="AG213" s="431">
        <v>0</v>
      </c>
      <c r="AH213" s="424">
        <v>0</v>
      </c>
    </row>
    <row r="214" spans="32:34">
      <c r="AF214" s="429">
        <v>210</v>
      </c>
      <c r="AG214" s="431">
        <v>0</v>
      </c>
      <c r="AH214" s="424">
        <v>0</v>
      </c>
    </row>
    <row r="215" spans="32:34">
      <c r="AF215" s="429">
        <v>211</v>
      </c>
      <c r="AG215" s="431">
        <v>0</v>
      </c>
      <c r="AH215" s="424">
        <v>0</v>
      </c>
    </row>
    <row r="216" spans="32:34">
      <c r="AF216" s="429">
        <v>212</v>
      </c>
      <c r="AG216" s="431">
        <v>0</v>
      </c>
      <c r="AH216" s="424">
        <v>0</v>
      </c>
    </row>
    <row r="217" spans="32:34">
      <c r="AF217" s="429">
        <v>213</v>
      </c>
      <c r="AG217" s="431">
        <v>0</v>
      </c>
      <c r="AH217" s="424">
        <v>0</v>
      </c>
    </row>
    <row r="218" spans="32:34">
      <c r="AF218" s="429">
        <v>214</v>
      </c>
      <c r="AG218" s="431">
        <v>0</v>
      </c>
      <c r="AH218" s="424">
        <v>0</v>
      </c>
    </row>
    <row r="219" spans="32:34">
      <c r="AF219" s="429">
        <v>215</v>
      </c>
      <c r="AG219" s="431">
        <v>0</v>
      </c>
      <c r="AH219" s="424">
        <v>0</v>
      </c>
    </row>
    <row r="220" spans="32:34">
      <c r="AF220" s="429">
        <v>216</v>
      </c>
      <c r="AG220" s="431">
        <v>0</v>
      </c>
      <c r="AH220" s="424">
        <v>0</v>
      </c>
    </row>
    <row r="221" spans="32:34">
      <c r="AF221" s="429">
        <v>217</v>
      </c>
      <c r="AG221" s="431">
        <v>0</v>
      </c>
      <c r="AH221" s="424">
        <v>0</v>
      </c>
    </row>
    <row r="222" spans="32:34">
      <c r="AF222" s="429">
        <v>218</v>
      </c>
      <c r="AG222" s="431">
        <v>0</v>
      </c>
      <c r="AH222" s="424">
        <v>0</v>
      </c>
    </row>
    <row r="223" spans="32:34">
      <c r="AF223" s="429">
        <v>219</v>
      </c>
      <c r="AG223" s="431">
        <v>0</v>
      </c>
      <c r="AH223" s="424">
        <v>0</v>
      </c>
    </row>
    <row r="224" spans="32:34">
      <c r="AF224" s="429">
        <v>220</v>
      </c>
      <c r="AG224" s="431">
        <v>0</v>
      </c>
      <c r="AH224" s="424">
        <v>0</v>
      </c>
    </row>
    <row r="225" spans="32:34">
      <c r="AF225" s="429">
        <v>221</v>
      </c>
      <c r="AG225" s="431">
        <v>0</v>
      </c>
      <c r="AH225" s="424">
        <v>0</v>
      </c>
    </row>
    <row r="226" spans="32:34">
      <c r="AF226" s="429">
        <v>222</v>
      </c>
      <c r="AG226" s="431">
        <v>0</v>
      </c>
      <c r="AH226" s="424">
        <v>0</v>
      </c>
    </row>
    <row r="227" spans="32:34">
      <c r="AF227" s="429">
        <v>223</v>
      </c>
      <c r="AG227" s="431">
        <v>0</v>
      </c>
      <c r="AH227" s="424">
        <v>0</v>
      </c>
    </row>
    <row r="228" spans="32:34">
      <c r="AF228" s="429">
        <v>224</v>
      </c>
      <c r="AG228" s="431">
        <v>0</v>
      </c>
      <c r="AH228" s="424">
        <v>0</v>
      </c>
    </row>
    <row r="229" spans="32:34">
      <c r="AF229" s="429">
        <v>225</v>
      </c>
      <c r="AG229" s="431">
        <v>0</v>
      </c>
      <c r="AH229" s="424">
        <v>0</v>
      </c>
    </row>
    <row r="230" spans="32:34">
      <c r="AF230" s="429">
        <v>226</v>
      </c>
      <c r="AG230" s="431">
        <v>0</v>
      </c>
      <c r="AH230" s="424">
        <v>0</v>
      </c>
    </row>
    <row r="231" spans="32:34">
      <c r="AF231" s="429">
        <v>227</v>
      </c>
      <c r="AG231" s="431">
        <v>0</v>
      </c>
      <c r="AH231" s="424">
        <v>0</v>
      </c>
    </row>
    <row r="232" spans="32:34">
      <c r="AF232" s="429">
        <v>228</v>
      </c>
      <c r="AG232" s="431">
        <v>0</v>
      </c>
      <c r="AH232" s="424">
        <v>0</v>
      </c>
    </row>
    <row r="233" spans="32:34">
      <c r="AF233" s="429">
        <v>229</v>
      </c>
      <c r="AG233" s="431">
        <v>0</v>
      </c>
      <c r="AH233" s="424">
        <v>0</v>
      </c>
    </row>
    <row r="234" spans="32:34">
      <c r="AF234" s="429">
        <v>230</v>
      </c>
      <c r="AG234" s="431">
        <v>0</v>
      </c>
      <c r="AH234" s="424">
        <v>0</v>
      </c>
    </row>
    <row r="235" spans="32:34">
      <c r="AF235" s="429">
        <v>231</v>
      </c>
      <c r="AG235" s="431">
        <v>0</v>
      </c>
      <c r="AH235" s="424">
        <v>0</v>
      </c>
    </row>
    <row r="236" spans="32:34">
      <c r="AF236" s="429">
        <v>232</v>
      </c>
      <c r="AG236" s="431">
        <v>0</v>
      </c>
      <c r="AH236" s="424">
        <v>0</v>
      </c>
    </row>
    <row r="237" spans="32:34">
      <c r="AF237" s="429">
        <v>233</v>
      </c>
      <c r="AG237" s="431">
        <v>0</v>
      </c>
      <c r="AH237" s="424">
        <v>0</v>
      </c>
    </row>
    <row r="238" spans="32:34">
      <c r="AF238" s="429">
        <v>234</v>
      </c>
      <c r="AG238" s="431">
        <v>0</v>
      </c>
      <c r="AH238" s="424">
        <v>0</v>
      </c>
    </row>
    <row r="239" spans="32:34">
      <c r="AF239" s="429">
        <v>235</v>
      </c>
      <c r="AG239" s="431">
        <v>0</v>
      </c>
      <c r="AH239" s="424">
        <v>0</v>
      </c>
    </row>
    <row r="240" spans="32:34">
      <c r="AF240" s="429">
        <v>236</v>
      </c>
      <c r="AG240" s="431">
        <v>0</v>
      </c>
      <c r="AH240" s="424">
        <v>0</v>
      </c>
    </row>
    <row r="241" spans="32:34">
      <c r="AF241" s="429">
        <v>237</v>
      </c>
      <c r="AG241" s="431">
        <v>0</v>
      </c>
      <c r="AH241" s="424">
        <v>0</v>
      </c>
    </row>
    <row r="242" spans="32:34">
      <c r="AF242" s="429">
        <v>238</v>
      </c>
      <c r="AG242" s="431">
        <v>0</v>
      </c>
      <c r="AH242" s="424">
        <v>0</v>
      </c>
    </row>
    <row r="243" spans="32:34">
      <c r="AF243" s="429">
        <v>239</v>
      </c>
      <c r="AG243" s="431">
        <v>0</v>
      </c>
      <c r="AH243" s="424">
        <v>0</v>
      </c>
    </row>
    <row r="244" spans="32:34">
      <c r="AF244" s="429">
        <v>240</v>
      </c>
      <c r="AG244" s="431">
        <v>0</v>
      </c>
      <c r="AH244" s="424">
        <v>0</v>
      </c>
    </row>
    <row r="245" spans="32:34">
      <c r="AF245" s="429">
        <v>241</v>
      </c>
      <c r="AG245" s="431">
        <v>0</v>
      </c>
      <c r="AH245" s="424">
        <v>0</v>
      </c>
    </row>
    <row r="246" spans="32:34">
      <c r="AF246" s="429">
        <v>242</v>
      </c>
      <c r="AG246" s="431">
        <v>0</v>
      </c>
      <c r="AH246" s="424">
        <v>0</v>
      </c>
    </row>
    <row r="247" spans="32:34">
      <c r="AF247" s="429">
        <v>243</v>
      </c>
      <c r="AG247" s="431">
        <v>0</v>
      </c>
      <c r="AH247" s="424">
        <v>0</v>
      </c>
    </row>
    <row r="248" spans="32:34">
      <c r="AF248" s="429">
        <v>244</v>
      </c>
      <c r="AG248" s="431">
        <v>0</v>
      </c>
      <c r="AH248" s="424">
        <v>0</v>
      </c>
    </row>
    <row r="249" spans="32:34">
      <c r="AF249" s="429">
        <v>245</v>
      </c>
      <c r="AG249" s="431">
        <v>0</v>
      </c>
      <c r="AH249" s="424">
        <v>0</v>
      </c>
    </row>
    <row r="250" spans="32:34">
      <c r="AF250" s="429">
        <v>246</v>
      </c>
      <c r="AG250" s="431">
        <v>0</v>
      </c>
      <c r="AH250" s="424">
        <v>0</v>
      </c>
    </row>
    <row r="251" spans="32:34">
      <c r="AF251" s="429">
        <v>247</v>
      </c>
      <c r="AG251" s="431">
        <v>0</v>
      </c>
      <c r="AH251" s="424">
        <v>0</v>
      </c>
    </row>
    <row r="252" spans="32:34">
      <c r="AF252" s="429">
        <v>248</v>
      </c>
      <c r="AG252" s="431">
        <v>0</v>
      </c>
      <c r="AH252" s="424">
        <v>0</v>
      </c>
    </row>
    <row r="253" spans="32:34">
      <c r="AF253" s="429">
        <v>249</v>
      </c>
      <c r="AG253" s="431">
        <v>0</v>
      </c>
      <c r="AH253" s="424">
        <v>0</v>
      </c>
    </row>
    <row r="254" spans="32:34">
      <c r="AF254" s="429">
        <v>250</v>
      </c>
      <c r="AG254" s="431">
        <v>0</v>
      </c>
      <c r="AH254" s="424">
        <v>0</v>
      </c>
    </row>
    <row r="255" spans="32:34">
      <c r="AF255" s="429">
        <v>251</v>
      </c>
      <c r="AG255" s="431">
        <v>0</v>
      </c>
      <c r="AH255" s="424">
        <v>0</v>
      </c>
    </row>
    <row r="256" spans="32:34">
      <c r="AF256" s="429">
        <v>252</v>
      </c>
      <c r="AG256" s="431">
        <v>0</v>
      </c>
      <c r="AH256" s="424">
        <v>0</v>
      </c>
    </row>
    <row r="257" spans="32:34">
      <c r="AF257" s="429">
        <v>253</v>
      </c>
      <c r="AG257" s="431">
        <v>0</v>
      </c>
      <c r="AH257" s="424">
        <v>0</v>
      </c>
    </row>
    <row r="258" spans="32:34">
      <c r="AF258" s="429">
        <v>254</v>
      </c>
      <c r="AG258" s="431">
        <v>0</v>
      </c>
      <c r="AH258" s="424">
        <v>0</v>
      </c>
    </row>
    <row r="259" spans="32:34">
      <c r="AF259" s="429">
        <v>255</v>
      </c>
      <c r="AG259" s="431">
        <v>0</v>
      </c>
      <c r="AH259" s="424">
        <v>0</v>
      </c>
    </row>
    <row r="260" spans="32:34">
      <c r="AF260" s="429">
        <v>256</v>
      </c>
      <c r="AG260" s="431">
        <v>0</v>
      </c>
      <c r="AH260" s="424">
        <v>0</v>
      </c>
    </row>
    <row r="261" spans="32:34">
      <c r="AF261" s="429">
        <v>257</v>
      </c>
      <c r="AG261" s="431">
        <v>0</v>
      </c>
      <c r="AH261" s="424">
        <v>0</v>
      </c>
    </row>
    <row r="262" spans="32:34">
      <c r="AF262" s="429">
        <v>258</v>
      </c>
      <c r="AG262" s="431">
        <v>0</v>
      </c>
      <c r="AH262" s="424">
        <v>0</v>
      </c>
    </row>
    <row r="263" spans="32:34">
      <c r="AF263" s="429">
        <v>259</v>
      </c>
      <c r="AG263" s="431">
        <v>0</v>
      </c>
      <c r="AH263" s="424">
        <v>0</v>
      </c>
    </row>
    <row r="264" spans="32:34">
      <c r="AF264" s="429">
        <v>260</v>
      </c>
      <c r="AG264" s="431">
        <v>0</v>
      </c>
      <c r="AH264" s="424">
        <v>0</v>
      </c>
    </row>
    <row r="265" spans="32:34">
      <c r="AF265" s="429">
        <v>261</v>
      </c>
      <c r="AG265" s="431">
        <v>0</v>
      </c>
      <c r="AH265" s="424">
        <v>0</v>
      </c>
    </row>
    <row r="266" spans="32:34">
      <c r="AF266" s="429">
        <v>262</v>
      </c>
      <c r="AG266" s="431">
        <v>0</v>
      </c>
      <c r="AH266" s="424">
        <v>0</v>
      </c>
    </row>
    <row r="267" spans="32:34">
      <c r="AF267" s="429">
        <v>263</v>
      </c>
      <c r="AG267" s="431">
        <v>0</v>
      </c>
      <c r="AH267" s="424">
        <v>0</v>
      </c>
    </row>
    <row r="268" spans="32:34">
      <c r="AF268" s="429">
        <v>264</v>
      </c>
      <c r="AG268" s="431">
        <v>0</v>
      </c>
      <c r="AH268" s="424">
        <v>0</v>
      </c>
    </row>
    <row r="269" spans="32:34">
      <c r="AF269" s="429">
        <v>265</v>
      </c>
      <c r="AG269" s="431">
        <v>0</v>
      </c>
      <c r="AH269" s="424">
        <v>0</v>
      </c>
    </row>
    <row r="270" spans="32:34">
      <c r="AF270" s="429">
        <v>266</v>
      </c>
      <c r="AG270" s="431">
        <v>0</v>
      </c>
      <c r="AH270" s="424">
        <v>0</v>
      </c>
    </row>
    <row r="271" spans="32:34">
      <c r="AF271" s="429">
        <v>267</v>
      </c>
      <c r="AG271" s="431">
        <v>0</v>
      </c>
      <c r="AH271" s="424">
        <v>0</v>
      </c>
    </row>
    <row r="272" spans="32:34">
      <c r="AF272" s="429">
        <v>268</v>
      </c>
      <c r="AG272" s="431">
        <v>0</v>
      </c>
      <c r="AH272" s="424">
        <v>0</v>
      </c>
    </row>
    <row r="273" spans="32:34">
      <c r="AF273" s="429">
        <v>269</v>
      </c>
      <c r="AG273" s="431">
        <v>0</v>
      </c>
      <c r="AH273" s="424">
        <v>0</v>
      </c>
    </row>
    <row r="274" spans="32:34">
      <c r="AF274" s="429">
        <v>270</v>
      </c>
      <c r="AG274" s="431">
        <v>0</v>
      </c>
      <c r="AH274" s="424">
        <v>0</v>
      </c>
    </row>
    <row r="275" spans="32:34">
      <c r="AF275" s="429">
        <v>271</v>
      </c>
      <c r="AG275" s="431">
        <v>0</v>
      </c>
      <c r="AH275" s="424">
        <v>0</v>
      </c>
    </row>
    <row r="276" spans="32:34">
      <c r="AF276" s="429">
        <v>272</v>
      </c>
      <c r="AG276" s="431">
        <v>0</v>
      </c>
      <c r="AH276" s="424">
        <v>0</v>
      </c>
    </row>
    <row r="277" spans="32:34">
      <c r="AF277" s="429">
        <v>273</v>
      </c>
      <c r="AG277" s="431">
        <v>0</v>
      </c>
      <c r="AH277" s="424">
        <v>0</v>
      </c>
    </row>
    <row r="278" spans="32:34">
      <c r="AF278" s="429">
        <v>274</v>
      </c>
      <c r="AG278" s="431">
        <v>0</v>
      </c>
      <c r="AH278" s="424">
        <v>0</v>
      </c>
    </row>
    <row r="279" spans="32:34">
      <c r="AF279" s="429">
        <v>275</v>
      </c>
      <c r="AG279" s="431">
        <v>0</v>
      </c>
      <c r="AH279" s="424">
        <v>0</v>
      </c>
    </row>
    <row r="280" spans="32:34">
      <c r="AF280" s="429">
        <v>276</v>
      </c>
      <c r="AG280" s="431">
        <v>0</v>
      </c>
      <c r="AH280" s="424">
        <v>0</v>
      </c>
    </row>
    <row r="281" spans="32:34">
      <c r="AF281" s="429">
        <v>277</v>
      </c>
      <c r="AG281" s="431">
        <v>0</v>
      </c>
      <c r="AH281" s="424">
        <v>0</v>
      </c>
    </row>
    <row r="282" spans="32:34">
      <c r="AF282" s="429">
        <v>278</v>
      </c>
      <c r="AG282" s="431">
        <v>0</v>
      </c>
      <c r="AH282" s="424">
        <v>0</v>
      </c>
    </row>
    <row r="283" spans="32:34">
      <c r="AF283" s="429">
        <v>279</v>
      </c>
      <c r="AG283" s="431">
        <v>0</v>
      </c>
      <c r="AH283" s="424">
        <v>0</v>
      </c>
    </row>
    <row r="284" spans="32:34">
      <c r="AF284" s="429">
        <v>280</v>
      </c>
      <c r="AG284" s="431">
        <v>0</v>
      </c>
      <c r="AH284" s="424">
        <v>0</v>
      </c>
    </row>
    <row r="285" spans="32:34">
      <c r="AF285" s="429">
        <v>281</v>
      </c>
      <c r="AG285" s="431">
        <v>0</v>
      </c>
      <c r="AH285" s="424">
        <v>0</v>
      </c>
    </row>
    <row r="286" spans="32:34">
      <c r="AF286" s="429">
        <v>282</v>
      </c>
      <c r="AG286" s="431">
        <v>0</v>
      </c>
      <c r="AH286" s="424">
        <v>0</v>
      </c>
    </row>
    <row r="287" spans="32:34">
      <c r="AF287" s="429">
        <v>283</v>
      </c>
      <c r="AG287" s="431">
        <v>0</v>
      </c>
      <c r="AH287" s="424">
        <v>0</v>
      </c>
    </row>
    <row r="288" spans="32:34">
      <c r="AF288" s="429">
        <v>284</v>
      </c>
      <c r="AG288" s="431">
        <v>0</v>
      </c>
      <c r="AH288" s="424">
        <v>0</v>
      </c>
    </row>
    <row r="289" spans="32:34">
      <c r="AF289" s="429">
        <v>285</v>
      </c>
      <c r="AG289" s="431">
        <v>0</v>
      </c>
      <c r="AH289" s="424">
        <v>0</v>
      </c>
    </row>
    <row r="290" spans="32:34">
      <c r="AF290" s="429">
        <v>286</v>
      </c>
      <c r="AG290" s="431">
        <v>0</v>
      </c>
      <c r="AH290" s="424">
        <v>0</v>
      </c>
    </row>
    <row r="291" spans="32:34">
      <c r="AF291" s="429">
        <v>287</v>
      </c>
      <c r="AG291" s="431">
        <v>0</v>
      </c>
      <c r="AH291" s="424">
        <v>0</v>
      </c>
    </row>
    <row r="292" spans="32:34">
      <c r="AF292" s="429">
        <v>288</v>
      </c>
      <c r="AG292" s="431">
        <v>0</v>
      </c>
      <c r="AH292" s="424">
        <v>0</v>
      </c>
    </row>
    <row r="293" spans="32:34">
      <c r="AF293" s="429">
        <v>289</v>
      </c>
      <c r="AG293" s="431">
        <v>0</v>
      </c>
      <c r="AH293" s="424">
        <v>0</v>
      </c>
    </row>
    <row r="294" spans="32:34">
      <c r="AF294" s="429">
        <v>290</v>
      </c>
      <c r="AG294" s="431">
        <v>0</v>
      </c>
      <c r="AH294" s="424">
        <v>0</v>
      </c>
    </row>
    <row r="295" spans="32:34">
      <c r="AF295" s="429">
        <v>291</v>
      </c>
      <c r="AG295" s="431">
        <v>0</v>
      </c>
      <c r="AH295" s="424">
        <v>0</v>
      </c>
    </row>
    <row r="296" spans="32:34">
      <c r="AF296" s="429">
        <v>292</v>
      </c>
      <c r="AG296" s="431">
        <v>0</v>
      </c>
      <c r="AH296" s="424">
        <v>0</v>
      </c>
    </row>
    <row r="297" spans="32:34">
      <c r="AF297" s="429">
        <v>293</v>
      </c>
      <c r="AG297" s="431">
        <v>0</v>
      </c>
      <c r="AH297" s="424">
        <v>0</v>
      </c>
    </row>
    <row r="298" spans="32:34">
      <c r="AF298" s="429">
        <v>294</v>
      </c>
      <c r="AG298" s="431">
        <v>0</v>
      </c>
      <c r="AH298" s="424">
        <v>0</v>
      </c>
    </row>
    <row r="299" spans="32:34">
      <c r="AF299" s="429">
        <v>295</v>
      </c>
      <c r="AG299" s="431">
        <v>0</v>
      </c>
      <c r="AH299" s="424">
        <v>0</v>
      </c>
    </row>
    <row r="300" spans="32:34">
      <c r="AF300" s="429">
        <v>296</v>
      </c>
      <c r="AG300" s="431">
        <v>0</v>
      </c>
      <c r="AH300" s="424">
        <v>0</v>
      </c>
    </row>
    <row r="301" spans="32:34">
      <c r="AF301" s="429">
        <v>297</v>
      </c>
      <c r="AG301" s="431">
        <v>0</v>
      </c>
      <c r="AH301" s="424">
        <v>0</v>
      </c>
    </row>
    <row r="302" spans="32:34">
      <c r="AF302" s="429">
        <v>298</v>
      </c>
      <c r="AG302" s="431">
        <v>0</v>
      </c>
      <c r="AH302" s="424">
        <v>0</v>
      </c>
    </row>
    <row r="303" spans="32:34">
      <c r="AF303" s="429">
        <v>299</v>
      </c>
      <c r="AG303" s="431">
        <v>0</v>
      </c>
      <c r="AH303" s="424">
        <v>0</v>
      </c>
    </row>
    <row r="304" spans="32:34">
      <c r="AF304" s="429">
        <v>300</v>
      </c>
      <c r="AG304" s="431">
        <v>0</v>
      </c>
      <c r="AH304" s="424">
        <v>0</v>
      </c>
    </row>
    <row r="305" spans="32:34">
      <c r="AF305" s="429">
        <v>301</v>
      </c>
      <c r="AG305" s="431">
        <v>0</v>
      </c>
      <c r="AH305" s="424">
        <v>0</v>
      </c>
    </row>
    <row r="306" spans="32:34">
      <c r="AF306" s="429">
        <v>302</v>
      </c>
      <c r="AG306" s="431">
        <v>0</v>
      </c>
      <c r="AH306" s="424">
        <v>0</v>
      </c>
    </row>
    <row r="307" spans="32:34">
      <c r="AF307" s="429">
        <v>303</v>
      </c>
      <c r="AG307" s="431">
        <v>0</v>
      </c>
      <c r="AH307" s="424">
        <v>0</v>
      </c>
    </row>
    <row r="308" spans="32:34">
      <c r="AF308" s="429">
        <v>304</v>
      </c>
      <c r="AG308" s="431">
        <v>0</v>
      </c>
      <c r="AH308" s="424">
        <v>0</v>
      </c>
    </row>
    <row r="309" spans="32:34">
      <c r="AF309" s="429">
        <v>305</v>
      </c>
      <c r="AG309" s="431">
        <v>0</v>
      </c>
      <c r="AH309" s="424">
        <v>0</v>
      </c>
    </row>
    <row r="310" spans="32:34">
      <c r="AF310" s="429">
        <v>306</v>
      </c>
      <c r="AG310" s="431">
        <v>0</v>
      </c>
      <c r="AH310" s="424">
        <v>0</v>
      </c>
    </row>
    <row r="311" spans="32:34">
      <c r="AF311" s="429">
        <v>307</v>
      </c>
      <c r="AG311" s="431">
        <v>0</v>
      </c>
      <c r="AH311" s="424">
        <v>0</v>
      </c>
    </row>
    <row r="312" spans="32:34">
      <c r="AF312" s="429">
        <v>308</v>
      </c>
      <c r="AG312" s="431">
        <v>0</v>
      </c>
      <c r="AH312" s="424">
        <v>0</v>
      </c>
    </row>
    <row r="313" spans="32:34">
      <c r="AF313" s="429">
        <v>309</v>
      </c>
      <c r="AG313" s="431">
        <v>0</v>
      </c>
      <c r="AH313" s="424">
        <v>0</v>
      </c>
    </row>
    <row r="314" spans="32:34">
      <c r="AF314" s="429">
        <v>310</v>
      </c>
      <c r="AG314" s="431">
        <v>0</v>
      </c>
      <c r="AH314" s="424">
        <v>0</v>
      </c>
    </row>
    <row r="315" spans="32:34">
      <c r="AF315" s="429">
        <v>311</v>
      </c>
      <c r="AG315" s="431">
        <v>0</v>
      </c>
      <c r="AH315" s="424">
        <v>0</v>
      </c>
    </row>
    <row r="316" spans="32:34">
      <c r="AF316" s="429">
        <v>312</v>
      </c>
      <c r="AG316" s="431">
        <v>0</v>
      </c>
      <c r="AH316" s="424">
        <v>0</v>
      </c>
    </row>
    <row r="317" spans="32:34">
      <c r="AF317" s="429">
        <v>313</v>
      </c>
      <c r="AG317" s="431">
        <v>0</v>
      </c>
      <c r="AH317" s="424">
        <v>0</v>
      </c>
    </row>
    <row r="318" spans="32:34">
      <c r="AF318" s="429">
        <v>314</v>
      </c>
      <c r="AG318" s="431">
        <v>0</v>
      </c>
      <c r="AH318" s="424">
        <v>0</v>
      </c>
    </row>
    <row r="319" spans="32:34">
      <c r="AF319" s="429">
        <v>315</v>
      </c>
      <c r="AG319" s="431">
        <v>0</v>
      </c>
      <c r="AH319" s="424">
        <v>0</v>
      </c>
    </row>
    <row r="320" spans="32:34">
      <c r="AF320" s="429">
        <v>316</v>
      </c>
      <c r="AG320" s="431">
        <v>0</v>
      </c>
      <c r="AH320" s="424">
        <v>0</v>
      </c>
    </row>
    <row r="321" spans="32:34">
      <c r="AF321" s="429">
        <v>317</v>
      </c>
      <c r="AG321" s="431">
        <v>0</v>
      </c>
      <c r="AH321" s="424">
        <v>0</v>
      </c>
    </row>
    <row r="322" spans="32:34">
      <c r="AF322" s="429">
        <v>318</v>
      </c>
      <c r="AG322" s="431">
        <v>0</v>
      </c>
      <c r="AH322" s="424">
        <v>0</v>
      </c>
    </row>
    <row r="323" spans="32:34">
      <c r="AF323" s="429">
        <v>319</v>
      </c>
      <c r="AG323" s="431">
        <v>0</v>
      </c>
      <c r="AH323" s="424">
        <v>0</v>
      </c>
    </row>
    <row r="324" spans="32:34">
      <c r="AF324" s="429">
        <v>320</v>
      </c>
      <c r="AG324" s="431">
        <v>0</v>
      </c>
      <c r="AH324" s="424">
        <v>0</v>
      </c>
    </row>
    <row r="325" spans="32:34">
      <c r="AF325" s="429">
        <v>321</v>
      </c>
      <c r="AG325" s="431">
        <v>0</v>
      </c>
      <c r="AH325" s="424">
        <v>0</v>
      </c>
    </row>
    <row r="326" spans="32:34">
      <c r="AF326" s="429">
        <v>322</v>
      </c>
      <c r="AG326" s="431">
        <v>0</v>
      </c>
      <c r="AH326" s="424">
        <v>0</v>
      </c>
    </row>
    <row r="327" spans="32:34">
      <c r="AF327" s="429">
        <v>323</v>
      </c>
      <c r="AG327" s="431">
        <v>0</v>
      </c>
      <c r="AH327" s="424">
        <v>0</v>
      </c>
    </row>
    <row r="328" spans="32:34">
      <c r="AF328" s="429">
        <v>324</v>
      </c>
      <c r="AG328" s="431">
        <v>0</v>
      </c>
      <c r="AH328" s="424">
        <v>0</v>
      </c>
    </row>
    <row r="329" spans="32:34">
      <c r="AF329" s="429">
        <v>325</v>
      </c>
      <c r="AG329" s="431">
        <v>0</v>
      </c>
      <c r="AH329" s="424">
        <v>0</v>
      </c>
    </row>
    <row r="330" spans="32:34">
      <c r="AF330" s="429">
        <v>326</v>
      </c>
      <c r="AG330" s="431">
        <v>0</v>
      </c>
      <c r="AH330" s="424">
        <v>0</v>
      </c>
    </row>
    <row r="331" spans="32:34">
      <c r="AF331" s="429">
        <v>327</v>
      </c>
      <c r="AG331" s="431">
        <v>0</v>
      </c>
      <c r="AH331" s="424">
        <v>0</v>
      </c>
    </row>
    <row r="332" spans="32:34">
      <c r="AF332" s="429">
        <v>328</v>
      </c>
      <c r="AG332" s="431">
        <v>0</v>
      </c>
      <c r="AH332" s="424">
        <v>0</v>
      </c>
    </row>
    <row r="333" spans="32:34">
      <c r="AF333" s="429">
        <v>329</v>
      </c>
      <c r="AG333" s="431">
        <v>0</v>
      </c>
      <c r="AH333" s="424">
        <v>0</v>
      </c>
    </row>
    <row r="334" spans="32:34">
      <c r="AF334" s="429">
        <v>330</v>
      </c>
      <c r="AG334" s="431">
        <v>0</v>
      </c>
      <c r="AH334" s="424">
        <v>0</v>
      </c>
    </row>
    <row r="335" spans="32:34">
      <c r="AF335" s="429">
        <v>331</v>
      </c>
      <c r="AG335" s="431">
        <v>0</v>
      </c>
      <c r="AH335" s="424">
        <v>0</v>
      </c>
    </row>
    <row r="336" spans="32:34">
      <c r="AF336" s="429">
        <v>332</v>
      </c>
      <c r="AG336" s="431">
        <v>0</v>
      </c>
      <c r="AH336" s="424">
        <v>0</v>
      </c>
    </row>
    <row r="337" spans="32:34">
      <c r="AF337" s="429">
        <v>333</v>
      </c>
      <c r="AG337" s="431">
        <v>0</v>
      </c>
      <c r="AH337" s="424">
        <v>0</v>
      </c>
    </row>
    <row r="338" spans="32:34">
      <c r="AF338" s="429">
        <v>334</v>
      </c>
      <c r="AG338" s="431">
        <v>0</v>
      </c>
      <c r="AH338" s="424">
        <v>0</v>
      </c>
    </row>
    <row r="339" spans="32:34">
      <c r="AF339" s="429">
        <v>335</v>
      </c>
      <c r="AG339" s="431">
        <v>0</v>
      </c>
      <c r="AH339" s="424">
        <v>0</v>
      </c>
    </row>
    <row r="340" spans="32:34">
      <c r="AF340" s="429">
        <v>336</v>
      </c>
      <c r="AG340" s="431">
        <v>0</v>
      </c>
      <c r="AH340" s="424">
        <v>0</v>
      </c>
    </row>
    <row r="341" spans="32:34">
      <c r="AF341" s="429">
        <v>337</v>
      </c>
      <c r="AG341" s="431">
        <v>0</v>
      </c>
      <c r="AH341" s="424">
        <v>0</v>
      </c>
    </row>
    <row r="342" spans="32:34">
      <c r="AF342" s="429">
        <v>338</v>
      </c>
      <c r="AG342" s="431">
        <v>0</v>
      </c>
      <c r="AH342" s="424">
        <v>0</v>
      </c>
    </row>
    <row r="343" spans="32:34">
      <c r="AF343" s="429">
        <v>339</v>
      </c>
      <c r="AG343" s="431">
        <v>0</v>
      </c>
      <c r="AH343" s="424">
        <v>0</v>
      </c>
    </row>
    <row r="344" spans="32:34">
      <c r="AF344" s="429">
        <v>340</v>
      </c>
      <c r="AG344" s="431">
        <v>0</v>
      </c>
      <c r="AH344" s="424">
        <v>0</v>
      </c>
    </row>
    <row r="345" spans="32:34">
      <c r="AF345" s="429">
        <v>341</v>
      </c>
      <c r="AG345" s="431">
        <v>0</v>
      </c>
      <c r="AH345" s="424">
        <v>0</v>
      </c>
    </row>
    <row r="346" spans="32:34">
      <c r="AF346" s="429">
        <v>342</v>
      </c>
      <c r="AG346" s="431">
        <v>0</v>
      </c>
      <c r="AH346" s="424">
        <v>0</v>
      </c>
    </row>
    <row r="347" spans="32:34">
      <c r="AF347" s="429">
        <v>343</v>
      </c>
      <c r="AG347" s="431">
        <v>0</v>
      </c>
      <c r="AH347" s="424">
        <v>0</v>
      </c>
    </row>
    <row r="348" spans="32:34">
      <c r="AF348" s="429">
        <v>344</v>
      </c>
      <c r="AG348" s="431">
        <v>0</v>
      </c>
      <c r="AH348" s="424">
        <v>0</v>
      </c>
    </row>
    <row r="349" spans="32:34">
      <c r="AF349" s="429">
        <v>345</v>
      </c>
      <c r="AG349" s="431">
        <v>0</v>
      </c>
      <c r="AH349" s="424">
        <v>0</v>
      </c>
    </row>
    <row r="350" spans="32:34">
      <c r="AF350" s="429">
        <v>346</v>
      </c>
      <c r="AG350" s="431">
        <v>0</v>
      </c>
      <c r="AH350" s="424">
        <v>0</v>
      </c>
    </row>
    <row r="351" spans="32:34">
      <c r="AF351" s="429">
        <v>347</v>
      </c>
      <c r="AG351" s="431">
        <v>0</v>
      </c>
      <c r="AH351" s="424">
        <v>0</v>
      </c>
    </row>
    <row r="352" spans="32:34">
      <c r="AF352" s="429">
        <v>348</v>
      </c>
      <c r="AG352" s="431">
        <v>0</v>
      </c>
      <c r="AH352" s="424">
        <v>0</v>
      </c>
    </row>
    <row r="353" spans="32:34">
      <c r="AF353" s="429">
        <v>349</v>
      </c>
      <c r="AG353" s="431">
        <v>0</v>
      </c>
      <c r="AH353" s="424">
        <v>0</v>
      </c>
    </row>
    <row r="354" spans="32:34">
      <c r="AF354" s="429">
        <v>350</v>
      </c>
      <c r="AG354" s="431">
        <v>0</v>
      </c>
      <c r="AH354" s="424">
        <v>0</v>
      </c>
    </row>
    <row r="355" spans="32:34">
      <c r="AF355" s="429">
        <v>351</v>
      </c>
      <c r="AG355" s="431">
        <v>0</v>
      </c>
      <c r="AH355" s="424">
        <v>0</v>
      </c>
    </row>
    <row r="356" spans="32:34">
      <c r="AF356" s="429">
        <v>352</v>
      </c>
      <c r="AG356" s="431">
        <v>0</v>
      </c>
      <c r="AH356" s="424">
        <v>0</v>
      </c>
    </row>
    <row r="357" spans="32:34">
      <c r="AF357" s="429">
        <v>353</v>
      </c>
      <c r="AG357" s="431">
        <v>0</v>
      </c>
      <c r="AH357" s="424">
        <v>0</v>
      </c>
    </row>
    <row r="358" spans="32:34">
      <c r="AF358" s="429">
        <v>354</v>
      </c>
      <c r="AG358" s="431">
        <v>0</v>
      </c>
      <c r="AH358" s="424">
        <v>0</v>
      </c>
    </row>
    <row r="359" spans="32:34">
      <c r="AF359" s="429">
        <v>355</v>
      </c>
      <c r="AG359" s="431">
        <v>0</v>
      </c>
      <c r="AH359" s="424">
        <v>0</v>
      </c>
    </row>
    <row r="360" spans="32:34">
      <c r="AF360" s="429">
        <v>356</v>
      </c>
      <c r="AG360" s="431">
        <v>0</v>
      </c>
      <c r="AH360" s="424">
        <v>0</v>
      </c>
    </row>
    <row r="361" spans="32:34">
      <c r="AF361" s="429">
        <v>357</v>
      </c>
      <c r="AG361" s="431">
        <v>0</v>
      </c>
      <c r="AH361" s="424">
        <v>0</v>
      </c>
    </row>
    <row r="362" spans="32:34">
      <c r="AF362" s="429">
        <v>358</v>
      </c>
      <c r="AG362" s="431">
        <v>0</v>
      </c>
      <c r="AH362" s="424">
        <v>0</v>
      </c>
    </row>
    <row r="363" spans="32:34">
      <c r="AF363" s="429">
        <v>359</v>
      </c>
      <c r="AG363" s="431">
        <v>0</v>
      </c>
      <c r="AH363" s="424">
        <v>0</v>
      </c>
    </row>
    <row r="364" spans="32:34">
      <c r="AF364" s="432">
        <v>360</v>
      </c>
      <c r="AG364" s="435">
        <v>0</v>
      </c>
      <c r="AH364" s="436">
        <v>0</v>
      </c>
    </row>
  </sheetData>
  <mergeCells count="2">
    <mergeCell ref="Z2:AC2"/>
    <mergeCell ref="R19:S19"/>
  </mergeCells>
  <dataValidations count="1">
    <dataValidation type="list" allowBlank="1" showInputMessage="1" showErrorMessage="1" sqref="S12 S15" xr:uid="{CAB027D0-9794-4B23-9B37-347A37EE72E3}">
      <formula1>"Y, N"</formula1>
    </dataValidation>
  </dataValidations>
  <pageMargins left="0.7" right="0.7" top="0.75" bottom="0.75" header="0.3" footer="0.3"/>
  <ignoredErrors>
    <ignoredError sqref="L24:L25 L28" evalError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I101"/>
  <sheetViews>
    <sheetView workbookViewId="0">
      <selection activeCell="F6" sqref="F6:F7"/>
    </sheetView>
  </sheetViews>
  <sheetFormatPr defaultColWidth="11.5546875" defaultRowHeight="15.6"/>
  <cols>
    <col min="1" max="1" width="18.77734375" style="167" customWidth="1"/>
    <col min="2" max="2" width="16.88671875" style="168" bestFit="1" customWidth="1"/>
    <col min="3" max="3" width="15.77734375" style="168" customWidth="1"/>
    <col min="4" max="4" width="28.6640625" style="159" bestFit="1" customWidth="1"/>
    <col min="5" max="6" width="11.5546875" style="274"/>
    <col min="7" max="7" width="11.5546875" style="280"/>
    <col min="8" max="8" width="11.5546875" style="274"/>
    <col min="9" max="9" width="11.5546875" style="280"/>
  </cols>
  <sheetData>
    <row r="1" spans="1:9">
      <c r="A1" s="167" t="s">
        <v>396</v>
      </c>
      <c r="B1" s="168" t="s">
        <v>283</v>
      </c>
      <c r="C1" s="168" t="s">
        <v>390</v>
      </c>
      <c r="D1" s="276" t="s">
        <v>348</v>
      </c>
      <c r="E1" s="501" t="s">
        <v>359</v>
      </c>
      <c r="F1" s="502"/>
      <c r="G1" s="502"/>
      <c r="H1" s="502"/>
      <c r="I1" s="503"/>
    </row>
    <row r="2" spans="1:9">
      <c r="A2" s="167">
        <v>1</v>
      </c>
      <c r="D2" s="276" t="s">
        <v>347</v>
      </c>
      <c r="E2" s="504" t="s">
        <v>356</v>
      </c>
      <c r="F2" s="506" t="s">
        <v>357</v>
      </c>
      <c r="G2" s="506"/>
      <c r="H2" s="506" t="s">
        <v>358</v>
      </c>
      <c r="I2" s="507"/>
    </row>
    <row r="3" spans="1:9">
      <c r="A3" s="167">
        <v>2</v>
      </c>
      <c r="D3" s="277" t="s">
        <v>392</v>
      </c>
      <c r="E3" s="505"/>
      <c r="F3" s="269" t="s">
        <v>349</v>
      </c>
      <c r="G3" s="278" t="s">
        <v>351</v>
      </c>
      <c r="H3" s="271" t="s">
        <v>350</v>
      </c>
      <c r="I3" s="281" t="s">
        <v>352</v>
      </c>
    </row>
    <row r="4" spans="1:9">
      <c r="A4" s="167">
        <v>3</v>
      </c>
      <c r="D4" s="168"/>
      <c r="E4" s="272">
        <v>0</v>
      </c>
      <c r="F4" s="325">
        <f>Class_A_Rate</f>
        <v>0.03</v>
      </c>
      <c r="G4" s="326">
        <v>0</v>
      </c>
      <c r="H4" s="273">
        <f>Class_B_Rate</f>
        <v>5.5E-2</v>
      </c>
      <c r="I4" s="327">
        <v>0</v>
      </c>
    </row>
    <row r="5" spans="1:9">
      <c r="A5" s="167">
        <v>4</v>
      </c>
      <c r="D5" s="168"/>
      <c r="E5" s="270">
        <v>1</v>
      </c>
      <c r="F5" s="271"/>
      <c r="G5" s="278"/>
      <c r="H5" s="271"/>
      <c r="I5" s="281"/>
    </row>
    <row r="6" spans="1:9">
      <c r="A6" s="167">
        <v>5</v>
      </c>
      <c r="D6" s="168"/>
      <c r="E6" s="270">
        <v>2</v>
      </c>
      <c r="F6" s="271"/>
      <c r="G6" s="278"/>
      <c r="H6" s="271"/>
      <c r="I6" s="281"/>
    </row>
    <row r="7" spans="1:9">
      <c r="A7" s="167">
        <v>6</v>
      </c>
      <c r="D7" s="168"/>
      <c r="E7" s="270">
        <v>3</v>
      </c>
      <c r="F7" s="271"/>
      <c r="G7" s="278"/>
      <c r="H7" s="271"/>
      <c r="I7" s="281"/>
    </row>
    <row r="8" spans="1:9">
      <c r="A8" s="167">
        <v>7</v>
      </c>
      <c r="E8" s="270">
        <v>4</v>
      </c>
      <c r="F8" s="271"/>
      <c r="G8" s="278"/>
      <c r="H8" s="271"/>
      <c r="I8" s="281"/>
    </row>
    <row r="9" spans="1:9">
      <c r="A9" s="167">
        <v>8</v>
      </c>
      <c r="E9" s="270">
        <v>5</v>
      </c>
      <c r="F9" s="271"/>
      <c r="G9" s="278"/>
      <c r="H9" s="271"/>
      <c r="I9" s="281"/>
    </row>
    <row r="10" spans="1:9">
      <c r="A10" s="167">
        <v>9</v>
      </c>
      <c r="E10" s="270">
        <v>6</v>
      </c>
      <c r="F10" s="271"/>
      <c r="G10" s="278"/>
      <c r="H10" s="271"/>
      <c r="I10" s="281"/>
    </row>
    <row r="11" spans="1:9">
      <c r="A11" s="167">
        <v>10</v>
      </c>
      <c r="E11" s="270">
        <v>7</v>
      </c>
      <c r="F11" s="271"/>
      <c r="G11" s="278"/>
      <c r="H11" s="271"/>
      <c r="I11" s="281"/>
    </row>
    <row r="12" spans="1:9">
      <c r="A12" s="167">
        <v>11</v>
      </c>
      <c r="E12" s="270">
        <v>8</v>
      </c>
      <c r="F12" s="271"/>
      <c r="G12" s="278"/>
      <c r="H12" s="271"/>
      <c r="I12" s="281"/>
    </row>
    <row r="13" spans="1:9">
      <c r="A13" s="167">
        <v>12</v>
      </c>
      <c r="E13" s="270">
        <v>9</v>
      </c>
      <c r="F13" s="271"/>
      <c r="G13" s="278"/>
      <c r="H13" s="271"/>
      <c r="I13" s="281"/>
    </row>
    <row r="14" spans="1:9">
      <c r="A14" s="167">
        <v>13</v>
      </c>
      <c r="E14" s="270">
        <v>10</v>
      </c>
      <c r="F14" s="271"/>
      <c r="G14" s="278"/>
      <c r="H14" s="271"/>
      <c r="I14" s="281"/>
    </row>
    <row r="15" spans="1:9">
      <c r="A15" s="167">
        <v>14</v>
      </c>
      <c r="E15" s="270">
        <v>11</v>
      </c>
      <c r="F15" s="271"/>
      <c r="G15" s="278"/>
      <c r="H15" s="271"/>
      <c r="I15" s="281"/>
    </row>
    <row r="16" spans="1:9">
      <c r="A16" s="167">
        <v>15</v>
      </c>
      <c r="E16" s="270">
        <v>12</v>
      </c>
      <c r="F16" s="271"/>
      <c r="G16" s="278"/>
      <c r="H16" s="271"/>
      <c r="I16" s="281"/>
    </row>
    <row r="17" spans="1:9">
      <c r="A17" s="167">
        <v>16</v>
      </c>
      <c r="E17" s="270">
        <v>13</v>
      </c>
      <c r="F17" s="271"/>
      <c r="G17" s="278"/>
      <c r="H17" s="271"/>
      <c r="I17" s="281"/>
    </row>
    <row r="18" spans="1:9">
      <c r="A18" s="167">
        <v>17</v>
      </c>
      <c r="E18" s="270">
        <v>14</v>
      </c>
      <c r="F18" s="271"/>
      <c r="G18" s="278"/>
      <c r="H18" s="271"/>
      <c r="I18" s="281"/>
    </row>
    <row r="19" spans="1:9">
      <c r="A19" s="167">
        <v>18</v>
      </c>
      <c r="E19" s="270">
        <v>15</v>
      </c>
      <c r="F19" s="271"/>
      <c r="G19" s="278"/>
      <c r="H19" s="271"/>
      <c r="I19" s="281"/>
    </row>
    <row r="20" spans="1:9">
      <c r="A20" s="167">
        <v>19</v>
      </c>
      <c r="E20" s="270">
        <v>16</v>
      </c>
      <c r="F20" s="271"/>
      <c r="G20" s="278"/>
      <c r="H20" s="271"/>
      <c r="I20" s="281"/>
    </row>
    <row r="21" spans="1:9">
      <c r="A21" s="167">
        <v>20</v>
      </c>
      <c r="E21" s="270">
        <v>17</v>
      </c>
      <c r="F21" s="271"/>
      <c r="G21" s="278"/>
      <c r="H21" s="271"/>
      <c r="I21" s="281"/>
    </row>
    <row r="22" spans="1:9">
      <c r="A22" s="167">
        <v>21</v>
      </c>
      <c r="E22" s="270">
        <v>18</v>
      </c>
      <c r="F22" s="271"/>
      <c r="G22" s="278"/>
      <c r="H22" s="271"/>
      <c r="I22" s="281"/>
    </row>
    <row r="23" spans="1:9">
      <c r="A23" s="167">
        <v>22</v>
      </c>
      <c r="E23" s="270">
        <v>19</v>
      </c>
      <c r="F23" s="271"/>
      <c r="G23" s="278"/>
      <c r="H23" s="271"/>
      <c r="I23" s="281"/>
    </row>
    <row r="24" spans="1:9">
      <c r="A24" s="167">
        <v>23</v>
      </c>
      <c r="E24" s="270">
        <v>20</v>
      </c>
      <c r="F24" s="271"/>
      <c r="G24" s="278"/>
      <c r="H24" s="271"/>
      <c r="I24" s="281"/>
    </row>
    <row r="25" spans="1:9">
      <c r="A25" s="167">
        <v>24</v>
      </c>
      <c r="E25" s="272">
        <v>21</v>
      </c>
      <c r="F25" s="273"/>
      <c r="G25" s="279"/>
      <c r="H25" s="273"/>
      <c r="I25" s="282"/>
    </row>
    <row r="26" spans="1:9">
      <c r="A26" s="167">
        <v>25</v>
      </c>
    </row>
    <row r="27" spans="1:9">
      <c r="A27" s="167">
        <v>26</v>
      </c>
    </row>
    <row r="28" spans="1:9">
      <c r="A28" s="167">
        <v>27</v>
      </c>
    </row>
    <row r="29" spans="1:9">
      <c r="A29" s="167">
        <v>28</v>
      </c>
    </row>
    <row r="30" spans="1:9">
      <c r="A30" s="167">
        <v>29</v>
      </c>
    </row>
    <row r="31" spans="1:9">
      <c r="A31" s="167">
        <v>30</v>
      </c>
    </row>
    <row r="32" spans="1:9">
      <c r="A32" s="167">
        <v>31</v>
      </c>
    </row>
    <row r="33" spans="1:1">
      <c r="A33" s="167">
        <v>32</v>
      </c>
    </row>
    <row r="34" spans="1:1">
      <c r="A34" s="167">
        <v>33</v>
      </c>
    </row>
    <row r="35" spans="1:1">
      <c r="A35" s="167">
        <v>34</v>
      </c>
    </row>
    <row r="36" spans="1:1">
      <c r="A36" s="167">
        <v>35</v>
      </c>
    </row>
    <row r="37" spans="1:1">
      <c r="A37" s="167">
        <v>36</v>
      </c>
    </row>
    <row r="38" spans="1:1">
      <c r="A38" s="167">
        <v>37</v>
      </c>
    </row>
    <row r="39" spans="1:1">
      <c r="A39" s="167">
        <v>38</v>
      </c>
    </row>
    <row r="40" spans="1:1">
      <c r="A40" s="167">
        <v>39</v>
      </c>
    </row>
    <row r="41" spans="1:1">
      <c r="A41" s="167">
        <v>40</v>
      </c>
    </row>
    <row r="42" spans="1:1">
      <c r="A42" s="167">
        <v>41</v>
      </c>
    </row>
    <row r="43" spans="1:1">
      <c r="A43" s="167">
        <v>42</v>
      </c>
    </row>
    <row r="44" spans="1:1">
      <c r="A44" s="167">
        <v>43</v>
      </c>
    </row>
    <row r="45" spans="1:1">
      <c r="A45" s="167">
        <v>44</v>
      </c>
    </row>
    <row r="46" spans="1:1">
      <c r="A46" s="167">
        <v>45</v>
      </c>
    </row>
    <row r="47" spans="1:1">
      <c r="A47" s="167">
        <v>46</v>
      </c>
    </row>
    <row r="48" spans="1:1">
      <c r="A48" s="167">
        <v>47</v>
      </c>
    </row>
    <row r="49" spans="1:1">
      <c r="A49" s="167">
        <v>48</v>
      </c>
    </row>
    <row r="50" spans="1:1">
      <c r="A50" s="167">
        <v>49</v>
      </c>
    </row>
    <row r="51" spans="1:1">
      <c r="A51" s="167">
        <v>50</v>
      </c>
    </row>
    <row r="52" spans="1:1">
      <c r="A52" s="167">
        <v>51</v>
      </c>
    </row>
    <row r="53" spans="1:1">
      <c r="A53" s="167">
        <v>52</v>
      </c>
    </row>
    <row r="54" spans="1:1">
      <c r="A54" s="167">
        <v>53</v>
      </c>
    </row>
    <row r="55" spans="1:1">
      <c r="A55" s="167">
        <v>54</v>
      </c>
    </row>
    <row r="56" spans="1:1">
      <c r="A56" s="167">
        <v>55</v>
      </c>
    </row>
    <row r="57" spans="1:1">
      <c r="A57" s="167">
        <v>56</v>
      </c>
    </row>
    <row r="58" spans="1:1">
      <c r="A58" s="167">
        <v>57</v>
      </c>
    </row>
    <row r="59" spans="1:1">
      <c r="A59" s="167">
        <v>58</v>
      </c>
    </row>
    <row r="60" spans="1:1">
      <c r="A60" s="167">
        <v>59</v>
      </c>
    </row>
    <row r="61" spans="1:1">
      <c r="A61" s="167">
        <v>60</v>
      </c>
    </row>
    <row r="62" spans="1:1">
      <c r="A62" s="167">
        <v>61</v>
      </c>
    </row>
    <row r="63" spans="1:1">
      <c r="A63" s="167">
        <v>62</v>
      </c>
    </row>
    <row r="64" spans="1:1">
      <c r="A64" s="167">
        <v>63</v>
      </c>
    </row>
    <row r="65" spans="1:1">
      <c r="A65" s="167">
        <v>64</v>
      </c>
    </row>
    <row r="66" spans="1:1">
      <c r="A66" s="167">
        <v>65</v>
      </c>
    </row>
    <row r="67" spans="1:1">
      <c r="A67" s="167">
        <v>66</v>
      </c>
    </row>
    <row r="68" spans="1:1">
      <c r="A68" s="167">
        <v>67</v>
      </c>
    </row>
    <row r="69" spans="1:1">
      <c r="A69" s="167">
        <v>68</v>
      </c>
    </row>
    <row r="70" spans="1:1">
      <c r="A70" s="167">
        <v>69</v>
      </c>
    </row>
    <row r="71" spans="1:1">
      <c r="A71" s="167">
        <v>70</v>
      </c>
    </row>
    <row r="72" spans="1:1">
      <c r="A72" s="167">
        <v>71</v>
      </c>
    </row>
    <row r="73" spans="1:1">
      <c r="A73" s="167">
        <v>72</v>
      </c>
    </row>
    <row r="74" spans="1:1">
      <c r="A74" s="167">
        <v>73</v>
      </c>
    </row>
    <row r="75" spans="1:1">
      <c r="A75" s="167">
        <v>74</v>
      </c>
    </row>
    <row r="76" spans="1:1">
      <c r="A76" s="167">
        <v>75</v>
      </c>
    </row>
    <row r="77" spans="1:1">
      <c r="A77" s="167">
        <v>76</v>
      </c>
    </row>
    <row r="78" spans="1:1">
      <c r="A78" s="167">
        <v>77</v>
      </c>
    </row>
    <row r="79" spans="1:1">
      <c r="A79" s="167">
        <v>78</v>
      </c>
    </row>
    <row r="80" spans="1:1">
      <c r="A80" s="167">
        <v>79</v>
      </c>
    </row>
    <row r="81" spans="1:1">
      <c r="A81" s="167">
        <v>80</v>
      </c>
    </row>
    <row r="82" spans="1:1">
      <c r="A82" s="167">
        <v>81</v>
      </c>
    </row>
    <row r="83" spans="1:1">
      <c r="A83" s="167">
        <v>82</v>
      </c>
    </row>
    <row r="84" spans="1:1">
      <c r="A84" s="167">
        <v>83</v>
      </c>
    </row>
    <row r="85" spans="1:1">
      <c r="A85" s="167">
        <v>84</v>
      </c>
    </row>
    <row r="86" spans="1:1">
      <c r="A86" s="167">
        <v>85</v>
      </c>
    </row>
    <row r="87" spans="1:1">
      <c r="A87" s="167">
        <v>86</v>
      </c>
    </row>
    <row r="88" spans="1:1">
      <c r="A88" s="167">
        <v>87</v>
      </c>
    </row>
    <row r="89" spans="1:1">
      <c r="A89" s="167">
        <v>88</v>
      </c>
    </row>
    <row r="90" spans="1:1">
      <c r="A90" s="167">
        <v>89</v>
      </c>
    </row>
    <row r="91" spans="1:1">
      <c r="A91" s="167">
        <v>90</v>
      </c>
    </row>
    <row r="92" spans="1:1">
      <c r="A92" s="167">
        <v>91</v>
      </c>
    </row>
    <row r="93" spans="1:1">
      <c r="A93" s="167">
        <v>92</v>
      </c>
    </row>
    <row r="94" spans="1:1">
      <c r="A94" s="167">
        <v>93</v>
      </c>
    </row>
    <row r="95" spans="1:1">
      <c r="A95" s="167">
        <v>94</v>
      </c>
    </row>
    <row r="96" spans="1:1">
      <c r="A96" s="167">
        <v>95</v>
      </c>
    </row>
    <row r="97" spans="1:1">
      <c r="A97" s="167">
        <v>96</v>
      </c>
    </row>
    <row r="98" spans="1:1">
      <c r="A98" s="167">
        <v>97</v>
      </c>
    </row>
    <row r="99" spans="1:1">
      <c r="A99" s="167">
        <v>98</v>
      </c>
    </row>
    <row r="100" spans="1:1">
      <c r="A100" s="167">
        <v>99</v>
      </c>
    </row>
    <row r="101" spans="1:1">
      <c r="A101" s="167">
        <v>100</v>
      </c>
    </row>
  </sheetData>
  <mergeCells count="4">
    <mergeCell ref="E1:I1"/>
    <mergeCell ref="E2:E3"/>
    <mergeCell ref="F2:G2"/>
    <mergeCell ref="H2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U34"/>
  <sheetViews>
    <sheetView workbookViewId="0">
      <selection activeCell="N8" sqref="N8"/>
    </sheetView>
  </sheetViews>
  <sheetFormatPr defaultRowHeight="14.4"/>
  <cols>
    <col min="14" max="14" width="12.33203125" style="57" bestFit="1" customWidth="1"/>
    <col min="15" max="15" width="21.6640625" bestFit="1" customWidth="1"/>
    <col min="21" max="21" width="12.5546875" bestFit="1" customWidth="1"/>
  </cols>
  <sheetData>
    <row r="1" spans="1:2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243"/>
      <c r="O1" s="3"/>
      <c r="P1" s="3"/>
      <c r="Q1" s="3"/>
      <c r="R1" s="3"/>
      <c r="S1" s="37"/>
      <c r="T1" s="4">
        <f ca="1">TODAY()</f>
        <v>43728</v>
      </c>
    </row>
    <row r="2" spans="1:21" ht="15" thickBo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244"/>
      <c r="O2" s="6"/>
      <c r="P2" s="6"/>
      <c r="Q2" s="6"/>
      <c r="R2" s="6"/>
      <c r="S2" s="38"/>
      <c r="T2" s="7">
        <f ca="1">NOW()</f>
        <v>43728.743448148147</v>
      </c>
    </row>
    <row r="3" spans="1:21">
      <c r="A3" s="9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245"/>
      <c r="O3" s="10"/>
      <c r="P3" s="10"/>
      <c r="Q3" s="10"/>
      <c r="R3" s="10"/>
      <c r="S3" s="10"/>
      <c r="T3" s="11"/>
    </row>
    <row r="4" spans="1:21">
      <c r="A4" s="13" t="s">
        <v>49</v>
      </c>
      <c r="B4" s="13"/>
      <c r="C4" s="13"/>
      <c r="D4" s="13"/>
      <c r="E4" s="13"/>
      <c r="F4" s="13"/>
      <c r="G4" s="13"/>
      <c r="H4" s="8"/>
      <c r="I4" s="8"/>
      <c r="J4" s="8"/>
      <c r="K4" s="8"/>
      <c r="L4" s="8"/>
      <c r="M4" s="8"/>
      <c r="N4" s="246"/>
      <c r="O4" s="8"/>
      <c r="P4" s="8"/>
      <c r="Q4" s="8"/>
      <c r="R4" s="8"/>
      <c r="S4" s="8"/>
      <c r="T4" s="8"/>
    </row>
    <row r="5" spans="1:21">
      <c r="A5" s="9"/>
      <c r="B5" s="10"/>
      <c r="C5" s="10"/>
      <c r="D5" s="12"/>
      <c r="E5" s="10"/>
      <c r="F5" s="10"/>
      <c r="G5" s="10"/>
      <c r="H5" s="10"/>
      <c r="I5" s="10"/>
      <c r="J5" s="10"/>
      <c r="K5" s="10"/>
      <c r="L5" s="10"/>
      <c r="M5" s="10"/>
      <c r="N5" s="245"/>
      <c r="O5" s="10"/>
      <c r="P5" s="10"/>
      <c r="Q5" s="10"/>
      <c r="R5" s="10"/>
      <c r="S5" s="10"/>
      <c r="T5" s="10"/>
    </row>
    <row r="6" spans="1:21" ht="16.2">
      <c r="A6" s="14"/>
      <c r="B6" s="14"/>
      <c r="C6" s="14"/>
      <c r="D6" s="14"/>
      <c r="E6" s="14"/>
      <c r="F6" s="15" t="s">
        <v>0</v>
      </c>
      <c r="G6" s="15" t="s">
        <v>1</v>
      </c>
      <c r="H6" s="17" t="s">
        <v>2</v>
      </c>
      <c r="I6" s="17"/>
      <c r="J6" s="16" t="s">
        <v>3</v>
      </c>
      <c r="K6" s="16" t="s">
        <v>4</v>
      </c>
      <c r="L6" s="14"/>
      <c r="M6" s="17" t="s">
        <v>46</v>
      </c>
      <c r="N6" s="247"/>
      <c r="O6" s="17" t="s">
        <v>23</v>
      </c>
      <c r="P6" s="17"/>
      <c r="Q6" s="17"/>
      <c r="R6" s="16"/>
      <c r="S6" s="17" t="s">
        <v>42</v>
      </c>
      <c r="T6" s="17"/>
    </row>
    <row r="7" spans="1:21" ht="16.2">
      <c r="A7" s="158"/>
      <c r="B7" s="17" t="s">
        <v>25</v>
      </c>
      <c r="C7" s="17" t="s">
        <v>6</v>
      </c>
      <c r="D7" s="17" t="s">
        <v>7</v>
      </c>
      <c r="E7" s="17" t="s">
        <v>8</v>
      </c>
      <c r="F7" s="17" t="s">
        <v>5</v>
      </c>
      <c r="G7" s="17" t="s">
        <v>5</v>
      </c>
      <c r="H7" s="17" t="s">
        <v>9</v>
      </c>
      <c r="I7" s="17" t="s">
        <v>10</v>
      </c>
      <c r="J7" s="17" t="s">
        <v>11</v>
      </c>
      <c r="K7" s="17" t="s">
        <v>11</v>
      </c>
      <c r="L7" s="17" t="s">
        <v>12</v>
      </c>
      <c r="M7" s="17" t="s">
        <v>45</v>
      </c>
      <c r="N7" s="247" t="s">
        <v>44</v>
      </c>
      <c r="O7" s="18" t="s">
        <v>22</v>
      </c>
      <c r="P7" s="18" t="s">
        <v>47</v>
      </c>
      <c r="Q7" s="18" t="s">
        <v>40</v>
      </c>
      <c r="R7" s="18" t="s">
        <v>24</v>
      </c>
      <c r="S7" s="18" t="s">
        <v>43</v>
      </c>
      <c r="T7" s="18" t="s">
        <v>30</v>
      </c>
    </row>
    <row r="8" spans="1:21">
      <c r="A8" s="158">
        <v>1</v>
      </c>
      <c r="B8" s="158" t="s">
        <v>26</v>
      </c>
      <c r="C8" s="158" t="s">
        <v>32</v>
      </c>
      <c r="D8" s="15" t="s">
        <v>29</v>
      </c>
      <c r="E8" s="15" t="s">
        <v>19</v>
      </c>
      <c r="F8" s="158">
        <v>2008</v>
      </c>
      <c r="G8" s="158">
        <v>2018</v>
      </c>
      <c r="H8" s="39">
        <v>1800</v>
      </c>
      <c r="I8" s="39">
        <v>1400</v>
      </c>
      <c r="J8" s="39">
        <v>22171</v>
      </c>
      <c r="K8" s="39">
        <v>8665</v>
      </c>
      <c r="L8" s="15" t="s">
        <v>14</v>
      </c>
      <c r="M8" s="20">
        <v>9.25</v>
      </c>
      <c r="N8" s="20">
        <f t="shared" ref="N8:N16" si="0">K8*460/1000000</f>
        <v>3.9859</v>
      </c>
      <c r="O8" s="26" t="s">
        <v>36</v>
      </c>
      <c r="P8" s="21">
        <v>45017</v>
      </c>
      <c r="Q8" s="19">
        <f ca="1">(P8-T$1)/365</f>
        <v>3.5315068493150683</v>
      </c>
      <c r="R8" s="22">
        <v>11500</v>
      </c>
      <c r="S8" s="22">
        <v>4750</v>
      </c>
      <c r="T8" s="22">
        <v>325</v>
      </c>
      <c r="U8" s="252"/>
    </row>
    <row r="9" spans="1:21">
      <c r="A9" s="27">
        <v>2</v>
      </c>
      <c r="B9" s="27" t="s">
        <v>26</v>
      </c>
      <c r="C9" s="27" t="s">
        <v>34</v>
      </c>
      <c r="D9" s="28" t="s">
        <v>17</v>
      </c>
      <c r="E9" s="28" t="s">
        <v>16</v>
      </c>
      <c r="F9" s="27">
        <v>2004</v>
      </c>
      <c r="G9" s="27">
        <v>2019</v>
      </c>
      <c r="H9" s="40">
        <v>2500</v>
      </c>
      <c r="I9" s="29">
        <v>1900</v>
      </c>
      <c r="J9" s="29">
        <v>33400</v>
      </c>
      <c r="K9" s="29">
        <v>10600</v>
      </c>
      <c r="L9" s="28" t="s">
        <v>13</v>
      </c>
      <c r="M9" s="31">
        <v>7</v>
      </c>
      <c r="N9" s="31">
        <f t="shared" si="0"/>
        <v>4.8760000000000003</v>
      </c>
      <c r="O9" s="32" t="s">
        <v>36</v>
      </c>
      <c r="P9" s="33">
        <v>45107</v>
      </c>
      <c r="Q9" s="34">
        <f ca="1">(P9-T$1)/365</f>
        <v>3.7780821917808218</v>
      </c>
      <c r="R9" s="35">
        <v>10500</v>
      </c>
      <c r="S9" s="36">
        <v>5250</v>
      </c>
      <c r="T9" s="35">
        <v>350</v>
      </c>
      <c r="U9" s="252"/>
    </row>
    <row r="10" spans="1:21">
      <c r="A10" s="27">
        <v>5</v>
      </c>
      <c r="B10" s="27" t="s">
        <v>26</v>
      </c>
      <c r="C10" s="27" t="s">
        <v>35</v>
      </c>
      <c r="D10" s="28" t="s">
        <v>17</v>
      </c>
      <c r="E10" s="28" t="s">
        <v>18</v>
      </c>
      <c r="F10" s="27">
        <v>2005</v>
      </c>
      <c r="G10" s="27">
        <v>2018</v>
      </c>
      <c r="H10" s="29">
        <v>2800</v>
      </c>
      <c r="I10" s="29">
        <v>2000</v>
      </c>
      <c r="J10" s="29">
        <v>39410</v>
      </c>
      <c r="K10" s="29">
        <v>11900</v>
      </c>
      <c r="L10" s="28" t="s">
        <v>14</v>
      </c>
      <c r="M10" s="31">
        <v>8.5</v>
      </c>
      <c r="N10" s="31">
        <f t="shared" si="0"/>
        <v>5.4740000000000002</v>
      </c>
      <c r="O10" s="32" t="s">
        <v>37</v>
      </c>
      <c r="P10" s="33">
        <v>44742</v>
      </c>
      <c r="Q10" s="34">
        <f t="shared" ref="Q10:Q24" ca="1" si="1">(P10-T$1)/365</f>
        <v>2.7780821917808218</v>
      </c>
      <c r="R10" s="35">
        <v>10750</v>
      </c>
      <c r="S10" s="36">
        <v>5250</v>
      </c>
      <c r="T10" s="35">
        <v>350</v>
      </c>
    </row>
    <row r="11" spans="1:21">
      <c r="A11" s="27">
        <v>6</v>
      </c>
      <c r="B11" s="27" t="s">
        <v>26</v>
      </c>
      <c r="C11" s="27" t="s">
        <v>35</v>
      </c>
      <c r="D11" s="28" t="s">
        <v>17</v>
      </c>
      <c r="E11" s="28" t="s">
        <v>18</v>
      </c>
      <c r="F11" s="27">
        <v>2006</v>
      </c>
      <c r="G11" s="27">
        <v>2019</v>
      </c>
      <c r="H11" s="29">
        <v>2800</v>
      </c>
      <c r="I11" s="29">
        <v>2000</v>
      </c>
      <c r="J11" s="29">
        <v>39418</v>
      </c>
      <c r="K11" s="29">
        <v>11891</v>
      </c>
      <c r="L11" s="28" t="s">
        <v>14</v>
      </c>
      <c r="M11" s="31">
        <v>10.5</v>
      </c>
      <c r="N11" s="31">
        <f t="shared" si="0"/>
        <v>5.4698599999999997</v>
      </c>
      <c r="O11" s="32" t="s">
        <v>36</v>
      </c>
      <c r="P11" s="33">
        <v>45107</v>
      </c>
      <c r="Q11" s="34">
        <f t="shared" ca="1" si="1"/>
        <v>3.7780821917808218</v>
      </c>
      <c r="R11" s="35">
        <v>11000</v>
      </c>
      <c r="S11" s="36">
        <v>5250</v>
      </c>
      <c r="T11" s="35">
        <v>350</v>
      </c>
    </row>
    <row r="12" spans="1:21">
      <c r="A12" s="27">
        <v>7</v>
      </c>
      <c r="B12" s="27" t="s">
        <v>26</v>
      </c>
      <c r="C12" s="27" t="s">
        <v>35</v>
      </c>
      <c r="D12" s="28" t="s">
        <v>21</v>
      </c>
      <c r="E12" s="28" t="s">
        <v>16</v>
      </c>
      <c r="F12" s="27">
        <v>2007</v>
      </c>
      <c r="G12" s="27">
        <v>2017</v>
      </c>
      <c r="H12" s="29">
        <v>2800</v>
      </c>
      <c r="I12" s="29">
        <v>2000</v>
      </c>
      <c r="J12" s="29">
        <v>39345</v>
      </c>
      <c r="K12" s="29">
        <v>11800</v>
      </c>
      <c r="L12" s="28" t="s">
        <v>14</v>
      </c>
      <c r="M12" s="31">
        <v>10</v>
      </c>
      <c r="N12" s="31">
        <f t="shared" si="0"/>
        <v>5.4279999999999999</v>
      </c>
      <c r="O12" s="32" t="s">
        <v>37</v>
      </c>
      <c r="P12" s="33">
        <v>43966</v>
      </c>
      <c r="Q12" s="34">
        <f t="shared" ca="1" si="1"/>
        <v>0.65205479452054793</v>
      </c>
      <c r="R12" s="35">
        <v>11750</v>
      </c>
      <c r="S12" s="36">
        <v>5250</v>
      </c>
      <c r="T12" s="35">
        <v>350</v>
      </c>
    </row>
    <row r="13" spans="1:21">
      <c r="A13" s="27">
        <v>8</v>
      </c>
      <c r="B13" s="27" t="s">
        <v>26</v>
      </c>
      <c r="C13" s="27" t="s">
        <v>33</v>
      </c>
      <c r="D13" s="28" t="s">
        <v>20</v>
      </c>
      <c r="E13" s="28" t="s">
        <v>16</v>
      </c>
      <c r="F13" s="27">
        <v>2003</v>
      </c>
      <c r="G13" s="27">
        <v>2023</v>
      </c>
      <c r="H13" s="29">
        <v>2700</v>
      </c>
      <c r="I13" s="29">
        <v>2200</v>
      </c>
      <c r="J13" s="29">
        <v>43093</v>
      </c>
      <c r="K13" s="29">
        <v>11000</v>
      </c>
      <c r="L13" s="28" t="s">
        <v>14</v>
      </c>
      <c r="M13" s="31">
        <v>8</v>
      </c>
      <c r="N13" s="31">
        <f t="shared" si="0"/>
        <v>5.0599999999999996</v>
      </c>
      <c r="O13" s="32" t="s">
        <v>36</v>
      </c>
      <c r="P13" s="33">
        <v>44378</v>
      </c>
      <c r="Q13" s="34">
        <f t="shared" ca="1" si="1"/>
        <v>1.7808219178082192</v>
      </c>
      <c r="R13" s="35">
        <v>11500</v>
      </c>
      <c r="S13" s="36">
        <v>5250</v>
      </c>
      <c r="T13" s="35">
        <v>350</v>
      </c>
    </row>
    <row r="14" spans="1:21">
      <c r="A14" s="27">
        <v>10</v>
      </c>
      <c r="B14" s="27" t="s">
        <v>26</v>
      </c>
      <c r="C14" s="27" t="s">
        <v>33</v>
      </c>
      <c r="D14" s="28" t="s">
        <v>20</v>
      </c>
      <c r="E14" s="28" t="s">
        <v>19</v>
      </c>
      <c r="F14" s="27">
        <v>2007</v>
      </c>
      <c r="G14" s="27">
        <v>2022</v>
      </c>
      <c r="H14" s="29">
        <v>1700</v>
      </c>
      <c r="I14" s="29">
        <v>1200</v>
      </c>
      <c r="J14" s="29">
        <v>21442</v>
      </c>
      <c r="K14" s="29">
        <v>7852</v>
      </c>
      <c r="L14" s="28" t="s">
        <v>13</v>
      </c>
      <c r="M14" s="30">
        <v>7</v>
      </c>
      <c r="N14" s="31">
        <f t="shared" si="0"/>
        <v>3.61192</v>
      </c>
      <c r="O14" s="32" t="s">
        <v>38</v>
      </c>
      <c r="P14" s="33">
        <v>44803</v>
      </c>
      <c r="Q14" s="34">
        <f t="shared" ca="1" si="1"/>
        <v>2.9452054794520546</v>
      </c>
      <c r="R14" s="35">
        <v>8200</v>
      </c>
      <c r="S14" s="36">
        <v>4500</v>
      </c>
      <c r="T14" s="35">
        <v>300</v>
      </c>
    </row>
    <row r="15" spans="1:21">
      <c r="A15" s="27">
        <v>13</v>
      </c>
      <c r="B15" s="27" t="s">
        <v>26</v>
      </c>
      <c r="C15" s="27" t="s">
        <v>35</v>
      </c>
      <c r="D15" s="28" t="s">
        <v>17</v>
      </c>
      <c r="E15" s="28" t="s">
        <v>28</v>
      </c>
      <c r="F15" s="27">
        <v>2006</v>
      </c>
      <c r="G15" s="27">
        <v>2021</v>
      </c>
      <c r="H15" s="29">
        <v>2500</v>
      </c>
      <c r="I15" s="29">
        <v>1900</v>
      </c>
      <c r="J15" s="29">
        <v>34704</v>
      </c>
      <c r="K15" s="29">
        <v>11334</v>
      </c>
      <c r="L15" s="28" t="s">
        <v>14</v>
      </c>
      <c r="M15" s="31">
        <v>8</v>
      </c>
      <c r="N15" s="31">
        <f t="shared" si="0"/>
        <v>5.2136399999999998</v>
      </c>
      <c r="O15" s="32" t="s">
        <v>36</v>
      </c>
      <c r="P15" s="33">
        <v>43997</v>
      </c>
      <c r="Q15" s="34">
        <f t="shared" ca="1" si="1"/>
        <v>0.73698630136986298</v>
      </c>
      <c r="R15" s="35">
        <v>9150</v>
      </c>
      <c r="S15" s="36">
        <v>5250</v>
      </c>
      <c r="T15" s="35">
        <v>350</v>
      </c>
    </row>
    <row r="16" spans="1:21">
      <c r="A16" s="27">
        <v>14</v>
      </c>
      <c r="B16" s="27" t="s">
        <v>26</v>
      </c>
      <c r="C16" s="27" t="s">
        <v>35</v>
      </c>
      <c r="D16" s="28" t="s">
        <v>17</v>
      </c>
      <c r="E16" s="28" t="s">
        <v>28</v>
      </c>
      <c r="F16" s="27">
        <v>2005</v>
      </c>
      <c r="G16" s="27">
        <v>2023</v>
      </c>
      <c r="H16" s="29">
        <v>2500</v>
      </c>
      <c r="I16" s="29">
        <v>1900</v>
      </c>
      <c r="J16" s="29">
        <v>34740</v>
      </c>
      <c r="K16" s="29">
        <v>11298</v>
      </c>
      <c r="L16" s="28" t="s">
        <v>14</v>
      </c>
      <c r="M16" s="31">
        <v>7.5</v>
      </c>
      <c r="N16" s="31">
        <f t="shared" si="0"/>
        <v>5.1970799999999997</v>
      </c>
      <c r="O16" s="32" t="s">
        <v>36</v>
      </c>
      <c r="P16" s="33">
        <v>44454</v>
      </c>
      <c r="Q16" s="34">
        <f t="shared" ca="1" si="1"/>
        <v>1.989041095890411</v>
      </c>
      <c r="R16" s="35">
        <v>10750</v>
      </c>
      <c r="S16" s="36">
        <v>5250</v>
      </c>
      <c r="T16" s="35">
        <v>350</v>
      </c>
    </row>
    <row r="17" spans="1:21">
      <c r="A17" s="27">
        <v>16</v>
      </c>
      <c r="B17" s="27" t="s">
        <v>26</v>
      </c>
      <c r="C17" s="27" t="s">
        <v>34</v>
      </c>
      <c r="D17" s="28" t="s">
        <v>29</v>
      </c>
      <c r="E17" s="28" t="s">
        <v>48</v>
      </c>
      <c r="F17" s="27">
        <v>2004</v>
      </c>
      <c r="G17" s="27">
        <v>2019</v>
      </c>
      <c r="H17" s="40">
        <v>2700</v>
      </c>
      <c r="I17" s="29">
        <v>2000</v>
      </c>
      <c r="J17" s="29">
        <v>35800</v>
      </c>
      <c r="K17" s="29">
        <v>12800</v>
      </c>
      <c r="L17" s="28" t="s">
        <v>39</v>
      </c>
      <c r="M17" s="31">
        <v>7.5</v>
      </c>
      <c r="N17" s="31">
        <f>K17*460/1000000</f>
        <v>5.8879999999999999</v>
      </c>
      <c r="O17" s="32" t="s">
        <v>36</v>
      </c>
      <c r="P17" s="33">
        <v>44377</v>
      </c>
      <c r="Q17" s="34">
        <f t="shared" ca="1" si="1"/>
        <v>1.7780821917808218</v>
      </c>
      <c r="R17" s="35">
        <v>10500</v>
      </c>
      <c r="S17" s="36">
        <v>5750</v>
      </c>
      <c r="T17" s="35">
        <v>350</v>
      </c>
    </row>
    <row r="18" spans="1:21">
      <c r="A18" s="27">
        <v>17</v>
      </c>
      <c r="B18" s="27" t="s">
        <v>26</v>
      </c>
      <c r="C18" s="27" t="s">
        <v>34</v>
      </c>
      <c r="D18" s="28" t="s">
        <v>29</v>
      </c>
      <c r="E18" s="28" t="s">
        <v>48</v>
      </c>
      <c r="F18" s="27">
        <v>2003</v>
      </c>
      <c r="G18" s="27">
        <v>2022</v>
      </c>
      <c r="H18" s="40">
        <v>2700</v>
      </c>
      <c r="I18" s="29">
        <v>2000</v>
      </c>
      <c r="J18" s="29">
        <v>35800</v>
      </c>
      <c r="K18" s="29">
        <v>12800</v>
      </c>
      <c r="L18" s="28" t="s">
        <v>39</v>
      </c>
      <c r="M18" s="31">
        <v>7</v>
      </c>
      <c r="N18" s="31">
        <f t="shared" ref="N18:N24" si="2">K18*460/1000000</f>
        <v>5.8879999999999999</v>
      </c>
      <c r="O18" s="32" t="s">
        <v>41</v>
      </c>
      <c r="P18" s="33">
        <v>44742</v>
      </c>
      <c r="Q18" s="34">
        <f t="shared" ca="1" si="1"/>
        <v>2.7780821917808218</v>
      </c>
      <c r="R18" s="35">
        <v>10500</v>
      </c>
      <c r="S18" s="36">
        <v>5750</v>
      </c>
      <c r="T18" s="35">
        <v>450</v>
      </c>
    </row>
    <row r="19" spans="1:21">
      <c r="A19" s="27">
        <v>18</v>
      </c>
      <c r="B19" s="27" t="s">
        <v>26</v>
      </c>
      <c r="C19" s="27" t="s">
        <v>34</v>
      </c>
      <c r="D19" s="28" t="s">
        <v>29</v>
      </c>
      <c r="E19" s="28" t="s">
        <v>48</v>
      </c>
      <c r="F19" s="27">
        <v>2002</v>
      </c>
      <c r="G19" s="27">
        <v>2022</v>
      </c>
      <c r="H19" s="40">
        <v>2700</v>
      </c>
      <c r="I19" s="29">
        <v>2000</v>
      </c>
      <c r="J19" s="29">
        <v>35800</v>
      </c>
      <c r="K19" s="29">
        <v>12800</v>
      </c>
      <c r="L19" s="28" t="s">
        <v>39</v>
      </c>
      <c r="M19" s="31">
        <v>6.5</v>
      </c>
      <c r="N19" s="31">
        <f t="shared" si="2"/>
        <v>5.8879999999999999</v>
      </c>
      <c r="O19" s="32" t="s">
        <v>41</v>
      </c>
      <c r="P19" s="33">
        <v>44742</v>
      </c>
      <c r="Q19" s="34">
        <f t="shared" ca="1" si="1"/>
        <v>2.7780821917808218</v>
      </c>
      <c r="R19" s="35">
        <v>10500</v>
      </c>
      <c r="S19" s="36">
        <v>5750</v>
      </c>
      <c r="T19" s="35">
        <v>450</v>
      </c>
    </row>
    <row r="20" spans="1:21">
      <c r="A20" s="27">
        <v>19</v>
      </c>
      <c r="B20" s="27" t="s">
        <v>26</v>
      </c>
      <c r="C20" s="27" t="s">
        <v>35</v>
      </c>
      <c r="D20" s="28" t="s">
        <v>17</v>
      </c>
      <c r="E20" s="28" t="s">
        <v>18</v>
      </c>
      <c r="F20" s="27">
        <v>2006</v>
      </c>
      <c r="G20" s="27">
        <v>2021</v>
      </c>
      <c r="H20" s="40">
        <v>2800</v>
      </c>
      <c r="I20" s="29">
        <v>2000</v>
      </c>
      <c r="J20" s="29">
        <v>38700</v>
      </c>
      <c r="K20" s="29">
        <v>12000</v>
      </c>
      <c r="L20" s="28" t="s">
        <v>14</v>
      </c>
      <c r="M20" s="31">
        <v>10.75</v>
      </c>
      <c r="N20" s="31">
        <f t="shared" si="2"/>
        <v>5.52</v>
      </c>
      <c r="O20" s="32" t="s">
        <v>36</v>
      </c>
      <c r="P20" s="33">
        <v>45473</v>
      </c>
      <c r="Q20" s="34">
        <f t="shared" ca="1" si="1"/>
        <v>4.7808219178082192</v>
      </c>
      <c r="R20" s="35">
        <v>10500</v>
      </c>
      <c r="S20" s="36">
        <v>5000</v>
      </c>
      <c r="T20" s="35">
        <v>350</v>
      </c>
    </row>
    <row r="21" spans="1:21">
      <c r="A21" s="27">
        <v>20</v>
      </c>
      <c r="B21" s="27" t="s">
        <v>26</v>
      </c>
      <c r="C21" s="27" t="s">
        <v>34</v>
      </c>
      <c r="D21" s="28" t="s">
        <v>17</v>
      </c>
      <c r="E21" s="28" t="s">
        <v>28</v>
      </c>
      <c r="F21" s="27">
        <v>2005</v>
      </c>
      <c r="G21" s="27">
        <v>2020</v>
      </c>
      <c r="H21" s="40">
        <v>2500</v>
      </c>
      <c r="I21" s="29">
        <v>1900</v>
      </c>
      <c r="J21" s="29">
        <v>33400</v>
      </c>
      <c r="K21" s="29">
        <v>10600</v>
      </c>
      <c r="L21" s="28" t="s">
        <v>13</v>
      </c>
      <c r="M21" s="31">
        <v>8</v>
      </c>
      <c r="N21" s="31">
        <f t="shared" si="2"/>
        <v>4.8760000000000003</v>
      </c>
      <c r="O21" s="32" t="s">
        <v>36</v>
      </c>
      <c r="P21" s="33">
        <v>44742</v>
      </c>
      <c r="Q21" s="34">
        <f t="shared" ca="1" si="1"/>
        <v>2.7780821917808218</v>
      </c>
      <c r="R21" s="35">
        <v>10500</v>
      </c>
      <c r="S21" s="36">
        <v>5250</v>
      </c>
      <c r="T21" s="35">
        <v>350</v>
      </c>
    </row>
    <row r="22" spans="1:21">
      <c r="A22" s="27">
        <v>21</v>
      </c>
      <c r="B22" s="27" t="s">
        <v>26</v>
      </c>
      <c r="C22" s="27" t="s">
        <v>34</v>
      </c>
      <c r="D22" s="28" t="s">
        <v>29</v>
      </c>
      <c r="E22" s="28" t="s">
        <v>18</v>
      </c>
      <c r="F22" s="27">
        <v>2008</v>
      </c>
      <c r="G22" s="27">
        <v>2023</v>
      </c>
      <c r="H22" s="40">
        <v>1900</v>
      </c>
      <c r="I22" s="29">
        <v>1400</v>
      </c>
      <c r="J22" s="29">
        <v>21000</v>
      </c>
      <c r="K22" s="29">
        <v>8800</v>
      </c>
      <c r="L22" s="28" t="s">
        <v>14</v>
      </c>
      <c r="M22" s="31">
        <v>9.5</v>
      </c>
      <c r="N22" s="31">
        <f t="shared" si="2"/>
        <v>4.048</v>
      </c>
      <c r="O22" s="32" t="s">
        <v>36</v>
      </c>
      <c r="P22" s="33">
        <v>45107</v>
      </c>
      <c r="Q22" s="34">
        <f t="shared" ca="1" si="1"/>
        <v>3.7780821917808218</v>
      </c>
      <c r="R22" s="35">
        <v>9500</v>
      </c>
      <c r="S22" s="36">
        <v>4850</v>
      </c>
      <c r="T22" s="35">
        <v>350</v>
      </c>
    </row>
    <row r="23" spans="1:21">
      <c r="A23" s="27">
        <v>24</v>
      </c>
      <c r="B23" s="27" t="s">
        <v>26</v>
      </c>
      <c r="C23" s="27" t="s">
        <v>34</v>
      </c>
      <c r="D23" s="28" t="s">
        <v>17</v>
      </c>
      <c r="E23" s="28" t="s">
        <v>16</v>
      </c>
      <c r="F23" s="27">
        <v>2005</v>
      </c>
      <c r="G23" s="27">
        <v>2020</v>
      </c>
      <c r="H23" s="40">
        <v>2500</v>
      </c>
      <c r="I23" s="29">
        <v>1900</v>
      </c>
      <c r="J23" s="29">
        <v>33400</v>
      </c>
      <c r="K23" s="29">
        <v>10600</v>
      </c>
      <c r="L23" s="28" t="s">
        <v>13</v>
      </c>
      <c r="M23" s="31">
        <v>7.75</v>
      </c>
      <c r="N23" s="31">
        <f>K23*460/1000000</f>
        <v>4.8760000000000003</v>
      </c>
      <c r="O23" s="32" t="s">
        <v>36</v>
      </c>
      <c r="P23" s="33">
        <v>45107</v>
      </c>
      <c r="Q23" s="34">
        <f ca="1">(P23-T$1)/365</f>
        <v>3.7780821917808218</v>
      </c>
      <c r="R23" s="35">
        <v>10750</v>
      </c>
      <c r="S23" s="36">
        <v>5250</v>
      </c>
      <c r="T23" s="35">
        <v>350</v>
      </c>
    </row>
    <row r="24" spans="1:21" s="295" customFormat="1">
      <c r="A24" s="286">
        <v>25</v>
      </c>
      <c r="B24" s="286" t="s">
        <v>26</v>
      </c>
      <c r="C24" s="286" t="s">
        <v>34</v>
      </c>
      <c r="D24" s="287" t="s">
        <v>20</v>
      </c>
      <c r="E24" s="287" t="s">
        <v>16</v>
      </c>
      <c r="F24" s="286">
        <v>2002</v>
      </c>
      <c r="G24" s="286">
        <v>2022</v>
      </c>
      <c r="H24" s="298">
        <v>2700</v>
      </c>
      <c r="I24" s="288">
        <v>2200</v>
      </c>
      <c r="J24" s="288">
        <v>39307</v>
      </c>
      <c r="K24" s="288">
        <v>12985</v>
      </c>
      <c r="L24" s="287" t="s">
        <v>14</v>
      </c>
      <c r="M24" s="289">
        <v>6.75</v>
      </c>
      <c r="N24" s="289">
        <f t="shared" si="2"/>
        <v>5.9730999999999996</v>
      </c>
      <c r="O24" s="290" t="s">
        <v>36</v>
      </c>
      <c r="P24" s="291">
        <v>44012</v>
      </c>
      <c r="Q24" s="292">
        <f t="shared" ca="1" si="1"/>
        <v>0.77808219178082194</v>
      </c>
      <c r="R24" s="293">
        <v>9500</v>
      </c>
      <c r="S24" s="294">
        <v>5500</v>
      </c>
      <c r="T24" s="293">
        <v>450</v>
      </c>
    </row>
    <row r="25" spans="1:21" s="295" customFormat="1">
      <c r="A25" s="286">
        <v>3</v>
      </c>
      <c r="B25" s="286" t="s">
        <v>26</v>
      </c>
      <c r="C25" s="286" t="s">
        <v>35</v>
      </c>
      <c r="D25" s="287" t="s">
        <v>27</v>
      </c>
      <c r="E25" s="287" t="s">
        <v>16</v>
      </c>
      <c r="F25" s="286">
        <v>2000</v>
      </c>
      <c r="G25" s="286">
        <v>2020</v>
      </c>
      <c r="H25" s="288">
        <v>1300</v>
      </c>
      <c r="I25" s="288">
        <v>1000</v>
      </c>
      <c r="J25" s="288">
        <v>15317</v>
      </c>
      <c r="K25" s="288">
        <v>6435</v>
      </c>
      <c r="L25" s="287" t="s">
        <v>14</v>
      </c>
      <c r="M25" s="289">
        <v>4.25</v>
      </c>
      <c r="N25" s="289">
        <f t="shared" ref="N25:N32" si="3">K25*460/1000000</f>
        <v>2.9601000000000002</v>
      </c>
      <c r="O25" s="290" t="s">
        <v>38</v>
      </c>
      <c r="P25" s="291">
        <v>44317</v>
      </c>
      <c r="Q25" s="292">
        <f t="shared" ref="Q25:Q32" ca="1" si="4">(P25-T$1)/365</f>
        <v>1.6136986301369862</v>
      </c>
      <c r="R25" s="293">
        <v>9250</v>
      </c>
      <c r="S25" s="293">
        <v>4750</v>
      </c>
      <c r="T25" s="293">
        <v>300</v>
      </c>
      <c r="U25" s="294"/>
    </row>
    <row r="26" spans="1:21" s="295" customFormat="1">
      <c r="A26" s="286">
        <v>4</v>
      </c>
      <c r="B26" s="286" t="s">
        <v>26</v>
      </c>
      <c r="C26" s="286" t="s">
        <v>35</v>
      </c>
      <c r="D26" s="287" t="s">
        <v>21</v>
      </c>
      <c r="E26" s="287" t="s">
        <v>18</v>
      </c>
      <c r="F26" s="286">
        <v>2004</v>
      </c>
      <c r="G26" s="286">
        <v>2020</v>
      </c>
      <c r="H26" s="288">
        <v>1300</v>
      </c>
      <c r="I26" s="288">
        <v>1000</v>
      </c>
      <c r="J26" s="288">
        <v>15317</v>
      </c>
      <c r="K26" s="288">
        <v>6419</v>
      </c>
      <c r="L26" s="287" t="s">
        <v>14</v>
      </c>
      <c r="M26" s="289">
        <v>5</v>
      </c>
      <c r="N26" s="289">
        <f t="shared" si="3"/>
        <v>2.9527399999999999</v>
      </c>
      <c r="O26" s="290" t="s">
        <v>36</v>
      </c>
      <c r="P26" s="291">
        <v>44185</v>
      </c>
      <c r="Q26" s="292">
        <f t="shared" ca="1" si="4"/>
        <v>1.252054794520548</v>
      </c>
      <c r="R26" s="293">
        <v>9750</v>
      </c>
      <c r="S26" s="293">
        <v>4750</v>
      </c>
      <c r="T26" s="293">
        <v>300</v>
      </c>
      <c r="U26" s="296"/>
    </row>
    <row r="27" spans="1:21" s="295" customFormat="1">
      <c r="A27" s="286">
        <v>9</v>
      </c>
      <c r="B27" s="286" t="s">
        <v>26</v>
      </c>
      <c r="C27" s="286" t="s">
        <v>33</v>
      </c>
      <c r="D27" s="287" t="s">
        <v>20</v>
      </c>
      <c r="E27" s="287" t="s">
        <v>19</v>
      </c>
      <c r="F27" s="286">
        <v>2008</v>
      </c>
      <c r="G27" s="286">
        <v>2023</v>
      </c>
      <c r="H27" s="288">
        <v>1700</v>
      </c>
      <c r="I27" s="288">
        <v>1200</v>
      </c>
      <c r="J27" s="288">
        <v>21292</v>
      </c>
      <c r="K27" s="288">
        <v>7636</v>
      </c>
      <c r="L27" s="287" t="s">
        <v>14</v>
      </c>
      <c r="M27" s="289">
        <v>8.5</v>
      </c>
      <c r="N27" s="289">
        <f t="shared" si="3"/>
        <v>3.5125600000000001</v>
      </c>
      <c r="O27" s="290" t="s">
        <v>36</v>
      </c>
      <c r="P27" s="291">
        <v>44256</v>
      </c>
      <c r="Q27" s="292">
        <f t="shared" ca="1" si="4"/>
        <v>1.4465753424657535</v>
      </c>
      <c r="R27" s="293">
        <v>9150</v>
      </c>
      <c r="S27" s="294">
        <v>4500</v>
      </c>
      <c r="T27" s="293">
        <v>350</v>
      </c>
    </row>
    <row r="28" spans="1:21" s="295" customFormat="1">
      <c r="A28" s="286">
        <v>11</v>
      </c>
      <c r="B28" s="286" t="s">
        <v>26</v>
      </c>
      <c r="C28" s="286" t="s">
        <v>34</v>
      </c>
      <c r="D28" s="287" t="s">
        <v>17</v>
      </c>
      <c r="E28" s="287" t="s">
        <v>18</v>
      </c>
      <c r="F28" s="286">
        <v>2003</v>
      </c>
      <c r="G28" s="286">
        <v>2023</v>
      </c>
      <c r="H28" s="288">
        <v>1300</v>
      </c>
      <c r="I28" s="288">
        <v>1000</v>
      </c>
      <c r="J28" s="288">
        <v>16439</v>
      </c>
      <c r="K28" s="288">
        <v>6023</v>
      </c>
      <c r="L28" s="287" t="s">
        <v>14</v>
      </c>
      <c r="M28" s="297">
        <v>4</v>
      </c>
      <c r="N28" s="289">
        <f t="shared" si="3"/>
        <v>2.7705799999999998</v>
      </c>
      <c r="O28" s="290" t="s">
        <v>36</v>
      </c>
      <c r="P28" s="291">
        <v>43814</v>
      </c>
      <c r="Q28" s="292">
        <f t="shared" ca="1" si="4"/>
        <v>0.23561643835616439</v>
      </c>
      <c r="R28" s="293">
        <v>8950</v>
      </c>
      <c r="S28" s="293">
        <v>4500</v>
      </c>
      <c r="T28" s="293">
        <v>300</v>
      </c>
    </row>
    <row r="29" spans="1:21" s="295" customFormat="1">
      <c r="A29" s="286">
        <v>12</v>
      </c>
      <c r="B29" s="286" t="s">
        <v>26</v>
      </c>
      <c r="C29" s="286" t="s">
        <v>34</v>
      </c>
      <c r="D29" s="287" t="s">
        <v>17</v>
      </c>
      <c r="E29" s="287" t="s">
        <v>18</v>
      </c>
      <c r="F29" s="286">
        <v>2003</v>
      </c>
      <c r="G29" s="286">
        <v>2018</v>
      </c>
      <c r="H29" s="288">
        <v>1300</v>
      </c>
      <c r="I29" s="288">
        <v>1000</v>
      </c>
      <c r="J29" s="288">
        <v>16439</v>
      </c>
      <c r="K29" s="288">
        <v>6023</v>
      </c>
      <c r="L29" s="287" t="s">
        <v>14</v>
      </c>
      <c r="M29" s="297">
        <v>4.5</v>
      </c>
      <c r="N29" s="289">
        <f t="shared" si="3"/>
        <v>2.7705799999999998</v>
      </c>
      <c r="O29" s="290" t="s">
        <v>36</v>
      </c>
      <c r="P29" s="291">
        <v>45092</v>
      </c>
      <c r="Q29" s="292">
        <f t="shared" ca="1" si="4"/>
        <v>3.7369863013698632</v>
      </c>
      <c r="R29" s="293">
        <v>9000</v>
      </c>
      <c r="S29" s="293">
        <v>4500</v>
      </c>
      <c r="T29" s="293">
        <v>300</v>
      </c>
    </row>
    <row r="30" spans="1:21" s="295" customFormat="1">
      <c r="A30" s="286">
        <v>15</v>
      </c>
      <c r="B30" s="286" t="s">
        <v>26</v>
      </c>
      <c r="C30" s="286" t="s">
        <v>31</v>
      </c>
      <c r="D30" s="287" t="s">
        <v>17</v>
      </c>
      <c r="E30" s="287" t="s">
        <v>16</v>
      </c>
      <c r="F30" s="286">
        <v>2007</v>
      </c>
      <c r="G30" s="286">
        <v>2022</v>
      </c>
      <c r="H30" s="288">
        <v>1700</v>
      </c>
      <c r="I30" s="288">
        <v>1300</v>
      </c>
      <c r="J30" s="288">
        <v>23716</v>
      </c>
      <c r="K30" s="288">
        <v>9056</v>
      </c>
      <c r="L30" s="287" t="s">
        <v>15</v>
      </c>
      <c r="M30" s="289">
        <v>6</v>
      </c>
      <c r="N30" s="289">
        <f t="shared" si="3"/>
        <v>4.1657599999999997</v>
      </c>
      <c r="O30" s="290" t="s">
        <v>37</v>
      </c>
      <c r="P30" s="291">
        <v>44104</v>
      </c>
      <c r="Q30" s="292">
        <f t="shared" ca="1" si="4"/>
        <v>1.0301369863013699</v>
      </c>
      <c r="R30" s="293">
        <v>9000</v>
      </c>
      <c r="S30" s="294">
        <v>4750</v>
      </c>
      <c r="T30" s="293">
        <v>300</v>
      </c>
    </row>
    <row r="31" spans="1:21" s="295" customFormat="1">
      <c r="A31" s="286">
        <v>22</v>
      </c>
      <c r="B31" s="286" t="s">
        <v>26</v>
      </c>
      <c r="C31" s="286" t="s">
        <v>34</v>
      </c>
      <c r="D31" s="287" t="s">
        <v>29</v>
      </c>
      <c r="E31" s="287" t="s">
        <v>18</v>
      </c>
      <c r="F31" s="286">
        <v>2008</v>
      </c>
      <c r="G31" s="286">
        <v>2023</v>
      </c>
      <c r="H31" s="298">
        <v>1900</v>
      </c>
      <c r="I31" s="288">
        <v>1400</v>
      </c>
      <c r="J31" s="288">
        <v>21000</v>
      </c>
      <c r="K31" s="288">
        <v>8800</v>
      </c>
      <c r="L31" s="287" t="s">
        <v>14</v>
      </c>
      <c r="M31" s="289">
        <v>9.5</v>
      </c>
      <c r="N31" s="289">
        <f t="shared" si="3"/>
        <v>4.048</v>
      </c>
      <c r="O31" s="290" t="s">
        <v>36</v>
      </c>
      <c r="P31" s="291">
        <v>44377</v>
      </c>
      <c r="Q31" s="292">
        <f t="shared" ca="1" si="4"/>
        <v>1.7780821917808218</v>
      </c>
      <c r="R31" s="293">
        <v>9500</v>
      </c>
      <c r="S31" s="294">
        <v>4850</v>
      </c>
      <c r="T31" s="293">
        <v>350</v>
      </c>
    </row>
    <row r="32" spans="1:21" s="295" customFormat="1">
      <c r="A32" s="286">
        <v>23</v>
      </c>
      <c r="B32" s="286" t="s">
        <v>26</v>
      </c>
      <c r="C32" s="286" t="s">
        <v>33</v>
      </c>
      <c r="D32" s="287" t="s">
        <v>20</v>
      </c>
      <c r="E32" s="287" t="s">
        <v>18</v>
      </c>
      <c r="F32" s="286">
        <v>2008</v>
      </c>
      <c r="G32" s="286">
        <v>2023</v>
      </c>
      <c r="H32" s="298">
        <v>1700</v>
      </c>
      <c r="I32" s="288">
        <v>1200</v>
      </c>
      <c r="J32" s="288">
        <v>21000</v>
      </c>
      <c r="K32" s="288">
        <v>7700</v>
      </c>
      <c r="L32" s="287" t="s">
        <v>14</v>
      </c>
      <c r="M32" s="289">
        <v>7.75</v>
      </c>
      <c r="N32" s="289">
        <f t="shared" si="3"/>
        <v>3.5419999999999998</v>
      </c>
      <c r="O32" s="290" t="s">
        <v>41</v>
      </c>
      <c r="P32" s="291">
        <v>44012</v>
      </c>
      <c r="Q32" s="292">
        <f t="shared" ca="1" si="4"/>
        <v>0.77808219178082194</v>
      </c>
      <c r="R32" s="293">
        <v>9000</v>
      </c>
      <c r="S32" s="294">
        <v>4600</v>
      </c>
      <c r="T32" s="293">
        <v>350</v>
      </c>
    </row>
    <row r="33" spans="1:20">
      <c r="A33" s="158"/>
      <c r="B33" s="158"/>
      <c r="C33" s="158"/>
      <c r="D33" s="158"/>
      <c r="E33" s="158"/>
      <c r="F33" s="158"/>
      <c r="G33" s="158"/>
      <c r="H33" s="25"/>
      <c r="I33" s="39"/>
      <c r="J33" s="39"/>
      <c r="K33" s="39"/>
      <c r="L33" s="15"/>
      <c r="M33" s="20"/>
      <c r="N33" s="20"/>
      <c r="O33" s="26"/>
      <c r="P33" s="21"/>
      <c r="Q33" s="20"/>
      <c r="R33" s="22"/>
      <c r="S33" s="23"/>
      <c r="T33" s="22"/>
    </row>
    <row r="34" spans="1:20">
      <c r="A34" s="158" t="s">
        <v>50</v>
      </c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24"/>
      <c r="O34" s="15"/>
      <c r="P34" s="158"/>
      <c r="Q34" s="158"/>
      <c r="R34" s="158"/>
      <c r="S34" s="158"/>
      <c r="T34" s="158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C56"/>
  <sheetViews>
    <sheetView topLeftCell="P1" workbookViewId="0">
      <selection activeCell="AB5" sqref="AB5:AC55"/>
    </sheetView>
  </sheetViews>
  <sheetFormatPr defaultRowHeight="14.4"/>
  <cols>
    <col min="2" max="2" width="12" bestFit="1" customWidth="1"/>
    <col min="3" max="3" width="10.33203125" bestFit="1" customWidth="1"/>
    <col min="4" max="4" width="11.33203125" bestFit="1" customWidth="1"/>
    <col min="5" max="5" width="9.33203125" customWidth="1"/>
    <col min="7" max="7" width="8.88671875" style="158"/>
    <col min="8" max="8" width="12" style="158" bestFit="1" customWidth="1"/>
    <col min="9" max="9" width="10.33203125" style="158" bestFit="1" customWidth="1"/>
    <col min="10" max="10" width="11.33203125" style="258" bestFit="1" customWidth="1"/>
    <col min="11" max="11" width="9.33203125" style="158" customWidth="1"/>
    <col min="13" max="13" width="8.88671875" style="158"/>
    <col min="14" max="14" width="12" style="158" bestFit="1" customWidth="1"/>
    <col min="15" max="15" width="10.33203125" style="158" bestFit="1" customWidth="1"/>
    <col min="16" max="16" width="11.33203125" style="258" bestFit="1" customWidth="1"/>
    <col min="17" max="18" width="9.33203125" style="158" customWidth="1"/>
    <col min="19" max="19" width="8.88671875" style="158"/>
    <col min="20" max="20" width="12" style="158" bestFit="1" customWidth="1"/>
    <col min="21" max="21" width="10.33203125" style="158" bestFit="1" customWidth="1"/>
    <col min="22" max="22" width="11.33203125" style="258" bestFit="1" customWidth="1"/>
    <col min="23" max="24" width="9.33203125" style="158" customWidth="1"/>
    <col min="25" max="25" width="8.88671875" style="158"/>
    <col min="26" max="26" width="12" style="158" bestFit="1" customWidth="1"/>
    <col min="27" max="27" width="10.33203125" style="158" bestFit="1" customWidth="1"/>
    <col min="28" max="28" width="11.33203125" style="258" bestFit="1" customWidth="1"/>
    <col min="29" max="29" width="9.33203125" style="158" customWidth="1"/>
  </cols>
  <sheetData>
    <row r="1" spans="1:29">
      <c r="A1" s="15" t="s">
        <v>382</v>
      </c>
      <c r="B1" s="158"/>
      <c r="C1" s="15" t="s">
        <v>287</v>
      </c>
      <c r="D1" s="15" t="s">
        <v>367</v>
      </c>
      <c r="E1" s="15"/>
      <c r="F1" s="158"/>
      <c r="G1" s="15" t="s">
        <v>383</v>
      </c>
      <c r="I1" s="15" t="s">
        <v>287</v>
      </c>
      <c r="J1" s="257" t="s">
        <v>367</v>
      </c>
      <c r="K1" s="15"/>
      <c r="M1" s="15" t="s">
        <v>44</v>
      </c>
      <c r="O1" s="15" t="s">
        <v>287</v>
      </c>
      <c r="P1" s="257" t="s">
        <v>367</v>
      </c>
      <c r="Q1" s="15"/>
      <c r="R1" s="15"/>
      <c r="S1" s="15" t="s">
        <v>44</v>
      </c>
      <c r="U1" s="15" t="s">
        <v>287</v>
      </c>
      <c r="V1" s="257" t="s">
        <v>367</v>
      </c>
      <c r="W1" s="15"/>
      <c r="X1" s="15"/>
      <c r="Y1" s="15" t="s">
        <v>383</v>
      </c>
      <c r="AA1" s="15" t="s">
        <v>287</v>
      </c>
      <c r="AB1" s="257" t="s">
        <v>367</v>
      </c>
      <c r="AC1" s="15"/>
    </row>
    <row r="2" spans="1:29">
      <c r="A2" s="15"/>
      <c r="B2" s="158"/>
      <c r="C2" s="15"/>
      <c r="D2" s="15"/>
      <c r="E2" s="15"/>
      <c r="F2" s="158"/>
      <c r="G2" s="15"/>
      <c r="I2" s="15"/>
      <c r="J2" s="257"/>
      <c r="K2" s="15"/>
      <c r="M2" s="15"/>
      <c r="O2" s="15"/>
      <c r="P2" s="257"/>
      <c r="Q2" s="15"/>
      <c r="R2" s="15"/>
      <c r="S2" s="15"/>
      <c r="U2" s="15"/>
      <c r="V2" s="257"/>
      <c r="W2" s="15"/>
      <c r="X2" s="15"/>
      <c r="Y2" s="15"/>
      <c r="AA2" s="15"/>
      <c r="AB2" s="257"/>
      <c r="AC2" s="15"/>
    </row>
    <row r="3" spans="1:29">
      <c r="A3" s="15"/>
      <c r="B3" s="158"/>
      <c r="C3" s="15" t="s">
        <v>368</v>
      </c>
      <c r="D3" s="15" t="s">
        <v>369</v>
      </c>
      <c r="E3" s="15" t="s">
        <v>332</v>
      </c>
      <c r="G3" s="15"/>
      <c r="I3" s="15" t="s">
        <v>368</v>
      </c>
      <c r="J3" s="257" t="s">
        <v>369</v>
      </c>
      <c r="K3" s="15" t="s">
        <v>332</v>
      </c>
      <c r="M3" s="15"/>
      <c r="O3" s="15" t="s">
        <v>368</v>
      </c>
      <c r="P3" s="257" t="s">
        <v>369</v>
      </c>
      <c r="Q3" s="15" t="s">
        <v>332</v>
      </c>
      <c r="R3" s="15"/>
      <c r="S3" s="15"/>
      <c r="U3" s="15" t="s">
        <v>368</v>
      </c>
      <c r="V3" s="257" t="s">
        <v>369</v>
      </c>
      <c r="W3" s="15" t="s">
        <v>332</v>
      </c>
      <c r="X3" s="15"/>
      <c r="Y3" s="15"/>
      <c r="AA3" s="15" t="s">
        <v>368</v>
      </c>
      <c r="AB3" s="257" t="s">
        <v>369</v>
      </c>
      <c r="AC3" s="15" t="s">
        <v>332</v>
      </c>
    </row>
    <row r="4" spans="1:29">
      <c r="A4" s="15" t="s">
        <v>371</v>
      </c>
      <c r="B4" s="256">
        <f>Inf_Lower</f>
        <v>-5.0000000000000001E-3</v>
      </c>
      <c r="C4" s="15" t="s">
        <v>372</v>
      </c>
      <c r="D4" s="15" t="s">
        <v>372</v>
      </c>
      <c r="E4" s="15" t="s">
        <v>373</v>
      </c>
      <c r="F4" s="158"/>
      <c r="G4" s="15" t="s">
        <v>371</v>
      </c>
      <c r="H4" s="256">
        <f>Opex_L</f>
        <v>0</v>
      </c>
      <c r="I4" s="15" t="s">
        <v>372</v>
      </c>
      <c r="J4" s="257" t="s">
        <v>372</v>
      </c>
      <c r="K4" s="15" t="s">
        <v>373</v>
      </c>
      <c r="M4" s="15" t="s">
        <v>371</v>
      </c>
      <c r="N4" s="259">
        <f>ScrapInf_L</f>
        <v>0.99</v>
      </c>
      <c r="O4" s="15" t="s">
        <v>372</v>
      </c>
      <c r="P4" s="257" t="s">
        <v>372</v>
      </c>
      <c r="Q4" s="15" t="s">
        <v>373</v>
      </c>
      <c r="R4" s="15"/>
      <c r="S4" s="15" t="s">
        <v>371</v>
      </c>
      <c r="T4" s="259">
        <f>Idle_L</f>
        <v>1</v>
      </c>
      <c r="U4" s="15" t="s">
        <v>372</v>
      </c>
      <c r="V4" s="257" t="s">
        <v>372</v>
      </c>
      <c r="W4" s="15" t="s">
        <v>373</v>
      </c>
      <c r="X4" s="15"/>
      <c r="Y4" s="15" t="s">
        <v>371</v>
      </c>
      <c r="Z4" s="256" t="e">
        <f>Survey_L</f>
        <v>#NAME?</v>
      </c>
      <c r="AA4" s="15" t="s">
        <v>372</v>
      </c>
      <c r="AB4" s="257" t="s">
        <v>372</v>
      </c>
      <c r="AC4" s="15" t="s">
        <v>373</v>
      </c>
    </row>
    <row r="5" spans="1:29">
      <c r="A5" s="15" t="s">
        <v>374</v>
      </c>
      <c r="B5" s="256">
        <f>Inf_Upper</f>
        <v>0.02</v>
      </c>
      <c r="C5" s="15">
        <v>0</v>
      </c>
      <c r="D5" s="15">
        <f>$B$4</f>
        <v>-5.0000000000000001E-3</v>
      </c>
      <c r="E5" s="253">
        <f>_xlfn.BETA.DIST(D5,$B$8,$B$9,FALSE,$B$4,$B$5)</f>
        <v>0</v>
      </c>
      <c r="F5" s="158"/>
      <c r="G5" s="15" t="s">
        <v>374</v>
      </c>
      <c r="H5" s="256">
        <f>Opex_U</f>
        <v>2.5000000000000001E-2</v>
      </c>
      <c r="I5" s="15">
        <v>0</v>
      </c>
      <c r="J5" s="257">
        <f>$H$4</f>
        <v>0</v>
      </c>
      <c r="K5" s="253">
        <f>_xlfn.BETA.DIST(J5,$H$8,$H$9,FALSE,$H$4,$H$5)</f>
        <v>0</v>
      </c>
      <c r="M5" s="15" t="s">
        <v>374</v>
      </c>
      <c r="N5" s="259">
        <f>ScrapInf_U</f>
        <v>1.0049999999999999</v>
      </c>
      <c r="O5" s="15">
        <v>0</v>
      </c>
      <c r="P5" s="257">
        <f>$N$4</f>
        <v>0.99</v>
      </c>
      <c r="Q5" s="253">
        <f>_xlfn.BETA.DIST(P5,$N$8,$N$9,FALSE,$N$4,$N$5)</f>
        <v>0</v>
      </c>
      <c r="R5" s="253"/>
      <c r="S5" s="15" t="s">
        <v>374</v>
      </c>
      <c r="T5" s="259">
        <f>Idle_U</f>
        <v>5</v>
      </c>
      <c r="U5" s="15">
        <v>0</v>
      </c>
      <c r="V5" s="257">
        <f>$T$4</f>
        <v>1</v>
      </c>
      <c r="W5" s="253">
        <f>_xlfn.BETA.DIST(V5,$T$8,$T$9,FALSE,$T$4,$T$5)</f>
        <v>0</v>
      </c>
      <c r="X5" s="253"/>
      <c r="Y5" s="15" t="s">
        <v>374</v>
      </c>
      <c r="Z5" s="256" t="e">
        <f>Survey_U</f>
        <v>#NAME?</v>
      </c>
      <c r="AA5" s="15">
        <v>0</v>
      </c>
      <c r="AB5" s="257" t="e">
        <f>$Z$4</f>
        <v>#NAME?</v>
      </c>
      <c r="AC5" s="253" t="e">
        <f>_xlfn.BETA.DIST(AB5,$Z$8,$Z$9,FALSE,$Z$4,$Z$5)</f>
        <v>#NAME?</v>
      </c>
    </row>
    <row r="6" spans="1:29">
      <c r="A6" s="15" t="s">
        <v>65</v>
      </c>
      <c r="B6" s="256">
        <f>'Input Assumptions'!$V$7</f>
        <v>0.01</v>
      </c>
      <c r="C6" s="15">
        <v>0.02</v>
      </c>
      <c r="D6" s="15">
        <f>D5+$B$11</f>
        <v>-4.5000000000000005E-3</v>
      </c>
      <c r="E6" s="253">
        <f t="shared" ref="E6:E54" si="0">_xlfn.BETA.DIST(D6,$B$8,$B$9,FALSE,$B$4,$B$5)</f>
        <v>0.45038339259533133</v>
      </c>
      <c r="F6" s="158"/>
      <c r="G6" s="15" t="s">
        <v>65</v>
      </c>
      <c r="H6" s="256">
        <f>'Input Assumptions'!$W$7</f>
        <v>0.01</v>
      </c>
      <c r="I6" s="15">
        <v>0.02</v>
      </c>
      <c r="J6" s="257">
        <f>J5+$H$11</f>
        <v>5.0000000000000001E-4</v>
      </c>
      <c r="K6" s="253">
        <f t="shared" ref="K6:K54" si="1">_xlfn.BETA.DIST(J6,$H$8,$H$9,FALSE,$H$4,$H$5)</f>
        <v>0.57665620131003226</v>
      </c>
      <c r="M6" s="15" t="s">
        <v>65</v>
      </c>
      <c r="N6" s="259">
        <f>'Input Assumptions'!Y7</f>
        <v>1.002</v>
      </c>
      <c r="O6" s="15">
        <v>0.02</v>
      </c>
      <c r="P6" s="257">
        <f>P5+$N$11</f>
        <v>0.99029999999999996</v>
      </c>
      <c r="Q6" s="253">
        <f t="shared" ref="Q6:Q54" si="2">_xlfn.BETA.DIST(P6,$N$8,$N$9,FALSE,$N$4,$N$5)</f>
        <v>7.1890754865567727E-25</v>
      </c>
      <c r="R6" s="253"/>
      <c r="S6" s="15" t="s">
        <v>65</v>
      </c>
      <c r="T6" s="259">
        <f>Idle_M</f>
        <v>2</v>
      </c>
      <c r="U6" s="15">
        <v>0.02</v>
      </c>
      <c r="V6" s="257">
        <f>V5+$T$11</f>
        <v>1.08</v>
      </c>
      <c r="W6" s="253">
        <f t="shared" ref="W6:W54" si="3">_xlfn.BETA.DIST(V6,$T$8,$T$9,FALSE,$T$4,$T$5)</f>
        <v>6.1865459361733897E-2</v>
      </c>
      <c r="X6" s="253"/>
      <c r="Y6" s="15" t="s">
        <v>65</v>
      </c>
      <c r="Z6" s="256" t="e">
        <f>'Input Assumptions'!#REF!</f>
        <v>#REF!</v>
      </c>
      <c r="AA6" s="15">
        <v>0.02</v>
      </c>
      <c r="AB6" s="257" t="e">
        <f>AB5+$Z$11</f>
        <v>#NAME?</v>
      </c>
      <c r="AC6" s="253" t="e">
        <f t="shared" ref="AC6:AC55" si="4">_xlfn.BETA.DIST(AB6,$Z$8,$Z$9,FALSE,$Z$4,$Z$5)</f>
        <v>#NAME?</v>
      </c>
    </row>
    <row r="7" spans="1:29">
      <c r="A7" s="15" t="s">
        <v>66</v>
      </c>
      <c r="B7" s="256">
        <f>'Input Assumptions'!$V$8</f>
        <v>3.5000000000000001E-3</v>
      </c>
      <c r="C7" s="15">
        <v>0.04</v>
      </c>
      <c r="D7" s="15">
        <f t="shared" ref="D7:D55" si="5">D6+$B$11</f>
        <v>-4.0000000000000001E-3</v>
      </c>
      <c r="E7" s="253">
        <f t="shared" si="0"/>
        <v>1.4058296785815043</v>
      </c>
      <c r="F7" s="158"/>
      <c r="G7" s="15" t="s">
        <v>66</v>
      </c>
      <c r="H7" s="256">
        <f>'Input Assumptions'!$W$8</f>
        <v>4.0000000000000001E-3</v>
      </c>
      <c r="I7" s="15">
        <v>0.04</v>
      </c>
      <c r="J7" s="257">
        <f t="shared" ref="J7:J55" si="6">J6+$H$11</f>
        <v>1E-3</v>
      </c>
      <c r="K7" s="253">
        <f t="shared" si="1"/>
        <v>2.7057907943357367</v>
      </c>
      <c r="M7" s="15" t="s">
        <v>66</v>
      </c>
      <c r="N7" s="259">
        <f>'Input Assumptions'!Y8</f>
        <v>0.1</v>
      </c>
      <c r="O7" s="15">
        <v>0.04</v>
      </c>
      <c r="P7" s="257">
        <f t="shared" ref="P7:P55" si="7">P6+$N$11</f>
        <v>0.99059999999999993</v>
      </c>
      <c r="Q7" s="253">
        <f t="shared" si="2"/>
        <v>2.1150360244246269E-19</v>
      </c>
      <c r="R7" s="253"/>
      <c r="S7" s="15" t="s">
        <v>66</v>
      </c>
      <c r="T7" s="259">
        <f>'Input Assumptions'!X8</f>
        <v>1</v>
      </c>
      <c r="U7" s="15">
        <v>0.04</v>
      </c>
      <c r="V7" s="257">
        <f t="shared" ref="V7:V55" si="8">V6+$T$11</f>
        <v>1.1600000000000001</v>
      </c>
      <c r="W7" s="253">
        <f t="shared" si="3"/>
        <v>0.17919592326172534</v>
      </c>
      <c r="X7" s="253"/>
      <c r="Y7" s="15" t="s">
        <v>66</v>
      </c>
      <c r="Z7" s="256" t="e">
        <f>'Input Assumptions'!#REF!</f>
        <v>#REF!</v>
      </c>
      <c r="AA7" s="15">
        <v>0.04</v>
      </c>
      <c r="AB7" s="257" t="e">
        <f t="shared" ref="AB7:AB55" si="9">AB6+$Z$11</f>
        <v>#NAME?</v>
      </c>
      <c r="AC7" s="253" t="e">
        <f t="shared" si="4"/>
        <v>#NAME?</v>
      </c>
    </row>
    <row r="8" spans="1:29">
      <c r="A8" s="15" t="s">
        <v>375</v>
      </c>
      <c r="B8" s="254">
        <f>(B13/B14^2-1)/(1+B13)</f>
        <v>2.6653061224489805</v>
      </c>
      <c r="C8" s="15">
        <v>0.06</v>
      </c>
      <c r="D8" s="15">
        <f t="shared" si="5"/>
        <v>-3.5000000000000001E-3</v>
      </c>
      <c r="E8" s="253">
        <f t="shared" si="0"/>
        <v>2.7169105193378504</v>
      </c>
      <c r="F8" s="158"/>
      <c r="G8" s="15" t="s">
        <v>375</v>
      </c>
      <c r="H8" s="254">
        <f>(H13/H14^2-1)/(1+H13)</f>
        <v>3.3499999999999992</v>
      </c>
      <c r="I8" s="15">
        <v>0.06</v>
      </c>
      <c r="J8" s="257">
        <f t="shared" si="6"/>
        <v>1.5E-3</v>
      </c>
      <c r="K8" s="253">
        <f t="shared" si="1"/>
        <v>6.4462414950448208</v>
      </c>
      <c r="M8" s="15" t="s">
        <v>375</v>
      </c>
      <c r="N8" s="254">
        <f>(N13/N14^2-1)/(1+N13)</f>
        <v>19.280079999999394</v>
      </c>
      <c r="O8" s="15">
        <v>0.06</v>
      </c>
      <c r="P8" s="257">
        <f t="shared" si="7"/>
        <v>0.99089999999999989</v>
      </c>
      <c r="Q8" s="253">
        <f t="shared" si="2"/>
        <v>3.2311132439313887E-16</v>
      </c>
      <c r="R8" s="253"/>
      <c r="S8" s="15" t="s">
        <v>375</v>
      </c>
      <c r="T8" s="254">
        <f>(T13/T14^2-1)/(1+T13)</f>
        <v>2.75</v>
      </c>
      <c r="U8" s="15">
        <v>0.06</v>
      </c>
      <c r="V8" s="257">
        <f t="shared" si="8"/>
        <v>1.2400000000000002</v>
      </c>
      <c r="W8" s="253">
        <f t="shared" si="3"/>
        <v>0.31275072676444204</v>
      </c>
      <c r="X8" s="253"/>
      <c r="Y8" s="15" t="s">
        <v>375</v>
      </c>
      <c r="Z8" s="254" t="e">
        <f>(Z13/Z14^2-1)/(1+Z13)</f>
        <v>#REF!</v>
      </c>
      <c r="AA8" s="15">
        <v>0.06</v>
      </c>
      <c r="AB8" s="257" t="e">
        <f t="shared" si="9"/>
        <v>#NAME?</v>
      </c>
      <c r="AC8" s="253" t="e">
        <f t="shared" si="4"/>
        <v>#NAME?</v>
      </c>
    </row>
    <row r="9" spans="1:29">
      <c r="A9" s="15" t="s">
        <v>332</v>
      </c>
      <c r="B9" s="254">
        <f>B13*B8</f>
        <v>1.7768707482993205</v>
      </c>
      <c r="C9" s="15">
        <v>0.08</v>
      </c>
      <c r="D9" s="15">
        <f t="shared" si="5"/>
        <v>-3.0000000000000001E-3</v>
      </c>
      <c r="E9" s="253">
        <f t="shared" si="0"/>
        <v>4.31400441382167</v>
      </c>
      <c r="F9" s="158"/>
      <c r="G9" s="15" t="s">
        <v>332</v>
      </c>
      <c r="H9" s="254">
        <f>H13*H8</f>
        <v>5.0249999999999986</v>
      </c>
      <c r="I9" s="15">
        <v>0.08</v>
      </c>
      <c r="J9" s="257">
        <f t="shared" si="6"/>
        <v>2E-3</v>
      </c>
      <c r="K9" s="253">
        <f t="shared" si="1"/>
        <v>11.623020312408832</v>
      </c>
      <c r="M9" s="15" t="s">
        <v>332</v>
      </c>
      <c r="N9" s="254">
        <f>N13*N8</f>
        <v>4.8200199999996691</v>
      </c>
      <c r="O9" s="15">
        <v>0.08</v>
      </c>
      <c r="P9" s="257">
        <f t="shared" si="7"/>
        <v>0.99119999999999986</v>
      </c>
      <c r="Q9" s="253">
        <f t="shared" si="2"/>
        <v>5.7222021029936833E-14</v>
      </c>
      <c r="R9" s="253"/>
      <c r="S9" s="15" t="s">
        <v>332</v>
      </c>
      <c r="T9" s="254">
        <f>T13*T8</f>
        <v>8.25</v>
      </c>
      <c r="U9" s="15">
        <v>0.08</v>
      </c>
      <c r="V9" s="257">
        <f t="shared" si="8"/>
        <v>1.3200000000000003</v>
      </c>
      <c r="W9" s="253">
        <f t="shared" si="3"/>
        <v>0.44271672212720919</v>
      </c>
      <c r="X9" s="253"/>
      <c r="Y9" s="15" t="s">
        <v>332</v>
      </c>
      <c r="Z9" s="254" t="e">
        <f>Z13*Z8</f>
        <v>#REF!</v>
      </c>
      <c r="AA9" s="15">
        <v>0.08</v>
      </c>
      <c r="AB9" s="257" t="e">
        <f t="shared" si="9"/>
        <v>#NAME?</v>
      </c>
      <c r="AC9" s="253" t="e">
        <f t="shared" si="4"/>
        <v>#NAME?</v>
      </c>
    </row>
    <row r="10" spans="1:29">
      <c r="A10" s="15" t="s">
        <v>376</v>
      </c>
      <c r="B10" s="15">
        <v>50</v>
      </c>
      <c r="C10" s="15">
        <v>0.1</v>
      </c>
      <c r="D10" s="15">
        <f t="shared" si="5"/>
        <v>-2.5000000000000001E-3</v>
      </c>
      <c r="E10" s="253">
        <f t="shared" si="0"/>
        <v>6.149643567191128</v>
      </c>
      <c r="F10" s="158"/>
      <c r="G10" s="15" t="s">
        <v>376</v>
      </c>
      <c r="H10" s="15">
        <v>50</v>
      </c>
      <c r="I10" s="15">
        <v>0.1</v>
      </c>
      <c r="J10" s="257">
        <f t="shared" si="6"/>
        <v>2.5000000000000001E-3</v>
      </c>
      <c r="K10" s="253">
        <f t="shared" si="1"/>
        <v>17.973705553670882</v>
      </c>
      <c r="M10" s="15" t="s">
        <v>376</v>
      </c>
      <c r="N10" s="15">
        <v>50</v>
      </c>
      <c r="O10" s="15">
        <v>0.1</v>
      </c>
      <c r="P10" s="257">
        <f t="shared" si="7"/>
        <v>0.99149999999999983</v>
      </c>
      <c r="Q10" s="253">
        <f t="shared" si="2"/>
        <v>3.1090140015522737E-12</v>
      </c>
      <c r="R10" s="253"/>
      <c r="S10" s="15" t="s">
        <v>376</v>
      </c>
      <c r="T10" s="15">
        <v>50</v>
      </c>
      <c r="U10" s="15">
        <v>0.1</v>
      </c>
      <c r="V10" s="257">
        <f t="shared" si="8"/>
        <v>1.4000000000000004</v>
      </c>
      <c r="W10" s="253">
        <f t="shared" si="3"/>
        <v>0.55784673330673562</v>
      </c>
      <c r="X10" s="253"/>
      <c r="Y10" s="15" t="s">
        <v>376</v>
      </c>
      <c r="Z10" s="15">
        <v>50</v>
      </c>
      <c r="AA10" s="15">
        <v>0.1</v>
      </c>
      <c r="AB10" s="257" t="e">
        <f t="shared" si="9"/>
        <v>#NAME?</v>
      </c>
      <c r="AC10" s="253" t="e">
        <f t="shared" si="4"/>
        <v>#NAME?</v>
      </c>
    </row>
    <row r="11" spans="1:29">
      <c r="A11" s="15" t="s">
        <v>377</v>
      </c>
      <c r="B11" s="253">
        <f>(B5-B4)/B10</f>
        <v>5.0000000000000001E-4</v>
      </c>
      <c r="C11" s="15">
        <v>0.12000000000000001</v>
      </c>
      <c r="D11" s="15">
        <f t="shared" si="5"/>
        <v>-2E-3</v>
      </c>
      <c r="E11" s="253">
        <f t="shared" si="0"/>
        <v>8.1870760873144217</v>
      </c>
      <c r="F11" s="158"/>
      <c r="G11" s="15" t="s">
        <v>377</v>
      </c>
      <c r="H11" s="253">
        <f>(H5-H4)/H10</f>
        <v>5.0000000000000001E-4</v>
      </c>
      <c r="I11" s="15">
        <v>0.12000000000000001</v>
      </c>
      <c r="J11" s="257">
        <f t="shared" si="6"/>
        <v>3.0000000000000001E-3</v>
      </c>
      <c r="K11" s="253">
        <f t="shared" si="1"/>
        <v>25.201721381428211</v>
      </c>
      <c r="M11" s="15" t="s">
        <v>377</v>
      </c>
      <c r="N11" s="253">
        <f>(N5-N4)/N10</f>
        <v>2.9999999999999802E-4</v>
      </c>
      <c r="O11" s="15">
        <v>0.12000000000000001</v>
      </c>
      <c r="P11" s="257">
        <f t="shared" si="7"/>
        <v>0.99179999999999979</v>
      </c>
      <c r="Q11" s="253">
        <f t="shared" si="2"/>
        <v>7.9942811254978655E-11</v>
      </c>
      <c r="R11" s="253"/>
      <c r="S11" s="15" t="s">
        <v>377</v>
      </c>
      <c r="T11" s="253">
        <f>(T5-T4)/T10</f>
        <v>0.08</v>
      </c>
      <c r="U11" s="15">
        <v>0.12000000000000001</v>
      </c>
      <c r="V11" s="257">
        <f t="shared" si="8"/>
        <v>1.4800000000000004</v>
      </c>
      <c r="W11" s="253">
        <f t="shared" si="3"/>
        <v>0.65211359526710255</v>
      </c>
      <c r="X11" s="253"/>
      <c r="Y11" s="15" t="s">
        <v>377</v>
      </c>
      <c r="Z11" s="253" t="e">
        <f>(Z5-Z4)/Z10</f>
        <v>#NAME?</v>
      </c>
      <c r="AA11" s="15">
        <v>0.12000000000000001</v>
      </c>
      <c r="AB11" s="257" t="e">
        <f t="shared" si="9"/>
        <v>#NAME?</v>
      </c>
      <c r="AC11" s="253" t="e">
        <f t="shared" si="4"/>
        <v>#NAME?</v>
      </c>
    </row>
    <row r="12" spans="1:29">
      <c r="A12" s="15" t="s">
        <v>378</v>
      </c>
      <c r="B12" s="253">
        <f>(B6-B4)/(B5-B4)</f>
        <v>0.6</v>
      </c>
      <c r="C12" s="15">
        <v>0.13999999999999999</v>
      </c>
      <c r="D12" s="15">
        <f t="shared" si="5"/>
        <v>-1.5E-3</v>
      </c>
      <c r="E12" s="253">
        <f t="shared" si="0"/>
        <v>10.395832562502058</v>
      </c>
      <c r="F12" s="158"/>
      <c r="G12" s="15" t="s">
        <v>378</v>
      </c>
      <c r="H12" s="253">
        <f>(H6-H4)/(H5-H4)</f>
        <v>0.39999999999999997</v>
      </c>
      <c r="I12" s="15">
        <v>0.13999999999999999</v>
      </c>
      <c r="J12" s="257">
        <f t="shared" si="6"/>
        <v>3.5000000000000001E-3</v>
      </c>
      <c r="K12" s="253">
        <f t="shared" si="1"/>
        <v>33.00415912814055</v>
      </c>
      <c r="M12" s="15" t="s">
        <v>378</v>
      </c>
      <c r="N12" s="253">
        <f>(N6-N4)/(N5-N4)</f>
        <v>0.80000000000000593</v>
      </c>
      <c r="O12" s="15">
        <v>0.13999999999999999</v>
      </c>
      <c r="P12" s="257">
        <f t="shared" si="7"/>
        <v>0.99209999999999976</v>
      </c>
      <c r="Q12" s="253">
        <f t="shared" si="2"/>
        <v>1.2258354121127688E-9</v>
      </c>
      <c r="R12" s="253"/>
      <c r="S12" s="15" t="s">
        <v>378</v>
      </c>
      <c r="T12" s="253">
        <f>(T6-T4)/(T5-T4)</f>
        <v>0.25</v>
      </c>
      <c r="U12" s="15">
        <v>0.13999999999999999</v>
      </c>
      <c r="V12" s="257">
        <f t="shared" si="8"/>
        <v>1.5600000000000005</v>
      </c>
      <c r="W12" s="253">
        <f t="shared" si="3"/>
        <v>0.72292714915177292</v>
      </c>
      <c r="X12" s="253"/>
      <c r="Y12" s="15" t="s">
        <v>378</v>
      </c>
      <c r="Z12" s="253" t="e">
        <f>(Z6-Z4)/(Z5-Z4)</f>
        <v>#REF!</v>
      </c>
      <c r="AA12" s="15">
        <v>0.13999999999999999</v>
      </c>
      <c r="AB12" s="257" t="e">
        <f t="shared" si="9"/>
        <v>#NAME?</v>
      </c>
      <c r="AC12" s="253" t="e">
        <f t="shared" si="4"/>
        <v>#NAME?</v>
      </c>
    </row>
    <row r="13" spans="1:29">
      <c r="A13" s="15" t="s">
        <v>379</v>
      </c>
      <c r="B13" s="253">
        <f>B12^-1-1</f>
        <v>0.66666666666666674</v>
      </c>
      <c r="C13" s="15">
        <v>0.16</v>
      </c>
      <c r="D13" s="15">
        <f t="shared" si="5"/>
        <v>-1E-3</v>
      </c>
      <c r="E13" s="253">
        <f t="shared" si="0"/>
        <v>12.749543936027754</v>
      </c>
      <c r="F13" s="158"/>
      <c r="G13" s="15" t="s">
        <v>379</v>
      </c>
      <c r="H13" s="253">
        <f>H12^-1-1</f>
        <v>1.5</v>
      </c>
      <c r="I13" s="15">
        <v>0.16</v>
      </c>
      <c r="J13" s="257">
        <f t="shared" si="6"/>
        <v>4.0000000000000001E-3</v>
      </c>
      <c r="K13" s="253">
        <f t="shared" si="1"/>
        <v>41.088246538396056</v>
      </c>
      <c r="M13" s="15" t="s">
        <v>379</v>
      </c>
      <c r="N13" s="253">
        <f>N12^-1-1</f>
        <v>0.24999999999999067</v>
      </c>
      <c r="O13" s="15">
        <v>0.16</v>
      </c>
      <c r="P13" s="257">
        <f t="shared" si="7"/>
        <v>0.99239999999999973</v>
      </c>
      <c r="Q13" s="253">
        <f t="shared" si="2"/>
        <v>1.2867440771793836E-8</v>
      </c>
      <c r="R13" s="253"/>
      <c r="S13" s="15" t="s">
        <v>379</v>
      </c>
      <c r="T13" s="253">
        <f>T12^-1-1</f>
        <v>3</v>
      </c>
      <c r="U13" s="15">
        <v>0.16</v>
      </c>
      <c r="V13" s="257">
        <f t="shared" si="8"/>
        <v>1.6400000000000006</v>
      </c>
      <c r="W13" s="253">
        <f t="shared" si="3"/>
        <v>0.77000136383351714</v>
      </c>
      <c r="X13" s="253"/>
      <c r="Y13" s="15" t="s">
        <v>379</v>
      </c>
      <c r="Z13" s="253" t="e">
        <f>Z12^-1-1</f>
        <v>#REF!</v>
      </c>
      <c r="AA13" s="15">
        <v>0.16</v>
      </c>
      <c r="AB13" s="257" t="e">
        <f t="shared" si="9"/>
        <v>#NAME?</v>
      </c>
      <c r="AC13" s="253" t="e">
        <f t="shared" si="4"/>
        <v>#NAME?</v>
      </c>
    </row>
    <row r="14" spans="1:29">
      <c r="A14" s="15" t="s">
        <v>380</v>
      </c>
      <c r="B14" s="15">
        <f>B7/B6</f>
        <v>0.35</v>
      </c>
      <c r="C14" s="15">
        <v>0.18</v>
      </c>
      <c r="D14" s="15">
        <f t="shared" si="5"/>
        <v>-5.0000000000000001E-4</v>
      </c>
      <c r="E14" s="253">
        <f t="shared" si="0"/>
        <v>15.224707912961284</v>
      </c>
      <c r="F14" s="158"/>
      <c r="G14" s="15" t="s">
        <v>380</v>
      </c>
      <c r="H14" s="15">
        <f>H7/H6</f>
        <v>0.4</v>
      </c>
      <c r="I14" s="15">
        <v>0.18</v>
      </c>
      <c r="J14" s="257">
        <f t="shared" si="6"/>
        <v>4.5000000000000005E-3</v>
      </c>
      <c r="K14" s="253">
        <f t="shared" si="1"/>
        <v>49.181601336767237</v>
      </c>
      <c r="M14" s="15" t="s">
        <v>380</v>
      </c>
      <c r="N14" s="15">
        <f>N7/N6</f>
        <v>9.9800399201596807E-2</v>
      </c>
      <c r="O14" s="15">
        <v>0.18</v>
      </c>
      <c r="P14" s="257">
        <f t="shared" si="7"/>
        <v>0.99269999999999969</v>
      </c>
      <c r="Q14" s="253">
        <f t="shared" si="2"/>
        <v>1.0106161042399335E-7</v>
      </c>
      <c r="R14" s="253"/>
      <c r="S14" s="15" t="s">
        <v>380</v>
      </c>
      <c r="T14" s="15">
        <f>T7/T6</f>
        <v>0.5</v>
      </c>
      <c r="U14" s="15">
        <v>0.18</v>
      </c>
      <c r="V14" s="257">
        <f t="shared" si="8"/>
        <v>1.7200000000000006</v>
      </c>
      <c r="W14" s="253">
        <f t="shared" si="3"/>
        <v>0.79457338621541151</v>
      </c>
      <c r="X14" s="253"/>
      <c r="Y14" s="15" t="s">
        <v>380</v>
      </c>
      <c r="Z14" s="15" t="e">
        <f>Z7/Z6</f>
        <v>#REF!</v>
      </c>
      <c r="AA14" s="15">
        <v>0.18</v>
      </c>
      <c r="AB14" s="257" t="e">
        <f t="shared" si="9"/>
        <v>#NAME?</v>
      </c>
      <c r="AC14" s="253" t="e">
        <f t="shared" si="4"/>
        <v>#NAME?</v>
      </c>
    </row>
    <row r="15" spans="1:29">
      <c r="A15" s="15" t="s">
        <v>381</v>
      </c>
      <c r="B15" s="253">
        <f ca="1">_xlfn.BETA.INV(RAND(),$B$8,$B$9,$B$4,$B$5)</f>
        <v>-3.0172008116089058E-3</v>
      </c>
      <c r="C15" s="15">
        <v>0.19999999999999998</v>
      </c>
      <c r="D15" s="15">
        <f t="shared" si="5"/>
        <v>0</v>
      </c>
      <c r="E15" s="253">
        <f t="shared" si="0"/>
        <v>17.799923723317541</v>
      </c>
      <c r="F15" s="158"/>
      <c r="G15" s="15" t="s">
        <v>381</v>
      </c>
      <c r="H15" s="253">
        <f ca="1">_xlfn.BETA.INV(RAND(),$H$8,$H$9,$H$4,$H$5)</f>
        <v>9.8517013328806649E-3</v>
      </c>
      <c r="I15" s="15">
        <v>0.19999999999999998</v>
      </c>
      <c r="J15" s="257">
        <f t="shared" si="6"/>
        <v>5.000000000000001E-3</v>
      </c>
      <c r="K15" s="253">
        <f t="shared" si="1"/>
        <v>57.038646285909493</v>
      </c>
      <c r="M15" s="15" t="s">
        <v>381</v>
      </c>
      <c r="N15" s="253">
        <f ca="1">_xlfn.BETA.INV(RAND(),$N$8,$N$9,$N$4,$N$5)</f>
        <v>1.0035753574825486</v>
      </c>
      <c r="O15" s="15">
        <v>0.19999999999999998</v>
      </c>
      <c r="P15" s="257">
        <f t="shared" si="7"/>
        <v>0.99299999999999966</v>
      </c>
      <c r="Q15" s="253">
        <f t="shared" si="2"/>
        <v>6.310611176064439E-7</v>
      </c>
      <c r="R15" s="253"/>
      <c r="S15" s="15" t="s">
        <v>381</v>
      </c>
      <c r="T15" s="253">
        <f ca="1">_xlfn.BETA.INV(RAND(),$T$8,$T$9,$T$4,$T$5)</f>
        <v>2.6350083980320869</v>
      </c>
      <c r="U15" s="15">
        <v>0.19999999999999998</v>
      </c>
      <c r="V15" s="257">
        <f t="shared" si="8"/>
        <v>1.8000000000000007</v>
      </c>
      <c r="W15" s="253">
        <f t="shared" si="3"/>
        <v>0.79884330339347853</v>
      </c>
      <c r="X15" s="253"/>
      <c r="Y15" s="15" t="s">
        <v>381</v>
      </c>
      <c r="Z15" s="253" t="e">
        <f ca="1">_xlfn.BETA.INV(RAND(),$Z$8,$Z$9,$Z$4,$Z$5)</f>
        <v>#REF!</v>
      </c>
      <c r="AA15" s="15">
        <v>0.19999999999999998</v>
      </c>
      <c r="AB15" s="257" t="e">
        <f t="shared" si="9"/>
        <v>#NAME?</v>
      </c>
      <c r="AC15" s="253" t="e">
        <f t="shared" si="4"/>
        <v>#NAME?</v>
      </c>
    </row>
    <row r="16" spans="1:29">
      <c r="A16" s="15" t="s">
        <v>370</v>
      </c>
      <c r="B16" s="255">
        <f>SUM(E6:E55)*D6</f>
        <v>-8.9915217056773145</v>
      </c>
      <c r="C16" s="15">
        <v>0.22</v>
      </c>
      <c r="D16" s="15">
        <f t="shared" si="5"/>
        <v>5.0000000000000001E-4</v>
      </c>
      <c r="E16" s="253">
        <f t="shared" si="0"/>
        <v>20.455384194049373</v>
      </c>
      <c r="F16" s="158"/>
      <c r="G16" s="15" t="s">
        <v>370</v>
      </c>
      <c r="H16" s="255">
        <f>SUM(K6:K55)*J6</f>
        <v>1.0000020945524739</v>
      </c>
      <c r="I16" s="15">
        <v>0.22</v>
      </c>
      <c r="J16" s="257">
        <f t="shared" si="6"/>
        <v>5.5000000000000014E-3</v>
      </c>
      <c r="K16" s="253">
        <f t="shared" si="1"/>
        <v>64.44446134874606</v>
      </c>
      <c r="M16" s="15" t="s">
        <v>370</v>
      </c>
      <c r="N16" s="255">
        <f>SUM(Q6:Q55)*P6</f>
        <v>3301.008123230215</v>
      </c>
      <c r="O16" s="15">
        <v>0.22</v>
      </c>
      <c r="P16" s="257">
        <f t="shared" si="7"/>
        <v>0.99329999999999963</v>
      </c>
      <c r="Q16" s="253">
        <f t="shared" si="2"/>
        <v>3.2713757529242411E-6</v>
      </c>
      <c r="R16" s="253"/>
      <c r="S16" s="15" t="s">
        <v>370</v>
      </c>
      <c r="T16" s="255">
        <f>SUM(W6:W55)*V6</f>
        <v>13.499133087431257</v>
      </c>
      <c r="U16" s="15">
        <v>0.22</v>
      </c>
      <c r="V16" s="257">
        <f t="shared" si="8"/>
        <v>1.8800000000000008</v>
      </c>
      <c r="W16" s="253">
        <f t="shared" si="3"/>
        <v>0.78556524610852696</v>
      </c>
      <c r="X16" s="253"/>
      <c r="Y16" s="15" t="s">
        <v>370</v>
      </c>
      <c r="Z16" s="255" t="e">
        <f>SUM(AC6:AC55)*AB6</f>
        <v>#NAME?</v>
      </c>
      <c r="AA16" s="15">
        <v>0.22</v>
      </c>
      <c r="AB16" s="257" t="e">
        <f t="shared" si="9"/>
        <v>#NAME?</v>
      </c>
      <c r="AC16" s="253" t="e">
        <f t="shared" si="4"/>
        <v>#NAME?</v>
      </c>
    </row>
    <row r="17" spans="1:29">
      <c r="A17" s="15"/>
      <c r="B17" s="158"/>
      <c r="C17" s="15">
        <v>0.24</v>
      </c>
      <c r="D17" s="15">
        <f t="shared" si="5"/>
        <v>1E-3</v>
      </c>
      <c r="E17" s="253">
        <f t="shared" si="0"/>
        <v>23.172520533252559</v>
      </c>
      <c r="F17" s="158"/>
      <c r="G17" s="15"/>
      <c r="I17" s="15">
        <v>0.24</v>
      </c>
      <c r="J17" s="257">
        <f t="shared" si="6"/>
        <v>6.0000000000000019E-3</v>
      </c>
      <c r="K17" s="253">
        <f t="shared" si="1"/>
        <v>71.216831764391415</v>
      </c>
      <c r="M17" s="15"/>
      <c r="O17" s="15">
        <v>0.24</v>
      </c>
      <c r="P17" s="257">
        <f t="shared" si="7"/>
        <v>0.99359999999999959</v>
      </c>
      <c r="Q17" s="253">
        <f t="shared" si="2"/>
        <v>1.453498745164546E-5</v>
      </c>
      <c r="R17" s="253"/>
      <c r="S17" s="15"/>
      <c r="U17" s="15">
        <v>0.24</v>
      </c>
      <c r="V17" s="257">
        <f t="shared" si="8"/>
        <v>1.9600000000000009</v>
      </c>
      <c r="W17" s="253">
        <f t="shared" si="3"/>
        <v>0.75774820775042961</v>
      </c>
      <c r="X17" s="253"/>
      <c r="Y17" s="15"/>
      <c r="AA17" s="15">
        <v>0.24</v>
      </c>
      <c r="AB17" s="257" t="e">
        <f t="shared" si="9"/>
        <v>#NAME?</v>
      </c>
      <c r="AC17" s="253" t="e">
        <f t="shared" si="4"/>
        <v>#NAME?</v>
      </c>
    </row>
    <row r="18" spans="1:29">
      <c r="A18" s="15"/>
      <c r="B18" s="158"/>
      <c r="C18" s="15">
        <v>0.26</v>
      </c>
      <c r="D18" s="15">
        <f t="shared" si="5"/>
        <v>1.5E-3</v>
      </c>
      <c r="E18" s="253">
        <f t="shared" si="0"/>
        <v>25.933743198256671</v>
      </c>
      <c r="F18" s="158"/>
      <c r="G18" s="15"/>
      <c r="I18" s="15">
        <v>0.26</v>
      </c>
      <c r="J18" s="257">
        <f t="shared" si="6"/>
        <v>6.5000000000000023E-3</v>
      </c>
      <c r="K18" s="253">
        <f t="shared" si="1"/>
        <v>77.206979439523622</v>
      </c>
      <c r="M18" s="15"/>
      <c r="O18" s="15">
        <v>0.26</v>
      </c>
      <c r="P18" s="257">
        <f t="shared" si="7"/>
        <v>0.99389999999999956</v>
      </c>
      <c r="Q18" s="253">
        <f t="shared" si="2"/>
        <v>5.6705575155683239E-5</v>
      </c>
      <c r="R18" s="253"/>
      <c r="S18" s="15"/>
      <c r="U18" s="15">
        <v>0.26</v>
      </c>
      <c r="V18" s="257">
        <f t="shared" si="8"/>
        <v>2.0400000000000009</v>
      </c>
      <c r="W18" s="253">
        <f t="shared" si="3"/>
        <v>0.71843921192020554</v>
      </c>
      <c r="X18" s="253"/>
      <c r="Y18" s="15"/>
      <c r="AA18" s="15">
        <v>0.26</v>
      </c>
      <c r="AB18" s="257" t="e">
        <f t="shared" si="9"/>
        <v>#NAME?</v>
      </c>
      <c r="AC18" s="253" t="e">
        <f t="shared" si="4"/>
        <v>#NAME?</v>
      </c>
    </row>
    <row r="19" spans="1:29">
      <c r="A19" s="15"/>
      <c r="B19" s="158"/>
      <c r="C19" s="15">
        <v>0.28000000000000003</v>
      </c>
      <c r="D19" s="15">
        <f t="shared" si="5"/>
        <v>2E-3</v>
      </c>
      <c r="E19" s="253">
        <f t="shared" si="0"/>
        <v>28.722246018846633</v>
      </c>
      <c r="F19" s="158"/>
      <c r="G19" s="15"/>
      <c r="I19" s="15">
        <v>0.28000000000000003</v>
      </c>
      <c r="J19" s="257">
        <f t="shared" si="6"/>
        <v>7.0000000000000027E-3</v>
      </c>
      <c r="K19" s="253">
        <f t="shared" si="1"/>
        <v>82.299309996648901</v>
      </c>
      <c r="M19" s="15"/>
      <c r="O19" s="15">
        <v>0.28000000000000003</v>
      </c>
      <c r="P19" s="257">
        <f t="shared" si="7"/>
        <v>0.99419999999999953</v>
      </c>
      <c r="Q19" s="253">
        <f t="shared" si="2"/>
        <v>1.9792883826469206E-4</v>
      </c>
      <c r="R19" s="253"/>
      <c r="S19" s="15"/>
      <c r="U19" s="15">
        <v>0.28000000000000003</v>
      </c>
      <c r="V19" s="257">
        <f t="shared" si="8"/>
        <v>2.120000000000001</v>
      </c>
      <c r="W19" s="253">
        <f t="shared" si="3"/>
        <v>0.67056959043186692</v>
      </c>
      <c r="X19" s="253"/>
      <c r="Y19" s="15"/>
      <c r="AA19" s="15">
        <v>0.28000000000000003</v>
      </c>
      <c r="AB19" s="257" t="e">
        <f t="shared" si="9"/>
        <v>#NAME?</v>
      </c>
      <c r="AC19" s="253" t="e">
        <f t="shared" si="4"/>
        <v>#NAME?</v>
      </c>
    </row>
    <row r="20" spans="1:29">
      <c r="A20" s="15"/>
      <c r="B20" s="158"/>
      <c r="C20" s="15">
        <v>0.30000000000000004</v>
      </c>
      <c r="D20" s="15">
        <f t="shared" si="5"/>
        <v>2.5000000000000001E-3</v>
      </c>
      <c r="E20" s="253">
        <f t="shared" si="0"/>
        <v>31.521853466885478</v>
      </c>
      <c r="F20" s="158"/>
      <c r="G20" s="15"/>
      <c r="I20" s="15">
        <v>0.30000000000000004</v>
      </c>
      <c r="J20" s="257">
        <f t="shared" si="6"/>
        <v>7.5000000000000032E-3</v>
      </c>
      <c r="K20" s="253">
        <f t="shared" si="1"/>
        <v>86.41041321327252</v>
      </c>
      <c r="M20" s="15"/>
      <c r="O20" s="15">
        <v>0.30000000000000004</v>
      </c>
      <c r="P20" s="257">
        <f t="shared" si="7"/>
        <v>0.9944999999999995</v>
      </c>
      <c r="Q20" s="253">
        <f t="shared" si="2"/>
        <v>6.2734050297498501E-4</v>
      </c>
      <c r="R20" s="253"/>
      <c r="S20" s="15"/>
      <c r="U20" s="15">
        <v>0.30000000000000004</v>
      </c>
      <c r="V20" s="257">
        <f t="shared" si="8"/>
        <v>2.2000000000000011</v>
      </c>
      <c r="W20" s="253">
        <f t="shared" si="3"/>
        <v>0.61685016702698259</v>
      </c>
      <c r="X20" s="253"/>
      <c r="Y20" s="15"/>
      <c r="AA20" s="15">
        <v>0.30000000000000004</v>
      </c>
      <c r="AB20" s="257" t="e">
        <f t="shared" si="9"/>
        <v>#NAME?</v>
      </c>
      <c r="AC20" s="253" t="e">
        <f t="shared" si="4"/>
        <v>#NAME?</v>
      </c>
    </row>
    <row r="21" spans="1:29">
      <c r="A21" s="15"/>
      <c r="B21" s="158"/>
      <c r="C21" s="15">
        <v>0.32</v>
      </c>
      <c r="D21" s="15">
        <f t="shared" si="5"/>
        <v>3.0000000000000001E-3</v>
      </c>
      <c r="E21" s="253">
        <f t="shared" si="0"/>
        <v>34.31689817662771</v>
      </c>
      <c r="F21" s="158"/>
      <c r="G21" s="15"/>
      <c r="I21" s="15">
        <v>0.32</v>
      </c>
      <c r="J21" s="257">
        <f t="shared" si="6"/>
        <v>8.0000000000000036E-3</v>
      </c>
      <c r="K21" s="253">
        <f t="shared" si="1"/>
        <v>89.487493725635517</v>
      </c>
      <c r="M21" s="15"/>
      <c r="O21" s="15">
        <v>0.32</v>
      </c>
      <c r="P21" s="257">
        <f t="shared" si="7"/>
        <v>0.99479999999999946</v>
      </c>
      <c r="Q21" s="253">
        <f t="shared" si="2"/>
        <v>1.827174053175727E-3</v>
      </c>
      <c r="R21" s="253"/>
      <c r="S21" s="15"/>
      <c r="U21" s="15">
        <v>0.32</v>
      </c>
      <c r="V21" s="257">
        <f t="shared" si="8"/>
        <v>2.2800000000000011</v>
      </c>
      <c r="W21" s="253">
        <f t="shared" si="3"/>
        <v>0.55970447596894246</v>
      </c>
      <c r="X21" s="253"/>
      <c r="Y21" s="15"/>
      <c r="AA21" s="15">
        <v>0.32</v>
      </c>
      <c r="AB21" s="257" t="e">
        <f t="shared" si="9"/>
        <v>#NAME?</v>
      </c>
      <c r="AC21" s="253" t="e">
        <f t="shared" si="4"/>
        <v>#NAME?</v>
      </c>
    </row>
    <row r="22" spans="1:29">
      <c r="A22" s="15"/>
      <c r="B22" s="158"/>
      <c r="C22" s="15">
        <v>0.34</v>
      </c>
      <c r="D22" s="15">
        <f t="shared" si="5"/>
        <v>3.5000000000000001E-3</v>
      </c>
      <c r="E22" s="253">
        <f t="shared" si="0"/>
        <v>37.09212011111719</v>
      </c>
      <c r="F22" s="158"/>
      <c r="G22" s="15"/>
      <c r="I22" s="15">
        <v>0.34</v>
      </c>
      <c r="J22" s="257">
        <f t="shared" si="6"/>
        <v>8.5000000000000041E-3</v>
      </c>
      <c r="K22" s="253">
        <f t="shared" si="1"/>
        <v>91.506367973536811</v>
      </c>
      <c r="M22" s="15"/>
      <c r="O22" s="15">
        <v>0.34</v>
      </c>
      <c r="P22" s="257">
        <f t="shared" si="7"/>
        <v>0.99509999999999943</v>
      </c>
      <c r="Q22" s="253">
        <f t="shared" si="2"/>
        <v>4.9379712096630189E-3</v>
      </c>
      <c r="R22" s="253"/>
      <c r="S22" s="15"/>
      <c r="U22" s="15">
        <v>0.34</v>
      </c>
      <c r="V22" s="257">
        <f t="shared" si="8"/>
        <v>2.3600000000000012</v>
      </c>
      <c r="W22" s="253">
        <f t="shared" si="3"/>
        <v>0.50123147899125642</v>
      </c>
      <c r="X22" s="253"/>
      <c r="Y22" s="15"/>
      <c r="AA22" s="15">
        <v>0.34</v>
      </c>
      <c r="AB22" s="257" t="e">
        <f t="shared" si="9"/>
        <v>#NAME?</v>
      </c>
      <c r="AC22" s="253" t="e">
        <f t="shared" si="4"/>
        <v>#NAME?</v>
      </c>
    </row>
    <row r="23" spans="1:29">
      <c r="A23" s="15"/>
      <c r="B23" s="158"/>
      <c r="C23" s="15">
        <v>0.36000000000000004</v>
      </c>
      <c r="D23" s="15">
        <f t="shared" si="5"/>
        <v>4.0000000000000001E-3</v>
      </c>
      <c r="E23" s="253">
        <f t="shared" si="0"/>
        <v>39.832581424372414</v>
      </c>
      <c r="F23" s="158"/>
      <c r="G23" s="15"/>
      <c r="I23" s="15">
        <v>0.36000000000000004</v>
      </c>
      <c r="J23" s="257">
        <f t="shared" si="6"/>
        <v>9.0000000000000045E-3</v>
      </c>
      <c r="K23" s="253">
        <f t="shared" si="1"/>
        <v>92.469134854697643</v>
      </c>
      <c r="M23" s="15"/>
      <c r="O23" s="15">
        <v>0.36000000000000004</v>
      </c>
      <c r="P23" s="257">
        <f t="shared" si="7"/>
        <v>0.9953999999999994</v>
      </c>
      <c r="Q23" s="253">
        <f t="shared" si="2"/>
        <v>1.2481737633082393E-2</v>
      </c>
      <c r="R23" s="253"/>
      <c r="S23" s="15"/>
      <c r="U23" s="15">
        <v>0.36000000000000004</v>
      </c>
      <c r="V23" s="257">
        <f t="shared" si="8"/>
        <v>2.4400000000000013</v>
      </c>
      <c r="W23" s="253">
        <f t="shared" si="3"/>
        <v>0.44319095515483892</v>
      </c>
      <c r="X23" s="253"/>
      <c r="Y23" s="15"/>
      <c r="AA23" s="15">
        <v>0.36000000000000004</v>
      </c>
      <c r="AB23" s="257" t="e">
        <f t="shared" si="9"/>
        <v>#NAME?</v>
      </c>
      <c r="AC23" s="253" t="e">
        <f t="shared" si="4"/>
        <v>#NAME?</v>
      </c>
    </row>
    <row r="24" spans="1:29">
      <c r="A24" s="15"/>
      <c r="B24" s="158"/>
      <c r="C24" s="15">
        <v>0.38</v>
      </c>
      <c r="D24" s="15">
        <f t="shared" si="5"/>
        <v>4.5000000000000005E-3</v>
      </c>
      <c r="E24" s="253">
        <f t="shared" si="0"/>
        <v>42.523592762842455</v>
      </c>
      <c r="F24" s="158"/>
      <c r="G24" s="15"/>
      <c r="I24" s="15">
        <v>0.38</v>
      </c>
      <c r="J24" s="257">
        <f t="shared" si="6"/>
        <v>9.500000000000005E-3</v>
      </c>
      <c r="K24" s="253">
        <f t="shared" si="1"/>
        <v>92.401607054230055</v>
      </c>
      <c r="M24" s="15"/>
      <c r="O24" s="15">
        <v>0.38</v>
      </c>
      <c r="P24" s="257">
        <f t="shared" si="7"/>
        <v>0.99569999999999936</v>
      </c>
      <c r="Q24" s="253">
        <f t="shared" si="2"/>
        <v>2.9705703200655915E-2</v>
      </c>
      <c r="R24" s="253"/>
      <c r="S24" s="15"/>
      <c r="U24" s="15">
        <v>0.38</v>
      </c>
      <c r="V24" s="257">
        <f t="shared" si="8"/>
        <v>2.5200000000000014</v>
      </c>
      <c r="W24" s="253">
        <f t="shared" si="3"/>
        <v>0.38700604057270455</v>
      </c>
      <c r="X24" s="253"/>
      <c r="Y24" s="15"/>
      <c r="AA24" s="15">
        <v>0.38</v>
      </c>
      <c r="AB24" s="257" t="e">
        <f t="shared" si="9"/>
        <v>#NAME?</v>
      </c>
      <c r="AC24" s="253" t="e">
        <f t="shared" si="4"/>
        <v>#NAME?</v>
      </c>
    </row>
    <row r="25" spans="1:29">
      <c r="A25" s="15"/>
      <c r="B25" s="158"/>
      <c r="C25" s="15">
        <v>0.4</v>
      </c>
      <c r="D25" s="15">
        <f t="shared" si="5"/>
        <v>5.000000000000001E-3</v>
      </c>
      <c r="E25" s="253">
        <f t="shared" si="0"/>
        <v>45.150647855938658</v>
      </c>
      <c r="F25" s="158"/>
      <c r="G25" s="15"/>
      <c r="I25" s="15">
        <v>0.4</v>
      </c>
      <c r="J25" s="257">
        <f t="shared" si="6"/>
        <v>1.0000000000000005E-2</v>
      </c>
      <c r="K25" s="253">
        <f t="shared" si="1"/>
        <v>91.350574865749223</v>
      </c>
      <c r="M25" s="15"/>
      <c r="O25" s="15">
        <v>0.4</v>
      </c>
      <c r="P25" s="257">
        <f t="shared" si="7"/>
        <v>0.99599999999999933</v>
      </c>
      <c r="Q25" s="253">
        <f t="shared" si="2"/>
        <v>6.6935321354487237E-2</v>
      </c>
      <c r="R25" s="253"/>
      <c r="S25" s="15"/>
      <c r="U25" s="15">
        <v>0.4</v>
      </c>
      <c r="V25" s="257">
        <f t="shared" si="8"/>
        <v>2.6000000000000014</v>
      </c>
      <c r="W25" s="253">
        <f t="shared" si="3"/>
        <v>0.3337784172254144</v>
      </c>
      <c r="X25" s="253"/>
      <c r="Y25" s="15"/>
      <c r="AA25" s="15">
        <v>0.4</v>
      </c>
      <c r="AB25" s="257" t="e">
        <f t="shared" si="9"/>
        <v>#NAME?</v>
      </c>
      <c r="AC25" s="253" t="e">
        <f t="shared" si="4"/>
        <v>#NAME?</v>
      </c>
    </row>
    <row r="26" spans="1:29">
      <c r="A26" s="15"/>
      <c r="B26" s="158"/>
      <c r="C26" s="15">
        <v>0.42000000000000004</v>
      </c>
      <c r="D26" s="15">
        <f t="shared" si="5"/>
        <v>5.5000000000000014E-3</v>
      </c>
      <c r="E26" s="253">
        <f t="shared" si="0"/>
        <v>47.699363978276224</v>
      </c>
      <c r="F26" s="158"/>
      <c r="G26" s="15"/>
      <c r="I26" s="15">
        <v>0.42000000000000004</v>
      </c>
      <c r="J26" s="257">
        <f t="shared" si="6"/>
        <v>1.0500000000000006E-2</v>
      </c>
      <c r="K26" s="253">
        <f t="shared" si="1"/>
        <v>89.380962860588809</v>
      </c>
      <c r="M26" s="15"/>
      <c r="O26" s="15">
        <v>0.42000000000000004</v>
      </c>
      <c r="P26" s="257">
        <f t="shared" si="7"/>
        <v>0.9962999999999993</v>
      </c>
      <c r="Q26" s="253">
        <f t="shared" si="2"/>
        <v>0.14346775398146908</v>
      </c>
      <c r="R26" s="253"/>
      <c r="S26" s="15"/>
      <c r="U26" s="15">
        <v>0.42000000000000004</v>
      </c>
      <c r="V26" s="257">
        <f t="shared" si="8"/>
        <v>2.6800000000000015</v>
      </c>
      <c r="W26" s="253">
        <f t="shared" si="3"/>
        <v>0.28431247260708575</v>
      </c>
      <c r="X26" s="253"/>
      <c r="Y26" s="15"/>
      <c r="AA26" s="15">
        <v>0.42000000000000004</v>
      </c>
      <c r="AB26" s="257" t="e">
        <f t="shared" si="9"/>
        <v>#NAME?</v>
      </c>
      <c r="AC26" s="253" t="e">
        <f t="shared" si="4"/>
        <v>#NAME?</v>
      </c>
    </row>
    <row r="27" spans="1:29">
      <c r="A27" s="15"/>
      <c r="B27" s="158"/>
      <c r="C27" s="15">
        <v>0.44</v>
      </c>
      <c r="D27" s="15">
        <f t="shared" si="5"/>
        <v>6.0000000000000019E-3</v>
      </c>
      <c r="E27" s="253">
        <f t="shared" si="0"/>
        <v>50.155426352103987</v>
      </c>
      <c r="F27" s="158"/>
      <c r="G27" s="15"/>
      <c r="I27" s="15">
        <v>0.44</v>
      </c>
      <c r="J27" s="257">
        <f t="shared" si="6"/>
        <v>1.1000000000000006E-2</v>
      </c>
      <c r="K27" s="253">
        <f t="shared" si="1"/>
        <v>86.572930910197243</v>
      </c>
      <c r="M27" s="15"/>
      <c r="O27" s="15">
        <v>0.44</v>
      </c>
      <c r="P27" s="257">
        <f t="shared" si="7"/>
        <v>0.99659999999999926</v>
      </c>
      <c r="Q27" s="253">
        <f t="shared" si="2"/>
        <v>0.29366814253668311</v>
      </c>
      <c r="R27" s="253"/>
      <c r="S27" s="15"/>
      <c r="U27" s="15">
        <v>0.44</v>
      </c>
      <c r="V27" s="257">
        <f t="shared" si="8"/>
        <v>2.7600000000000016</v>
      </c>
      <c r="W27" s="253">
        <f t="shared" si="3"/>
        <v>0.23914542691826299</v>
      </c>
      <c r="X27" s="253"/>
      <c r="Y27" s="15"/>
      <c r="AA27" s="15">
        <v>0.44</v>
      </c>
      <c r="AB27" s="257" t="e">
        <f t="shared" si="9"/>
        <v>#NAME?</v>
      </c>
      <c r="AC27" s="253" t="e">
        <f t="shared" si="4"/>
        <v>#NAME?</v>
      </c>
    </row>
    <row r="28" spans="1:29">
      <c r="A28" s="15"/>
      <c r="B28" s="158"/>
      <c r="C28" s="15">
        <v>0.46</v>
      </c>
      <c r="D28" s="15">
        <f t="shared" si="5"/>
        <v>6.5000000000000023E-3</v>
      </c>
      <c r="E28" s="253">
        <f t="shared" si="0"/>
        <v>52.504534873562058</v>
      </c>
      <c r="F28" s="158"/>
      <c r="G28" s="15"/>
      <c r="I28" s="15">
        <v>0.46</v>
      </c>
      <c r="J28" s="257">
        <f t="shared" si="6"/>
        <v>1.1500000000000007E-2</v>
      </c>
      <c r="K28" s="253">
        <f t="shared" si="1"/>
        <v>83.018964102858774</v>
      </c>
      <c r="M28" s="15"/>
      <c r="O28" s="15">
        <v>0.46</v>
      </c>
      <c r="P28" s="257">
        <f t="shared" si="7"/>
        <v>0.99689999999999923</v>
      </c>
      <c r="Q28" s="253">
        <f t="shared" si="2"/>
        <v>0.57599962564266438</v>
      </c>
      <c r="R28" s="253"/>
      <c r="S28" s="15"/>
      <c r="U28" s="15">
        <v>0.46</v>
      </c>
      <c r="V28" s="257">
        <f t="shared" si="8"/>
        <v>2.8400000000000016</v>
      </c>
      <c r="W28" s="253">
        <f t="shared" si="3"/>
        <v>0.19858098701779917</v>
      </c>
      <c r="X28" s="253"/>
      <c r="Y28" s="15"/>
      <c r="AA28" s="15">
        <v>0.46</v>
      </c>
      <c r="AB28" s="257" t="e">
        <f t="shared" si="9"/>
        <v>#NAME?</v>
      </c>
      <c r="AC28" s="253" t="e">
        <f t="shared" si="4"/>
        <v>#NAME?</v>
      </c>
    </row>
    <row r="29" spans="1:29">
      <c r="A29" s="15"/>
      <c r="B29" s="158"/>
      <c r="C29" s="15">
        <v>0.48000000000000004</v>
      </c>
      <c r="D29" s="15">
        <f t="shared" si="5"/>
        <v>7.0000000000000027E-3</v>
      </c>
      <c r="E29" s="253">
        <f t="shared" si="0"/>
        <v>54.732351737052575</v>
      </c>
      <c r="F29" s="158"/>
      <c r="G29" s="15"/>
      <c r="I29" s="15">
        <v>0.48000000000000004</v>
      </c>
      <c r="J29" s="257">
        <f t="shared" si="6"/>
        <v>1.2000000000000007E-2</v>
      </c>
      <c r="K29" s="253">
        <f t="shared" si="1"/>
        <v>78.82099052546863</v>
      </c>
      <c r="M29" s="15"/>
      <c r="O29" s="15">
        <v>0.48000000000000004</v>
      </c>
      <c r="P29" s="257">
        <f t="shared" si="7"/>
        <v>0.9971999999999992</v>
      </c>
      <c r="Q29" s="253">
        <f t="shared" si="2"/>
        <v>1.0856469541846341</v>
      </c>
      <c r="R29" s="253"/>
      <c r="S29" s="15"/>
      <c r="U29" s="15">
        <v>0.48000000000000004</v>
      </c>
      <c r="V29" s="257">
        <f t="shared" si="8"/>
        <v>2.9200000000000017</v>
      </c>
      <c r="W29" s="253">
        <f t="shared" si="3"/>
        <v>0.16272456062203353</v>
      </c>
      <c r="X29" s="253"/>
      <c r="Y29" s="15"/>
      <c r="AA29" s="15">
        <v>0.48000000000000004</v>
      </c>
      <c r="AB29" s="257" t="e">
        <f t="shared" si="9"/>
        <v>#NAME?</v>
      </c>
      <c r="AC29" s="253" t="e">
        <f t="shared" si="4"/>
        <v>#NAME?</v>
      </c>
    </row>
    <row r="30" spans="1:29">
      <c r="A30" s="15"/>
      <c r="B30" s="158"/>
      <c r="C30" s="15">
        <v>0.5</v>
      </c>
      <c r="D30" s="15">
        <f t="shared" si="5"/>
        <v>7.5000000000000032E-3</v>
      </c>
      <c r="E30" s="253">
        <f t="shared" si="0"/>
        <v>56.824448625218132</v>
      </c>
      <c r="F30" s="158"/>
      <c r="G30" s="15"/>
      <c r="I30" s="15">
        <v>0.5</v>
      </c>
      <c r="J30" s="257">
        <f t="shared" si="6"/>
        <v>1.2500000000000008E-2</v>
      </c>
      <c r="K30" s="253">
        <f t="shared" si="1"/>
        <v>74.087561358193767</v>
      </c>
      <c r="M30" s="15"/>
      <c r="O30" s="15">
        <v>0.5</v>
      </c>
      <c r="P30" s="257">
        <f t="shared" si="7"/>
        <v>0.99749999999999917</v>
      </c>
      <c r="Q30" s="253">
        <f t="shared" si="2"/>
        <v>1.9710797663891007</v>
      </c>
      <c r="R30" s="253"/>
      <c r="S30" s="15"/>
      <c r="U30" s="15">
        <v>0.5</v>
      </c>
      <c r="V30" s="257">
        <f t="shared" si="8"/>
        <v>3.0000000000000018</v>
      </c>
      <c r="W30" s="253">
        <f t="shared" si="3"/>
        <v>0.1315184675471365</v>
      </c>
      <c r="X30" s="253"/>
      <c r="Y30" s="15"/>
      <c r="AA30" s="15">
        <v>0.5</v>
      </c>
      <c r="AB30" s="257" t="e">
        <f t="shared" si="9"/>
        <v>#NAME?</v>
      </c>
      <c r="AC30" s="253" t="e">
        <f t="shared" si="4"/>
        <v>#NAME?</v>
      </c>
    </row>
    <row r="31" spans="1:29">
      <c r="A31" s="15"/>
      <c r="B31" s="158"/>
      <c r="C31" s="15">
        <v>0.52</v>
      </c>
      <c r="D31" s="15">
        <f t="shared" si="5"/>
        <v>8.0000000000000036E-3</v>
      </c>
      <c r="E31" s="253">
        <f t="shared" si="0"/>
        <v>58.766252141870595</v>
      </c>
      <c r="F31" s="158"/>
      <c r="G31" s="15"/>
      <c r="I31" s="15">
        <v>0.52</v>
      </c>
      <c r="J31" s="257">
        <f t="shared" si="6"/>
        <v>1.3000000000000008E-2</v>
      </c>
      <c r="K31" s="253">
        <f t="shared" si="1"/>
        <v>68.931124007092833</v>
      </c>
      <c r="M31" s="15"/>
      <c r="O31" s="15">
        <v>0.52</v>
      </c>
      <c r="P31" s="257">
        <f t="shared" si="7"/>
        <v>0.99779999999999913</v>
      </c>
      <c r="Q31" s="253">
        <f t="shared" si="2"/>
        <v>3.4542260932134212</v>
      </c>
      <c r="R31" s="253"/>
      <c r="S31" s="15"/>
      <c r="U31" s="15">
        <v>0.52</v>
      </c>
      <c r="V31" s="257">
        <f t="shared" si="8"/>
        <v>3.0800000000000018</v>
      </c>
      <c r="W31" s="253">
        <f t="shared" si="3"/>
        <v>0.10477592970554118</v>
      </c>
      <c r="X31" s="253"/>
      <c r="Y31" s="15"/>
      <c r="AA31" s="15">
        <v>0.52</v>
      </c>
      <c r="AB31" s="257" t="e">
        <f t="shared" si="9"/>
        <v>#NAME?</v>
      </c>
      <c r="AC31" s="253" t="e">
        <f t="shared" si="4"/>
        <v>#NAME?</v>
      </c>
    </row>
    <row r="32" spans="1:29">
      <c r="A32" s="15"/>
      <c r="B32" s="158"/>
      <c r="C32" s="15">
        <v>0.54</v>
      </c>
      <c r="D32" s="15">
        <f t="shared" si="5"/>
        <v>8.5000000000000041E-3</v>
      </c>
      <c r="E32" s="253">
        <f t="shared" si="0"/>
        <v>60.542986095890406</v>
      </c>
      <c r="F32" s="158"/>
      <c r="G32" s="15"/>
      <c r="I32" s="15">
        <v>0.54</v>
      </c>
      <c r="J32" s="257">
        <f t="shared" si="6"/>
        <v>1.3500000000000009E-2</v>
      </c>
      <c r="K32" s="253">
        <f t="shared" si="1"/>
        <v>63.465415896976758</v>
      </c>
      <c r="M32" s="15"/>
      <c r="O32" s="15">
        <v>0.54</v>
      </c>
      <c r="P32" s="257">
        <f t="shared" si="7"/>
        <v>0.9980999999999991</v>
      </c>
      <c r="Q32" s="253">
        <f t="shared" si="2"/>
        <v>5.8527759638837802</v>
      </c>
      <c r="R32" s="253"/>
      <c r="S32" s="15"/>
      <c r="U32" s="15">
        <v>0.54</v>
      </c>
      <c r="V32" s="257">
        <f t="shared" si="8"/>
        <v>3.1600000000000019</v>
      </c>
      <c r="W32" s="253">
        <f t="shared" si="3"/>
        <v>8.2212917470447691E-2</v>
      </c>
      <c r="X32" s="253"/>
      <c r="Y32" s="15"/>
      <c r="AA32" s="15">
        <v>0.54</v>
      </c>
      <c r="AB32" s="257" t="e">
        <f t="shared" si="9"/>
        <v>#NAME?</v>
      </c>
      <c r="AC32" s="253" t="e">
        <f t="shared" si="4"/>
        <v>#NAME?</v>
      </c>
    </row>
    <row r="33" spans="1:29">
      <c r="A33" s="15"/>
      <c r="B33" s="158"/>
      <c r="C33" s="15">
        <v>0.56000000000000005</v>
      </c>
      <c r="D33" s="15">
        <f t="shared" si="5"/>
        <v>9.0000000000000045E-3</v>
      </c>
      <c r="E33" s="253">
        <f t="shared" si="0"/>
        <v>62.1396090911146</v>
      </c>
      <c r="F33" s="158"/>
      <c r="G33" s="15"/>
      <c r="I33" s="15">
        <v>0.56000000000000005</v>
      </c>
      <c r="J33" s="257">
        <f t="shared" si="6"/>
        <v>1.4000000000000009E-2</v>
      </c>
      <c r="K33" s="253">
        <f t="shared" si="1"/>
        <v>57.803003930470759</v>
      </c>
      <c r="M33" s="15"/>
      <c r="O33" s="15">
        <v>0.56000000000000005</v>
      </c>
      <c r="P33" s="257">
        <f t="shared" si="7"/>
        <v>0.99839999999999907</v>
      </c>
      <c r="Q33" s="253">
        <f t="shared" si="2"/>
        <v>9.6014381566024394</v>
      </c>
      <c r="R33" s="253"/>
      <c r="S33" s="15"/>
      <c r="U33" s="15">
        <v>0.56000000000000005</v>
      </c>
      <c r="V33" s="257">
        <f t="shared" si="8"/>
        <v>3.240000000000002</v>
      </c>
      <c r="W33" s="253">
        <f t="shared" si="3"/>
        <v>6.3477184061763545E-2</v>
      </c>
      <c r="X33" s="253"/>
      <c r="Y33" s="15"/>
      <c r="AA33" s="15">
        <v>0.56000000000000005</v>
      </c>
      <c r="AB33" s="257" t="e">
        <f t="shared" si="9"/>
        <v>#NAME?</v>
      </c>
      <c r="AC33" s="253" t="e">
        <f t="shared" si="4"/>
        <v>#NAME?</v>
      </c>
    </row>
    <row r="34" spans="1:29">
      <c r="A34" s="15"/>
      <c r="B34" s="158"/>
      <c r="C34" s="15">
        <v>0.58000000000000007</v>
      </c>
      <c r="D34" s="15">
        <f t="shared" si="5"/>
        <v>9.500000000000005E-3</v>
      </c>
      <c r="E34" s="253">
        <f t="shared" si="0"/>
        <v>63.540745626961858</v>
      </c>
      <c r="F34" s="158"/>
      <c r="G34" s="15"/>
      <c r="I34" s="15">
        <v>0.58000000000000007</v>
      </c>
      <c r="J34" s="257">
        <f t="shared" si="6"/>
        <v>1.4500000000000009E-2</v>
      </c>
      <c r="K34" s="253">
        <f t="shared" si="1"/>
        <v>52.052992388898723</v>
      </c>
      <c r="M34" s="15"/>
      <c r="O34" s="15">
        <v>0.58000000000000007</v>
      </c>
      <c r="P34" s="257">
        <f t="shared" si="7"/>
        <v>0.99869999999999903</v>
      </c>
      <c r="Q34" s="253">
        <f t="shared" si="2"/>
        <v>15.266755764889762</v>
      </c>
      <c r="R34" s="253"/>
      <c r="S34" s="15"/>
      <c r="U34" s="15">
        <v>0.58000000000000007</v>
      </c>
      <c r="V34" s="257">
        <f t="shared" si="8"/>
        <v>3.3200000000000021</v>
      </c>
      <c r="W34" s="253">
        <f t="shared" si="3"/>
        <v>4.8174037339919137E-2</v>
      </c>
      <c r="X34" s="253"/>
      <c r="Y34" s="15"/>
      <c r="AA34" s="15">
        <v>0.58000000000000007</v>
      </c>
      <c r="AB34" s="257" t="e">
        <f t="shared" si="9"/>
        <v>#NAME?</v>
      </c>
      <c r="AC34" s="253" t="e">
        <f t="shared" si="4"/>
        <v>#NAME?</v>
      </c>
    </row>
    <row r="35" spans="1:29">
      <c r="A35" s="15"/>
      <c r="B35" s="158"/>
      <c r="C35" s="15">
        <v>0.6</v>
      </c>
      <c r="D35" s="15">
        <f t="shared" si="5"/>
        <v>1.0000000000000005E-2</v>
      </c>
      <c r="E35" s="253">
        <f t="shared" si="0"/>
        <v>64.730608542412256</v>
      </c>
      <c r="F35" s="158"/>
      <c r="G35" s="15"/>
      <c r="I35" s="15">
        <v>0.6</v>
      </c>
      <c r="J35" s="257">
        <f t="shared" si="6"/>
        <v>1.500000000000001E-2</v>
      </c>
      <c r="K35" s="253">
        <f t="shared" si="1"/>
        <v>46.318920129437231</v>
      </c>
      <c r="M35" s="15"/>
      <c r="O35" s="15">
        <v>0.6</v>
      </c>
      <c r="P35" s="257">
        <f t="shared" si="7"/>
        <v>0.998999999999999</v>
      </c>
      <c r="Q35" s="253">
        <f t="shared" si="2"/>
        <v>23.547538963454929</v>
      </c>
      <c r="R35" s="253"/>
      <c r="S35" s="15"/>
      <c r="U35" s="15">
        <v>0.6</v>
      </c>
      <c r="V35" s="257">
        <f t="shared" si="8"/>
        <v>3.4000000000000021</v>
      </c>
      <c r="W35" s="253">
        <f t="shared" si="3"/>
        <v>3.588858422413399E-2</v>
      </c>
      <c r="X35" s="253"/>
      <c r="Y35" s="15"/>
      <c r="AA35" s="15">
        <v>0.6</v>
      </c>
      <c r="AB35" s="257" t="e">
        <f t="shared" si="9"/>
        <v>#NAME?</v>
      </c>
      <c r="AC35" s="253" t="e">
        <f t="shared" si="4"/>
        <v>#NAME?</v>
      </c>
    </row>
    <row r="36" spans="1:29">
      <c r="A36" s="15"/>
      <c r="B36" s="158"/>
      <c r="C36" s="15">
        <v>0.62</v>
      </c>
      <c r="D36" s="15">
        <f t="shared" si="5"/>
        <v>1.0500000000000006E-2</v>
      </c>
      <c r="E36" s="253">
        <f t="shared" si="0"/>
        <v>65.692910102466556</v>
      </c>
      <c r="F36" s="158"/>
      <c r="G36" s="15"/>
      <c r="I36" s="15">
        <v>0.62</v>
      </c>
      <c r="J36" s="257">
        <f t="shared" si="6"/>
        <v>1.550000000000001E-2</v>
      </c>
      <c r="K36" s="253">
        <f t="shared" si="1"/>
        <v>40.696866261381764</v>
      </c>
      <c r="M36" s="15"/>
      <c r="O36" s="15">
        <v>0.62</v>
      </c>
      <c r="P36" s="257">
        <f t="shared" si="7"/>
        <v>0.99929999999999897</v>
      </c>
      <c r="Q36" s="253">
        <f t="shared" si="2"/>
        <v>35.250527241499746</v>
      </c>
      <c r="R36" s="253"/>
      <c r="S36" s="15"/>
      <c r="U36" s="15">
        <v>0.62</v>
      </c>
      <c r="V36" s="257">
        <f t="shared" si="8"/>
        <v>3.4800000000000022</v>
      </c>
      <c r="W36" s="253">
        <f t="shared" si="3"/>
        <v>2.6204340431489098E-2</v>
      </c>
      <c r="X36" s="253"/>
      <c r="Y36" s="15"/>
      <c r="AA36" s="15">
        <v>0.62</v>
      </c>
      <c r="AB36" s="257" t="e">
        <f t="shared" si="9"/>
        <v>#NAME?</v>
      </c>
      <c r="AC36" s="253" t="e">
        <f t="shared" si="4"/>
        <v>#NAME?</v>
      </c>
    </row>
    <row r="37" spans="1:29">
      <c r="A37" s="15"/>
      <c r="B37" s="158"/>
      <c r="C37" s="15">
        <v>0.64</v>
      </c>
      <c r="D37" s="15">
        <f t="shared" si="5"/>
        <v>1.1000000000000006E-2</v>
      </c>
      <c r="E37" s="253">
        <f t="shared" si="0"/>
        <v>66.410758270174554</v>
      </c>
      <c r="F37" s="158"/>
      <c r="G37" s="15"/>
      <c r="I37" s="15">
        <v>0.64</v>
      </c>
      <c r="J37" s="257">
        <f t="shared" si="6"/>
        <v>1.6000000000000011E-2</v>
      </c>
      <c r="K37" s="253">
        <f t="shared" si="1"/>
        <v>35.273782015381471</v>
      </c>
      <c r="M37" s="15"/>
      <c r="O37" s="15">
        <v>0.64</v>
      </c>
      <c r="P37" s="257">
        <f t="shared" si="7"/>
        <v>0.99959999999999893</v>
      </c>
      <c r="Q37" s="253">
        <f t="shared" si="2"/>
        <v>51.229286211775452</v>
      </c>
      <c r="R37" s="253"/>
      <c r="S37" s="15"/>
      <c r="U37" s="15">
        <v>0.64</v>
      </c>
      <c r="V37" s="257">
        <f t="shared" si="8"/>
        <v>3.5600000000000023</v>
      </c>
      <c r="W37" s="253">
        <f t="shared" si="3"/>
        <v>1.8718230279162786E-2</v>
      </c>
      <c r="X37" s="253"/>
      <c r="Y37" s="15"/>
      <c r="AA37" s="15">
        <v>0.64</v>
      </c>
      <c r="AB37" s="257" t="e">
        <f t="shared" si="9"/>
        <v>#NAME?</v>
      </c>
      <c r="AC37" s="253" t="e">
        <f t="shared" si="4"/>
        <v>#NAME?</v>
      </c>
    </row>
    <row r="38" spans="1:29">
      <c r="A38" s="15"/>
      <c r="B38" s="158"/>
      <c r="C38" s="15">
        <v>0.65999999999999992</v>
      </c>
      <c r="D38" s="15">
        <f t="shared" si="5"/>
        <v>1.1500000000000007E-2</v>
      </c>
      <c r="E38" s="253">
        <f t="shared" si="0"/>
        <v>66.866533634488334</v>
      </c>
      <c r="F38" s="158"/>
      <c r="G38" s="15"/>
      <c r="I38" s="15">
        <v>0.65999999999999992</v>
      </c>
      <c r="J38" s="257">
        <f t="shared" si="6"/>
        <v>1.6500000000000011E-2</v>
      </c>
      <c r="K38" s="253">
        <f t="shared" si="1"/>
        <v>30.126065215516292</v>
      </c>
      <c r="M38" s="15"/>
      <c r="O38" s="15">
        <v>0.65999999999999992</v>
      </c>
      <c r="P38" s="257">
        <f t="shared" si="7"/>
        <v>0.9998999999999989</v>
      </c>
      <c r="Q38" s="253">
        <f t="shared" si="2"/>
        <v>72.274651278547367</v>
      </c>
      <c r="R38" s="253"/>
      <c r="S38" s="15"/>
      <c r="U38" s="15">
        <v>0.65999999999999992</v>
      </c>
      <c r="V38" s="257">
        <f t="shared" si="8"/>
        <v>3.6400000000000023</v>
      </c>
      <c r="W38" s="253">
        <f t="shared" si="3"/>
        <v>1.3052110339558101E-2</v>
      </c>
      <c r="X38" s="253"/>
      <c r="Y38" s="15"/>
      <c r="AA38" s="15">
        <v>0.65999999999999992</v>
      </c>
      <c r="AB38" s="257" t="e">
        <f t="shared" si="9"/>
        <v>#NAME?</v>
      </c>
      <c r="AC38" s="253" t="e">
        <f t="shared" si="4"/>
        <v>#NAME?</v>
      </c>
    </row>
    <row r="39" spans="1:29">
      <c r="A39" s="15"/>
      <c r="B39" s="158"/>
      <c r="C39" s="15">
        <v>0.67999999999999994</v>
      </c>
      <c r="D39" s="15">
        <f t="shared" si="5"/>
        <v>1.2000000000000007E-2</v>
      </c>
      <c r="E39" s="253">
        <f t="shared" si="0"/>
        <v>67.041740928070553</v>
      </c>
      <c r="F39" s="158"/>
      <c r="G39" s="15"/>
      <c r="I39" s="15">
        <v>0.67999999999999994</v>
      </c>
      <c r="J39" s="257">
        <f t="shared" si="6"/>
        <v>1.7000000000000012E-2</v>
      </c>
      <c r="K39" s="253">
        <f t="shared" si="1"/>
        <v>25.31839259440315</v>
      </c>
      <c r="M39" s="15"/>
      <c r="O39" s="15">
        <v>0.67999999999999994</v>
      </c>
      <c r="P39" s="257">
        <f t="shared" si="7"/>
        <v>1.0001999999999989</v>
      </c>
      <c r="Q39" s="253">
        <f t="shared" si="2"/>
        <v>98.948622397935438</v>
      </c>
      <c r="R39" s="253"/>
      <c r="S39" s="15"/>
      <c r="U39" s="15">
        <v>0.67999999999999994</v>
      </c>
      <c r="V39" s="257">
        <f t="shared" si="8"/>
        <v>3.7200000000000024</v>
      </c>
      <c r="W39" s="253">
        <f t="shared" si="3"/>
        <v>8.8610388539389195E-3</v>
      </c>
      <c r="X39" s="253"/>
      <c r="Y39" s="15"/>
      <c r="AA39" s="15">
        <v>0.67999999999999994</v>
      </c>
      <c r="AB39" s="257" t="e">
        <f t="shared" si="9"/>
        <v>#NAME?</v>
      </c>
      <c r="AC39" s="253" t="e">
        <f t="shared" si="4"/>
        <v>#NAME?</v>
      </c>
    </row>
    <row r="40" spans="1:29">
      <c r="A40" s="15"/>
      <c r="B40" s="158"/>
      <c r="C40" s="15">
        <v>0.7</v>
      </c>
      <c r="D40" s="15">
        <f t="shared" si="5"/>
        <v>1.2500000000000008E-2</v>
      </c>
      <c r="E40" s="253">
        <f t="shared" si="0"/>
        <v>66.916826838245683</v>
      </c>
      <c r="F40" s="158"/>
      <c r="G40" s="15"/>
      <c r="I40" s="15">
        <v>0.7</v>
      </c>
      <c r="J40" s="257">
        <f t="shared" si="6"/>
        <v>1.7500000000000012E-2</v>
      </c>
      <c r="K40" s="253">
        <f t="shared" si="1"/>
        <v>20.902824130448234</v>
      </c>
      <c r="M40" s="15"/>
      <c r="O40" s="15">
        <v>0.7</v>
      </c>
      <c r="P40" s="257">
        <f t="shared" si="7"/>
        <v>1.0004999999999988</v>
      </c>
      <c r="Q40" s="253">
        <f t="shared" si="2"/>
        <v>131.36199085127362</v>
      </c>
      <c r="R40" s="253"/>
      <c r="S40" s="15"/>
      <c r="U40" s="15">
        <v>0.7</v>
      </c>
      <c r="V40" s="257">
        <f t="shared" si="8"/>
        <v>3.8000000000000025</v>
      </c>
      <c r="W40" s="253">
        <f t="shared" si="3"/>
        <v>5.8385817782716934E-3</v>
      </c>
      <c r="X40" s="253"/>
      <c r="Y40" s="15"/>
      <c r="AA40" s="15">
        <v>0.7</v>
      </c>
      <c r="AB40" s="257" t="e">
        <f t="shared" si="9"/>
        <v>#NAME?</v>
      </c>
      <c r="AC40" s="253" t="e">
        <f t="shared" si="4"/>
        <v>#NAME?</v>
      </c>
    </row>
    <row r="41" spans="1:29">
      <c r="A41" s="15"/>
      <c r="B41" s="158"/>
      <c r="C41" s="15">
        <v>0.72</v>
      </c>
      <c r="D41" s="15">
        <f t="shared" si="5"/>
        <v>1.3000000000000008E-2</v>
      </c>
      <c r="E41" s="253">
        <f t="shared" si="0"/>
        <v>66.470952514487337</v>
      </c>
      <c r="F41" s="158"/>
      <c r="G41" s="15"/>
      <c r="I41" s="15">
        <v>0.72</v>
      </c>
      <c r="J41" s="257">
        <f t="shared" si="6"/>
        <v>1.8000000000000013E-2</v>
      </c>
      <c r="K41" s="253">
        <f t="shared" si="1"/>
        <v>16.918192611778487</v>
      </c>
      <c r="M41" s="15"/>
      <c r="O41" s="15">
        <v>0.72</v>
      </c>
      <c r="P41" s="257">
        <f t="shared" si="7"/>
        <v>1.0007999999999988</v>
      </c>
      <c r="Q41" s="253">
        <f t="shared" si="2"/>
        <v>168.91042367235713</v>
      </c>
      <c r="R41" s="253"/>
      <c r="S41" s="15"/>
      <c r="U41" s="15">
        <v>0.72</v>
      </c>
      <c r="V41" s="257">
        <f t="shared" si="8"/>
        <v>3.8800000000000026</v>
      </c>
      <c r="W41" s="253">
        <f t="shared" si="3"/>
        <v>3.7194977196642635E-3</v>
      </c>
      <c r="X41" s="253"/>
      <c r="Y41" s="15"/>
      <c r="AA41" s="15">
        <v>0.72</v>
      </c>
      <c r="AB41" s="257" t="e">
        <f t="shared" si="9"/>
        <v>#NAME?</v>
      </c>
      <c r="AC41" s="253" t="e">
        <f t="shared" si="4"/>
        <v>#NAME?</v>
      </c>
    </row>
    <row r="42" spans="1:29">
      <c r="A42" s="15"/>
      <c r="B42" s="158"/>
      <c r="C42" s="15">
        <v>0.74</v>
      </c>
      <c r="D42" s="15">
        <f t="shared" si="5"/>
        <v>1.3500000000000009E-2</v>
      </c>
      <c r="E42" s="253">
        <f t="shared" si="0"/>
        <v>65.681704186895999</v>
      </c>
      <c r="F42" s="158"/>
      <c r="G42" s="15"/>
      <c r="I42" s="15">
        <v>0.74</v>
      </c>
      <c r="J42" s="257">
        <f t="shared" si="6"/>
        <v>1.8500000000000013E-2</v>
      </c>
      <c r="K42" s="253">
        <f t="shared" si="1"/>
        <v>13.389790723405298</v>
      </c>
      <c r="M42" s="15"/>
      <c r="O42" s="15">
        <v>0.74</v>
      </c>
      <c r="P42" s="257">
        <f t="shared" si="7"/>
        <v>1.0010999999999988</v>
      </c>
      <c r="Q42" s="253">
        <f t="shared" si="2"/>
        <v>210.00472726546261</v>
      </c>
      <c r="R42" s="253"/>
      <c r="S42" s="15"/>
      <c r="U42" s="15">
        <v>0.74</v>
      </c>
      <c r="V42" s="257">
        <f t="shared" si="8"/>
        <v>3.9600000000000026</v>
      </c>
      <c r="W42" s="253">
        <f t="shared" si="3"/>
        <v>2.2801792180564416E-3</v>
      </c>
      <c r="X42" s="253"/>
      <c r="Y42" s="15"/>
      <c r="AA42" s="15">
        <v>0.74</v>
      </c>
      <c r="AB42" s="257" t="e">
        <f t="shared" si="9"/>
        <v>#NAME?</v>
      </c>
      <c r="AC42" s="253" t="e">
        <f t="shared" si="4"/>
        <v>#NAME?</v>
      </c>
    </row>
    <row r="43" spans="1:29">
      <c r="A43" s="15"/>
      <c r="B43" s="158"/>
      <c r="C43" s="15">
        <v>0.76</v>
      </c>
      <c r="D43" s="15">
        <f t="shared" si="5"/>
        <v>1.4000000000000009E-2</v>
      </c>
      <c r="E43" s="253">
        <f t="shared" si="0"/>
        <v>64.524717571716252</v>
      </c>
      <c r="F43" s="158"/>
      <c r="G43" s="15"/>
      <c r="I43" s="15">
        <v>0.76</v>
      </c>
      <c r="J43" s="257">
        <f t="shared" si="6"/>
        <v>1.9000000000000013E-2</v>
      </c>
      <c r="K43" s="253">
        <f t="shared" si="1"/>
        <v>10.32936709395198</v>
      </c>
      <c r="M43" s="15"/>
      <c r="O43" s="15">
        <v>0.76</v>
      </c>
      <c r="P43" s="257">
        <f t="shared" si="7"/>
        <v>1.0013999999999987</v>
      </c>
      <c r="Q43" s="253">
        <f t="shared" si="2"/>
        <v>251.85738309477347</v>
      </c>
      <c r="R43" s="253"/>
      <c r="S43" s="15"/>
      <c r="U43" s="15">
        <v>0.76</v>
      </c>
      <c r="V43" s="257">
        <f t="shared" si="8"/>
        <v>4.0400000000000027</v>
      </c>
      <c r="W43" s="253">
        <f t="shared" si="3"/>
        <v>1.337248100597291E-3</v>
      </c>
      <c r="X43" s="253"/>
      <c r="Y43" s="15"/>
      <c r="AA43" s="15">
        <v>0.76</v>
      </c>
      <c r="AB43" s="257" t="e">
        <f t="shared" si="9"/>
        <v>#NAME?</v>
      </c>
      <c r="AC43" s="253" t="e">
        <f t="shared" si="4"/>
        <v>#NAME?</v>
      </c>
    </row>
    <row r="44" spans="1:29">
      <c r="A44" s="15"/>
      <c r="B44" s="158"/>
      <c r="C44" s="15">
        <v>0.78</v>
      </c>
      <c r="D44" s="15">
        <f t="shared" si="5"/>
        <v>1.4500000000000009E-2</v>
      </c>
      <c r="E44" s="253">
        <f t="shared" si="0"/>
        <v>62.973179375509382</v>
      </c>
      <c r="F44" s="158"/>
      <c r="G44" s="15"/>
      <c r="I44" s="15">
        <v>0.78</v>
      </c>
      <c r="J44" s="257">
        <f t="shared" si="6"/>
        <v>1.9500000000000014E-2</v>
      </c>
      <c r="K44" s="253">
        <f t="shared" si="1"/>
        <v>7.735441906655379</v>
      </c>
      <c r="M44" s="15"/>
      <c r="O44" s="15">
        <v>0.78</v>
      </c>
      <c r="P44" s="257">
        <f t="shared" si="7"/>
        <v>1.0016999999999987</v>
      </c>
      <c r="Q44" s="253">
        <f t="shared" si="2"/>
        <v>290.41523868065383</v>
      </c>
      <c r="R44" s="253"/>
      <c r="S44" s="15"/>
      <c r="U44" s="15">
        <v>0.78</v>
      </c>
      <c r="V44" s="257">
        <f t="shared" si="8"/>
        <v>4.1200000000000028</v>
      </c>
      <c r="W44" s="253">
        <f t="shared" si="3"/>
        <v>7.4470915267614525E-4</v>
      </c>
      <c r="X44" s="253"/>
      <c r="Y44" s="15"/>
      <c r="AA44" s="15">
        <v>0.78</v>
      </c>
      <c r="AB44" s="257" t="e">
        <f t="shared" si="9"/>
        <v>#NAME?</v>
      </c>
      <c r="AC44" s="253" t="e">
        <f t="shared" si="4"/>
        <v>#NAME?</v>
      </c>
    </row>
    <row r="45" spans="1:29">
      <c r="A45" s="15"/>
      <c r="B45" s="158"/>
      <c r="C45" s="15">
        <v>0.8</v>
      </c>
      <c r="D45" s="15">
        <f t="shared" si="5"/>
        <v>1.500000000000001E-2</v>
      </c>
      <c r="E45" s="253">
        <f t="shared" si="0"/>
        <v>60.997148762656366</v>
      </c>
      <c r="F45" s="158"/>
      <c r="G45" s="15"/>
      <c r="I45" s="15">
        <v>0.8</v>
      </c>
      <c r="J45" s="257">
        <f t="shared" si="6"/>
        <v>2.0000000000000014E-2</v>
      </c>
      <c r="K45" s="253">
        <f t="shared" si="1"/>
        <v>5.5939518551852219</v>
      </c>
      <c r="M45" s="15"/>
      <c r="O45" s="15">
        <v>0.8</v>
      </c>
      <c r="P45" s="257">
        <f t="shared" si="7"/>
        <v>1.0019999999999987</v>
      </c>
      <c r="Q45" s="253">
        <f t="shared" si="2"/>
        <v>320.54943847952876</v>
      </c>
      <c r="R45" s="253"/>
      <c r="S45" s="15"/>
      <c r="U45" s="15">
        <v>0.8</v>
      </c>
      <c r="V45" s="257">
        <f t="shared" si="8"/>
        <v>4.2000000000000028</v>
      </c>
      <c r="W45" s="253">
        <f t="shared" si="3"/>
        <v>3.9006020673508816E-4</v>
      </c>
      <c r="X45" s="253"/>
      <c r="Y45" s="15"/>
      <c r="AA45" s="15">
        <v>0.8</v>
      </c>
      <c r="AB45" s="257" t="e">
        <f t="shared" si="9"/>
        <v>#NAME?</v>
      </c>
      <c r="AC45" s="253" t="e">
        <f t="shared" si="4"/>
        <v>#NAME?</v>
      </c>
    </row>
    <row r="46" spans="1:29">
      <c r="A46" s="15"/>
      <c r="B46" s="158"/>
      <c r="C46" s="15">
        <v>0.82</v>
      </c>
      <c r="D46" s="15">
        <f t="shared" si="5"/>
        <v>1.550000000000001E-2</v>
      </c>
      <c r="E46" s="253">
        <f t="shared" si="0"/>
        <v>58.56260645337882</v>
      </c>
      <c r="F46" s="158"/>
      <c r="G46" s="15"/>
      <c r="I46" s="15">
        <v>0.82</v>
      </c>
      <c r="J46" s="257">
        <f t="shared" si="6"/>
        <v>2.0500000000000015E-2</v>
      </c>
      <c r="K46" s="253">
        <f t="shared" si="1"/>
        <v>3.8792333825555336</v>
      </c>
      <c r="M46" s="15"/>
      <c r="O46" s="15">
        <v>0.82</v>
      </c>
      <c r="P46" s="257">
        <f t="shared" si="7"/>
        <v>1.0022999999999986</v>
      </c>
      <c r="Q46" s="253">
        <f t="shared" si="2"/>
        <v>336.61511148200611</v>
      </c>
      <c r="R46" s="253"/>
      <c r="S46" s="15"/>
      <c r="U46" s="15">
        <v>0.82</v>
      </c>
      <c r="V46" s="257">
        <f t="shared" si="8"/>
        <v>4.2800000000000029</v>
      </c>
      <c r="W46" s="253">
        <f t="shared" si="3"/>
        <v>1.897389987450214E-4</v>
      </c>
      <c r="X46" s="253"/>
      <c r="Y46" s="15"/>
      <c r="AA46" s="15">
        <v>0.82</v>
      </c>
      <c r="AB46" s="257" t="e">
        <f t="shared" si="9"/>
        <v>#NAME?</v>
      </c>
      <c r="AC46" s="253" t="e">
        <f t="shared" si="4"/>
        <v>#NAME?</v>
      </c>
    </row>
    <row r="47" spans="1:29">
      <c r="A47" s="15"/>
      <c r="B47" s="158"/>
      <c r="C47" s="15">
        <v>0.84</v>
      </c>
      <c r="D47" s="15">
        <f t="shared" si="5"/>
        <v>1.6000000000000011E-2</v>
      </c>
      <c r="E47" s="253">
        <f t="shared" si="0"/>
        <v>55.630075591035357</v>
      </c>
      <c r="F47" s="158"/>
      <c r="G47" s="15"/>
      <c r="I47" s="15">
        <v>0.84</v>
      </c>
      <c r="J47" s="257">
        <f t="shared" si="6"/>
        <v>2.1000000000000015E-2</v>
      </c>
      <c r="K47" s="253">
        <f t="shared" si="1"/>
        <v>2.5553522472174697</v>
      </c>
      <c r="M47" s="15"/>
      <c r="O47" s="15">
        <v>0.84</v>
      </c>
      <c r="P47" s="257">
        <f t="shared" si="7"/>
        <v>1.0025999999999986</v>
      </c>
      <c r="Q47" s="253">
        <f t="shared" si="2"/>
        <v>333.45629057769008</v>
      </c>
      <c r="R47" s="253"/>
      <c r="S47" s="15"/>
      <c r="U47" s="15">
        <v>0.84</v>
      </c>
      <c r="V47" s="257">
        <f t="shared" si="8"/>
        <v>4.360000000000003</v>
      </c>
      <c r="W47" s="253">
        <f t="shared" si="3"/>
        <v>8.4258810861362801E-5</v>
      </c>
      <c r="X47" s="253"/>
      <c r="Y47" s="15"/>
      <c r="AA47" s="15">
        <v>0.84</v>
      </c>
      <c r="AB47" s="257" t="e">
        <f t="shared" si="9"/>
        <v>#NAME?</v>
      </c>
      <c r="AC47" s="253" t="e">
        <f t="shared" si="4"/>
        <v>#NAME?</v>
      </c>
    </row>
    <row r="48" spans="1:29">
      <c r="A48" s="15"/>
      <c r="B48" s="158"/>
      <c r="C48" s="15">
        <v>0.86</v>
      </c>
      <c r="D48" s="15">
        <f t="shared" si="5"/>
        <v>1.6500000000000011E-2</v>
      </c>
      <c r="E48" s="253">
        <f t="shared" si="0"/>
        <v>52.152537156562389</v>
      </c>
      <c r="F48" s="158"/>
      <c r="G48" s="15"/>
      <c r="I48" s="15">
        <v>0.86</v>
      </c>
      <c r="J48" s="257">
        <f t="shared" si="6"/>
        <v>2.1500000000000016E-2</v>
      </c>
      <c r="K48" s="253">
        <f t="shared" si="1"/>
        <v>1.5777864655523568</v>
      </c>
      <c r="M48" s="15"/>
      <c r="O48" s="15">
        <v>0.86</v>
      </c>
      <c r="P48" s="257">
        <f t="shared" si="7"/>
        <v>1.0028999999999986</v>
      </c>
      <c r="Q48" s="253">
        <f t="shared" si="2"/>
        <v>307.83335417502263</v>
      </c>
      <c r="R48" s="253"/>
      <c r="S48" s="15"/>
      <c r="U48" s="15">
        <v>0.86</v>
      </c>
      <c r="V48" s="257">
        <f t="shared" si="8"/>
        <v>4.4400000000000031</v>
      </c>
      <c r="W48" s="253">
        <f t="shared" si="3"/>
        <v>3.3347036827389795E-5</v>
      </c>
      <c r="X48" s="253"/>
      <c r="Y48" s="15"/>
      <c r="AA48" s="15">
        <v>0.86</v>
      </c>
      <c r="AB48" s="257" t="e">
        <f t="shared" si="9"/>
        <v>#NAME?</v>
      </c>
      <c r="AC48" s="253" t="e">
        <f t="shared" si="4"/>
        <v>#NAME?</v>
      </c>
    </row>
    <row r="49" spans="1:29">
      <c r="A49" s="15"/>
      <c r="B49" s="158"/>
      <c r="C49" s="15">
        <v>0.88</v>
      </c>
      <c r="D49" s="15">
        <f t="shared" si="5"/>
        <v>1.7000000000000012E-2</v>
      </c>
      <c r="E49" s="253">
        <f t="shared" si="0"/>
        <v>48.072114210928056</v>
      </c>
      <c r="F49" s="158"/>
      <c r="G49" s="15"/>
      <c r="I49" s="15">
        <v>0.88</v>
      </c>
      <c r="J49" s="257">
        <f t="shared" si="6"/>
        <v>2.2000000000000016E-2</v>
      </c>
      <c r="K49" s="253">
        <f t="shared" si="1"/>
        <v>0.8954685081439403</v>
      </c>
      <c r="M49" s="15"/>
      <c r="O49" s="15">
        <v>0.88</v>
      </c>
      <c r="P49" s="257">
        <f t="shared" si="7"/>
        <v>1.0031999999999985</v>
      </c>
      <c r="Q49" s="253">
        <f t="shared" si="2"/>
        <v>260.06981937695326</v>
      </c>
      <c r="R49" s="253"/>
      <c r="S49" s="15"/>
      <c r="U49" s="15">
        <v>0.88</v>
      </c>
      <c r="V49" s="257">
        <f t="shared" si="8"/>
        <v>4.5200000000000031</v>
      </c>
      <c r="W49" s="253">
        <f t="shared" si="3"/>
        <v>1.1354431926391373E-5</v>
      </c>
      <c r="X49" s="253"/>
      <c r="Y49" s="15"/>
      <c r="AA49" s="15">
        <v>0.88</v>
      </c>
      <c r="AB49" s="257" t="e">
        <f t="shared" si="9"/>
        <v>#NAME?</v>
      </c>
      <c r="AC49" s="253" t="e">
        <f t="shared" si="4"/>
        <v>#NAME?</v>
      </c>
    </row>
    <row r="50" spans="1:29">
      <c r="A50" s="15"/>
      <c r="B50" s="158"/>
      <c r="C50" s="15">
        <v>0.89999999999999991</v>
      </c>
      <c r="D50" s="15">
        <f t="shared" si="5"/>
        <v>1.7500000000000012E-2</v>
      </c>
      <c r="E50" s="253">
        <f t="shared" si="0"/>
        <v>43.314444172449285</v>
      </c>
      <c r="F50" s="158"/>
      <c r="G50" s="15"/>
      <c r="I50" s="15">
        <v>0.89999999999999991</v>
      </c>
      <c r="J50" s="257">
        <f t="shared" si="6"/>
        <v>2.2500000000000017E-2</v>
      </c>
      <c r="K50" s="253">
        <f t="shared" si="1"/>
        <v>0.45319114913579955</v>
      </c>
      <c r="M50" s="15"/>
      <c r="O50" s="15">
        <v>0.89999999999999991</v>
      </c>
      <c r="P50" s="257">
        <f t="shared" si="7"/>
        <v>1.0034999999999985</v>
      </c>
      <c r="Q50" s="253">
        <f t="shared" si="2"/>
        <v>195.4459245607556</v>
      </c>
      <c r="R50" s="253"/>
      <c r="S50" s="15"/>
      <c r="U50" s="15">
        <v>0.89999999999999991</v>
      </c>
      <c r="V50" s="257">
        <f t="shared" si="8"/>
        <v>4.6000000000000032</v>
      </c>
      <c r="W50" s="253">
        <f t="shared" si="3"/>
        <v>3.1490611373983444E-6</v>
      </c>
      <c r="X50" s="253"/>
      <c r="Y50" s="15"/>
      <c r="AA50" s="15">
        <v>0.89999999999999991</v>
      </c>
      <c r="AB50" s="257" t="e">
        <f t="shared" si="9"/>
        <v>#NAME?</v>
      </c>
      <c r="AC50" s="253" t="e">
        <f t="shared" si="4"/>
        <v>#NAME?</v>
      </c>
    </row>
    <row r="51" spans="1:29">
      <c r="A51" s="15"/>
      <c r="B51" s="158"/>
      <c r="C51" s="15">
        <v>0.91999999999999993</v>
      </c>
      <c r="D51" s="15">
        <f t="shared" si="5"/>
        <v>1.8000000000000013E-2</v>
      </c>
      <c r="E51" s="253">
        <f t="shared" si="0"/>
        <v>37.778270138877623</v>
      </c>
      <c r="F51" s="158"/>
      <c r="G51" s="15"/>
      <c r="I51" s="15">
        <v>0.91999999999999993</v>
      </c>
      <c r="J51" s="257">
        <f t="shared" si="6"/>
        <v>2.3000000000000017E-2</v>
      </c>
      <c r="K51" s="253">
        <f t="shared" si="1"/>
        <v>0.19437934492652037</v>
      </c>
      <c r="M51" s="15"/>
      <c r="O51" s="15">
        <v>0.91999999999999993</v>
      </c>
      <c r="P51" s="257">
        <f t="shared" si="7"/>
        <v>1.0037999999999985</v>
      </c>
      <c r="Q51" s="253">
        <f t="shared" si="2"/>
        <v>124.54250766919719</v>
      </c>
      <c r="R51" s="253"/>
      <c r="S51" s="15"/>
      <c r="U51" s="15">
        <v>0.91999999999999993</v>
      </c>
      <c r="V51" s="257">
        <f t="shared" si="8"/>
        <v>4.6800000000000033</v>
      </c>
      <c r="W51" s="253">
        <f t="shared" si="3"/>
        <v>6.490644221581354E-7</v>
      </c>
      <c r="X51" s="253"/>
      <c r="Y51" s="15"/>
      <c r="AA51" s="15">
        <v>0.91999999999999993</v>
      </c>
      <c r="AB51" s="257" t="e">
        <f t="shared" si="9"/>
        <v>#NAME?</v>
      </c>
      <c r="AC51" s="253" t="e">
        <f t="shared" si="4"/>
        <v>#NAME?</v>
      </c>
    </row>
    <row r="52" spans="1:29">
      <c r="A52" s="15"/>
      <c r="B52" s="158"/>
      <c r="C52" s="15">
        <v>0.94</v>
      </c>
      <c r="D52" s="15">
        <f t="shared" si="5"/>
        <v>1.8500000000000013E-2</v>
      </c>
      <c r="E52" s="253">
        <f t="shared" si="0"/>
        <v>31.313731318103887</v>
      </c>
      <c r="F52" s="158"/>
      <c r="G52" s="15"/>
      <c r="I52" s="15">
        <v>0.94</v>
      </c>
      <c r="J52" s="257">
        <f t="shared" si="6"/>
        <v>2.3500000000000017E-2</v>
      </c>
      <c r="K52" s="253">
        <f t="shared" si="1"/>
        <v>6.4227462026391499E-2</v>
      </c>
      <c r="M52" s="15"/>
      <c r="O52" s="15">
        <v>0.94</v>
      </c>
      <c r="P52" s="257">
        <f t="shared" si="7"/>
        <v>1.0040999999999984</v>
      </c>
      <c r="Q52" s="253">
        <f t="shared" si="2"/>
        <v>61.487319479254339</v>
      </c>
      <c r="R52" s="253"/>
      <c r="S52" s="15"/>
      <c r="U52" s="15">
        <v>0.94</v>
      </c>
      <c r="V52" s="257">
        <f t="shared" si="8"/>
        <v>4.7600000000000033</v>
      </c>
      <c r="W52" s="253">
        <f t="shared" si="3"/>
        <v>8.3719574015905043E-8</v>
      </c>
      <c r="X52" s="253"/>
      <c r="Y52" s="15"/>
      <c r="AA52" s="15">
        <v>0.94</v>
      </c>
      <c r="AB52" s="257" t="e">
        <f t="shared" si="9"/>
        <v>#NAME?</v>
      </c>
      <c r="AC52" s="253" t="e">
        <f t="shared" si="4"/>
        <v>#NAME?</v>
      </c>
    </row>
    <row r="53" spans="1:29">
      <c r="A53" s="15"/>
      <c r="B53" s="158"/>
      <c r="C53" s="15">
        <v>0.96</v>
      </c>
      <c r="D53" s="15">
        <f t="shared" si="5"/>
        <v>1.9000000000000013E-2</v>
      </c>
      <c r="E53" s="253">
        <f t="shared" si="0"/>
        <v>23.667980262791126</v>
      </c>
      <c r="F53" s="158"/>
      <c r="G53" s="15"/>
      <c r="I53" s="15">
        <v>0.96</v>
      </c>
      <c r="J53" s="257">
        <f t="shared" si="6"/>
        <v>2.4000000000000018E-2</v>
      </c>
      <c r="K53" s="253">
        <f t="shared" si="1"/>
        <v>1.3195941604759934E-2</v>
      </c>
      <c r="M53" s="15"/>
      <c r="O53" s="15">
        <v>0.96</v>
      </c>
      <c r="P53" s="257">
        <f t="shared" si="7"/>
        <v>1.0043999999999984</v>
      </c>
      <c r="Q53" s="253">
        <f t="shared" si="2"/>
        <v>19.197962399209949</v>
      </c>
      <c r="R53" s="253"/>
      <c r="S53" s="15"/>
      <c r="U53" s="15">
        <v>0.96</v>
      </c>
      <c r="V53" s="257">
        <f t="shared" si="8"/>
        <v>4.8400000000000034</v>
      </c>
      <c r="W53" s="253">
        <f t="shared" si="3"/>
        <v>4.5937387806884916E-9</v>
      </c>
      <c r="X53" s="253"/>
      <c r="Y53" s="15"/>
      <c r="AA53" s="15">
        <v>0.96</v>
      </c>
      <c r="AB53" s="257" t="e">
        <f t="shared" si="9"/>
        <v>#NAME?</v>
      </c>
      <c r="AC53" s="253" t="e">
        <f t="shared" si="4"/>
        <v>#NAME?</v>
      </c>
    </row>
    <row r="54" spans="1:29">
      <c r="A54" s="15"/>
      <c r="B54" s="158"/>
      <c r="C54" s="15">
        <v>0.98</v>
      </c>
      <c r="D54" s="15">
        <f t="shared" si="5"/>
        <v>1.9500000000000014E-2</v>
      </c>
      <c r="E54" s="253">
        <f t="shared" si="0"/>
        <v>14.295928082915612</v>
      </c>
      <c r="F54" s="158"/>
      <c r="G54" s="15"/>
      <c r="I54" s="15">
        <v>0.98</v>
      </c>
      <c r="J54" s="257">
        <f t="shared" si="6"/>
        <v>2.4500000000000018E-2</v>
      </c>
      <c r="K54" s="253">
        <f t="shared" si="1"/>
        <v>8.508216505510633E-4</v>
      </c>
      <c r="M54" s="15"/>
      <c r="O54" s="15">
        <v>0.98</v>
      </c>
      <c r="P54" s="257">
        <f t="shared" si="7"/>
        <v>1.0046999999999984</v>
      </c>
      <c r="Q54" s="253">
        <f t="shared" si="2"/>
        <v>1.9815716159717969</v>
      </c>
      <c r="R54" s="253"/>
      <c r="S54" s="15"/>
      <c r="U54" s="15">
        <v>0.98</v>
      </c>
      <c r="V54" s="257">
        <f t="shared" si="8"/>
        <v>4.9200000000000035</v>
      </c>
      <c r="W54" s="253">
        <f t="shared" si="3"/>
        <v>3.1287423578690905E-11</v>
      </c>
      <c r="X54" s="253"/>
      <c r="Y54" s="15"/>
      <c r="AA54" s="15">
        <v>0.98</v>
      </c>
      <c r="AB54" s="257" t="e">
        <f t="shared" si="9"/>
        <v>#NAME?</v>
      </c>
      <c r="AC54" s="253" t="e">
        <f t="shared" si="4"/>
        <v>#NAME?</v>
      </c>
    </row>
    <row r="55" spans="1:29">
      <c r="A55" s="15"/>
      <c r="B55" s="158"/>
      <c r="C55" s="15">
        <v>1</v>
      </c>
      <c r="D55" s="15">
        <f t="shared" si="5"/>
        <v>2.0000000000000014E-2</v>
      </c>
      <c r="E55" s="253">
        <f>_xlfn.BETA.DIST(0.9999999999*D55,$B$8,$B$9,FALSE,$B$4,$B$5)</f>
        <v>4.4229025702119237E-6</v>
      </c>
      <c r="F55" s="158"/>
      <c r="G55" s="15"/>
      <c r="I55" s="15">
        <v>1</v>
      </c>
      <c r="J55" s="257">
        <f t="shared" si="6"/>
        <v>2.5000000000000019E-2</v>
      </c>
      <c r="K55" s="253">
        <f>_xlfn.BETA.DIST(0.99999999*J55,$H$8,$H$9,FALSE,$H$4,$H$5)</f>
        <v>3.879818280854756E-29</v>
      </c>
      <c r="M55" s="15"/>
      <c r="O55" s="15">
        <v>1</v>
      </c>
      <c r="P55" s="257">
        <f t="shared" si="7"/>
        <v>1.0049999999999983</v>
      </c>
      <c r="Q55" s="253">
        <f>_xlfn.BETA.DIST(0.999999*P55,$N$8,$N$9,FALSE,$N$4,$N$5)</f>
        <v>1.0057442328252431E-9</v>
      </c>
      <c r="R55" s="253"/>
      <c r="S55" s="15"/>
      <c r="U55" s="15">
        <v>1</v>
      </c>
      <c r="V55" s="257">
        <f t="shared" si="8"/>
        <v>5.0000000000000036</v>
      </c>
      <c r="W55" s="253">
        <f>_xlfn.BETA.DIST(0.999999*V55,$T$8,$T$9,FALSE,$T$4,$T$5)</f>
        <v>1.0736267971928075E-41</v>
      </c>
      <c r="X55" s="253"/>
      <c r="Y55" s="15"/>
      <c r="AA55" s="15">
        <v>1</v>
      </c>
      <c r="AB55" s="257" t="e">
        <f t="shared" si="9"/>
        <v>#NAME?</v>
      </c>
      <c r="AC55" s="253" t="e">
        <f t="shared" si="4"/>
        <v>#NAME?</v>
      </c>
    </row>
    <row r="56" spans="1:29">
      <c r="A56" s="15"/>
      <c r="B56" s="158"/>
      <c r="C56" s="158"/>
      <c r="D56" s="158"/>
      <c r="E56" s="15"/>
      <c r="F56" s="158"/>
      <c r="G56" s="15"/>
      <c r="K56" s="15"/>
      <c r="M56" s="15"/>
      <c r="Q56" s="15"/>
      <c r="R56" s="15"/>
      <c r="S56" s="15"/>
      <c r="W56" s="15"/>
      <c r="X56" s="15"/>
      <c r="Y56" s="15"/>
      <c r="AC56" s="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B1:AJ364"/>
  <sheetViews>
    <sheetView topLeftCell="D22" workbookViewId="0">
      <selection activeCell="H26" sqref="H26"/>
    </sheetView>
  </sheetViews>
  <sheetFormatPr defaultColWidth="11.5546875" defaultRowHeight="14.4"/>
  <cols>
    <col min="2" max="2" width="17.44140625" style="54" customWidth="1"/>
    <col min="3" max="3" width="17.44140625" style="55" customWidth="1"/>
    <col min="4" max="5" width="17.44140625" style="92" customWidth="1"/>
    <col min="6" max="6" width="25.109375" style="92" customWidth="1"/>
    <col min="7" max="8" width="17.44140625" style="92" customWidth="1"/>
    <col min="9" max="17" width="3.44140625" style="15" bestFit="1" customWidth="1"/>
    <col min="18" max="33" width="4.44140625" style="15" bestFit="1" customWidth="1"/>
    <col min="34" max="34" width="12.44140625" style="15" customWidth="1"/>
    <col min="35" max="35" width="19" style="15" customWidth="1"/>
    <col min="36" max="36" width="32.109375" style="15" customWidth="1"/>
  </cols>
  <sheetData>
    <row r="1" spans="2:36" s="91" customFormat="1" ht="24" thickBot="1">
      <c r="B1" s="508" t="s">
        <v>180</v>
      </c>
      <c r="C1" s="509"/>
      <c r="D1" s="509"/>
      <c r="E1" s="509"/>
      <c r="F1" s="509"/>
      <c r="G1" s="509"/>
      <c r="H1" s="510"/>
      <c r="I1" s="508" t="s">
        <v>179</v>
      </c>
      <c r="J1" s="509"/>
      <c r="K1" s="509"/>
      <c r="L1" s="509"/>
      <c r="M1" s="509"/>
      <c r="N1" s="509"/>
      <c r="O1" s="509"/>
      <c r="P1" s="509"/>
      <c r="Q1" s="509"/>
      <c r="R1" s="509"/>
      <c r="S1" s="509"/>
      <c r="T1" s="509"/>
      <c r="U1" s="509"/>
      <c r="V1" s="509"/>
      <c r="W1" s="509"/>
      <c r="X1" s="509"/>
      <c r="Y1" s="509"/>
      <c r="Z1" s="509"/>
      <c r="AA1" s="509"/>
      <c r="AB1" s="509"/>
      <c r="AC1" s="509"/>
      <c r="AD1" s="509"/>
      <c r="AE1" s="509"/>
      <c r="AF1" s="509"/>
      <c r="AG1" s="510"/>
      <c r="AH1" s="123"/>
      <c r="AI1" s="123"/>
      <c r="AJ1" s="123"/>
    </row>
    <row r="2" spans="2:36" ht="18.600000000000001" thickTop="1">
      <c r="B2" s="128" t="s">
        <v>5</v>
      </c>
      <c r="C2" s="129" t="s">
        <v>104</v>
      </c>
      <c r="D2" s="129" t="s">
        <v>102</v>
      </c>
      <c r="E2" s="129" t="s">
        <v>106</v>
      </c>
      <c r="F2" s="129" t="s">
        <v>44</v>
      </c>
      <c r="G2" s="129" t="s">
        <v>107</v>
      </c>
      <c r="H2" s="130" t="s">
        <v>105</v>
      </c>
      <c r="I2" s="131" t="s">
        <v>108</v>
      </c>
      <c r="J2" s="132" t="s">
        <v>109</v>
      </c>
      <c r="K2" s="132" t="s">
        <v>110</v>
      </c>
      <c r="L2" s="132" t="s">
        <v>111</v>
      </c>
      <c r="M2" s="132" t="s">
        <v>112</v>
      </c>
      <c r="N2" s="132" t="s">
        <v>113</v>
      </c>
      <c r="O2" s="132" t="s">
        <v>114</v>
      </c>
      <c r="P2" s="132" t="s">
        <v>115</v>
      </c>
      <c r="Q2" s="132" t="s">
        <v>116</v>
      </c>
      <c r="R2" s="132" t="s">
        <v>117</v>
      </c>
      <c r="S2" s="132" t="s">
        <v>118</v>
      </c>
      <c r="T2" s="132" t="s">
        <v>119</v>
      </c>
      <c r="U2" s="132" t="s">
        <v>120</v>
      </c>
      <c r="V2" s="132" t="s">
        <v>121</v>
      </c>
      <c r="W2" s="132" t="s">
        <v>122</v>
      </c>
      <c r="X2" s="132" t="s">
        <v>123</v>
      </c>
      <c r="Y2" s="132" t="s">
        <v>124</v>
      </c>
      <c r="Z2" s="132" t="s">
        <v>125</v>
      </c>
      <c r="AA2" s="132" t="s">
        <v>126</v>
      </c>
      <c r="AB2" s="132" t="s">
        <v>127</v>
      </c>
      <c r="AC2" s="132" t="s">
        <v>128</v>
      </c>
      <c r="AD2" s="132" t="s">
        <v>129</v>
      </c>
      <c r="AE2" s="132" t="s">
        <v>130</v>
      </c>
      <c r="AF2" s="132" t="s">
        <v>131</v>
      </c>
      <c r="AG2" s="133" t="s">
        <v>132</v>
      </c>
      <c r="AH2" s="28">
        <v>-1</v>
      </c>
      <c r="AI2" s="134"/>
    </row>
    <row r="3" spans="2:36">
      <c r="B3" s="124"/>
      <c r="C3" s="125">
        <v>0</v>
      </c>
      <c r="D3" s="144">
        <v>0</v>
      </c>
      <c r="E3" s="144">
        <v>0</v>
      </c>
      <c r="F3" s="144">
        <v>0</v>
      </c>
      <c r="G3" s="144">
        <v>0</v>
      </c>
      <c r="H3" s="144"/>
      <c r="I3" s="153"/>
      <c r="J3" s="153"/>
      <c r="K3" s="153"/>
      <c r="L3" s="153"/>
      <c r="M3" s="153"/>
      <c r="N3" s="153"/>
      <c r="O3" s="153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" t="s">
        <v>277</v>
      </c>
      <c r="AI3" s="15" t="s">
        <v>278</v>
      </c>
      <c r="AJ3" s="15" t="s">
        <v>279</v>
      </c>
    </row>
    <row r="4" spans="2:36">
      <c r="B4" s="124"/>
      <c r="C4" s="125">
        <v>1</v>
      </c>
      <c r="D4" s="144">
        <v>7528500</v>
      </c>
      <c r="E4" s="144">
        <v>4050750</v>
      </c>
      <c r="F4" s="144">
        <v>0</v>
      </c>
      <c r="G4" s="144">
        <v>0</v>
      </c>
      <c r="H4" s="144">
        <v>975751.00919963513</v>
      </c>
      <c r="I4" s="145">
        <v>1</v>
      </c>
      <c r="J4" s="145">
        <v>1</v>
      </c>
      <c r="K4" s="145">
        <v>1</v>
      </c>
      <c r="L4" s="145">
        <v>1</v>
      </c>
      <c r="M4" s="145">
        <v>1</v>
      </c>
      <c r="N4" s="145">
        <v>1</v>
      </c>
      <c r="O4" s="145">
        <v>1</v>
      </c>
      <c r="P4" s="145">
        <v>1</v>
      </c>
      <c r="Q4" s="145">
        <v>1</v>
      </c>
      <c r="R4" s="145">
        <v>1</v>
      </c>
      <c r="S4" s="145">
        <v>1</v>
      </c>
      <c r="T4" s="145">
        <v>1</v>
      </c>
      <c r="U4" s="145">
        <v>1</v>
      </c>
      <c r="V4" s="145">
        <v>1</v>
      </c>
      <c r="W4" s="145">
        <v>1</v>
      </c>
      <c r="X4" s="145">
        <v>1</v>
      </c>
      <c r="Y4" s="145">
        <v>1</v>
      </c>
      <c r="Z4" s="145">
        <v>1</v>
      </c>
      <c r="AA4" s="145">
        <v>1</v>
      </c>
      <c r="AB4" s="145">
        <v>1</v>
      </c>
      <c r="AC4" s="145">
        <v>1</v>
      </c>
      <c r="AD4" s="145">
        <v>1</v>
      </c>
      <c r="AE4" s="145">
        <v>1</v>
      </c>
      <c r="AF4" s="145">
        <v>1</v>
      </c>
      <c r="AG4" s="145">
        <v>1</v>
      </c>
      <c r="AH4" s="15">
        <f t="shared" ref="AH4:AH67" si="0">FREQUENCY(I4:AG4,-1)</f>
        <v>0</v>
      </c>
      <c r="AI4" s="15">
        <f>COUNTBLANK(I4:AG4)</f>
        <v>0</v>
      </c>
      <c r="AJ4" s="15">
        <f>SUM(AH4:AI4)</f>
        <v>0</v>
      </c>
    </row>
    <row r="5" spans="2:36">
      <c r="B5" s="124"/>
      <c r="C5" s="125">
        <v>2</v>
      </c>
      <c r="D5" s="144">
        <v>7528500</v>
      </c>
      <c r="E5" s="144">
        <v>4050750</v>
      </c>
      <c r="F5" s="144">
        <v>0</v>
      </c>
      <c r="G5" s="144">
        <v>0</v>
      </c>
      <c r="H5" s="144">
        <v>975751.00919963513</v>
      </c>
      <c r="I5" s="145">
        <v>1</v>
      </c>
      <c r="J5" s="145">
        <v>1</v>
      </c>
      <c r="K5" s="145">
        <v>1</v>
      </c>
      <c r="L5" s="145">
        <v>1</v>
      </c>
      <c r="M5" s="145">
        <v>1</v>
      </c>
      <c r="N5" s="145">
        <v>1</v>
      </c>
      <c r="O5" s="145">
        <v>1</v>
      </c>
      <c r="P5" s="145">
        <v>1</v>
      </c>
      <c r="Q5" s="145">
        <v>1</v>
      </c>
      <c r="R5" s="145">
        <v>1</v>
      </c>
      <c r="S5" s="145">
        <v>1</v>
      </c>
      <c r="T5" s="145">
        <v>1</v>
      </c>
      <c r="U5" s="145">
        <v>1</v>
      </c>
      <c r="V5" s="145">
        <v>1</v>
      </c>
      <c r="W5" s="145">
        <v>1</v>
      </c>
      <c r="X5" s="145">
        <v>1</v>
      </c>
      <c r="Y5" s="145">
        <v>1</v>
      </c>
      <c r="Z5" s="145">
        <v>1</v>
      </c>
      <c r="AA5" s="145">
        <v>1</v>
      </c>
      <c r="AB5" s="145">
        <v>1</v>
      </c>
      <c r="AC5" s="145">
        <v>1</v>
      </c>
      <c r="AD5" s="145">
        <v>1</v>
      </c>
      <c r="AE5" s="145">
        <v>1</v>
      </c>
      <c r="AF5" s="145">
        <v>1</v>
      </c>
      <c r="AG5" s="145">
        <v>1</v>
      </c>
      <c r="AH5" s="15">
        <f t="shared" si="0"/>
        <v>0</v>
      </c>
      <c r="AI5" s="15">
        <f t="shared" ref="AI5:AI68" si="1">COUNTBLANK(I5:AG5)</f>
        <v>0</v>
      </c>
      <c r="AJ5" s="15">
        <f t="shared" ref="AJ5:AJ68" si="2">SUM(AH5:AI5)</f>
        <v>0</v>
      </c>
    </row>
    <row r="6" spans="2:36">
      <c r="B6" s="124"/>
      <c r="C6" s="125">
        <v>3</v>
      </c>
      <c r="D6" s="144">
        <v>7528500</v>
      </c>
      <c r="E6" s="144">
        <v>4050750</v>
      </c>
      <c r="F6" s="144">
        <v>0</v>
      </c>
      <c r="G6" s="144">
        <v>0</v>
      </c>
      <c r="H6" s="144">
        <v>975751.00919963513</v>
      </c>
      <c r="I6" s="145">
        <v>1</v>
      </c>
      <c r="J6" s="145">
        <v>1</v>
      </c>
      <c r="K6" s="145">
        <v>1</v>
      </c>
      <c r="L6" s="145">
        <v>1</v>
      </c>
      <c r="M6" s="145">
        <v>1</v>
      </c>
      <c r="N6" s="145">
        <v>1</v>
      </c>
      <c r="O6" s="145">
        <v>1</v>
      </c>
      <c r="P6" s="145">
        <v>1</v>
      </c>
      <c r="Q6" s="145">
        <v>1</v>
      </c>
      <c r="R6" s="145">
        <v>1</v>
      </c>
      <c r="S6" s="145">
        <v>1</v>
      </c>
      <c r="T6" s="145">
        <v>1</v>
      </c>
      <c r="U6" s="145">
        <v>1</v>
      </c>
      <c r="V6" s="145">
        <v>1</v>
      </c>
      <c r="W6" s="145">
        <v>1</v>
      </c>
      <c r="X6" s="145">
        <v>1</v>
      </c>
      <c r="Y6" s="145">
        <v>1</v>
      </c>
      <c r="Z6" s="145">
        <v>1</v>
      </c>
      <c r="AA6" s="145">
        <v>1</v>
      </c>
      <c r="AB6" s="145">
        <v>1</v>
      </c>
      <c r="AC6" s="145">
        <v>1</v>
      </c>
      <c r="AD6" s="145">
        <v>1</v>
      </c>
      <c r="AE6" s="145">
        <v>1</v>
      </c>
      <c r="AF6" s="145">
        <v>1</v>
      </c>
      <c r="AG6" s="145">
        <v>1</v>
      </c>
      <c r="AH6" s="15">
        <f t="shared" si="0"/>
        <v>0</v>
      </c>
      <c r="AI6" s="15">
        <f t="shared" si="1"/>
        <v>0</v>
      </c>
      <c r="AJ6" s="15">
        <f t="shared" si="2"/>
        <v>0</v>
      </c>
    </row>
    <row r="7" spans="2:36">
      <c r="B7" s="124"/>
      <c r="C7" s="125">
        <v>4</v>
      </c>
      <c r="D7" s="144">
        <v>7260000</v>
      </c>
      <c r="E7" s="144">
        <v>3906750</v>
      </c>
      <c r="F7" s="144">
        <v>0</v>
      </c>
      <c r="G7" s="144">
        <v>0</v>
      </c>
      <c r="H7" s="144">
        <v>975751.00919963513</v>
      </c>
      <c r="I7" s="145">
        <v>1</v>
      </c>
      <c r="J7" s="145">
        <v>1</v>
      </c>
      <c r="K7" s="145">
        <v>1</v>
      </c>
      <c r="L7" s="145">
        <v>1</v>
      </c>
      <c r="M7" s="145">
        <v>1</v>
      </c>
      <c r="N7" s="145">
        <v>1</v>
      </c>
      <c r="O7" s="145">
        <v>1</v>
      </c>
      <c r="P7" s="145">
        <v>1</v>
      </c>
      <c r="Q7" s="145">
        <v>1</v>
      </c>
      <c r="R7" s="145">
        <v>1</v>
      </c>
      <c r="S7" s="145">
        <v>0</v>
      </c>
      <c r="T7" s="145">
        <v>1</v>
      </c>
      <c r="U7" s="145">
        <v>1</v>
      </c>
      <c r="V7" s="145">
        <v>1</v>
      </c>
      <c r="W7" s="145">
        <v>1</v>
      </c>
      <c r="X7" s="145">
        <v>1</v>
      </c>
      <c r="Y7" s="145">
        <v>1</v>
      </c>
      <c r="Z7" s="145">
        <v>1</v>
      </c>
      <c r="AA7" s="145">
        <v>1</v>
      </c>
      <c r="AB7" s="145">
        <v>1</v>
      </c>
      <c r="AC7" s="145">
        <v>1</v>
      </c>
      <c r="AD7" s="145">
        <v>1</v>
      </c>
      <c r="AE7" s="145">
        <v>1</v>
      </c>
      <c r="AF7" s="145">
        <v>1</v>
      </c>
      <c r="AG7" s="145">
        <v>1</v>
      </c>
      <c r="AH7" s="15">
        <f t="shared" si="0"/>
        <v>0</v>
      </c>
      <c r="AI7" s="15">
        <f t="shared" si="1"/>
        <v>0</v>
      </c>
      <c r="AJ7" s="15">
        <f t="shared" si="2"/>
        <v>0</v>
      </c>
    </row>
    <row r="8" spans="2:36">
      <c r="B8" s="124"/>
      <c r="C8" s="125">
        <v>5</v>
      </c>
      <c r="D8" s="144">
        <v>7260000</v>
      </c>
      <c r="E8" s="144">
        <v>3906750</v>
      </c>
      <c r="F8" s="144">
        <v>0</v>
      </c>
      <c r="G8" s="144">
        <v>0</v>
      </c>
      <c r="H8" s="144">
        <v>975751.00919963513</v>
      </c>
      <c r="I8" s="145">
        <v>1</v>
      </c>
      <c r="J8" s="145">
        <v>1</v>
      </c>
      <c r="K8" s="145">
        <v>1</v>
      </c>
      <c r="L8" s="145">
        <v>1</v>
      </c>
      <c r="M8" s="145">
        <v>1</v>
      </c>
      <c r="N8" s="145">
        <v>1</v>
      </c>
      <c r="O8" s="145">
        <v>1</v>
      </c>
      <c r="P8" s="145">
        <v>1</v>
      </c>
      <c r="Q8" s="145">
        <v>1</v>
      </c>
      <c r="R8" s="145">
        <v>1</v>
      </c>
      <c r="S8" s="145">
        <v>0</v>
      </c>
      <c r="T8" s="145">
        <v>1</v>
      </c>
      <c r="U8" s="145">
        <v>1</v>
      </c>
      <c r="V8" s="145">
        <v>1</v>
      </c>
      <c r="W8" s="145">
        <v>1</v>
      </c>
      <c r="X8" s="145">
        <v>1</v>
      </c>
      <c r="Y8" s="145">
        <v>1</v>
      </c>
      <c r="Z8" s="145">
        <v>1</v>
      </c>
      <c r="AA8" s="145">
        <v>1</v>
      </c>
      <c r="AB8" s="145">
        <v>1</v>
      </c>
      <c r="AC8" s="145">
        <v>1</v>
      </c>
      <c r="AD8" s="145">
        <v>1</v>
      </c>
      <c r="AE8" s="145">
        <v>1</v>
      </c>
      <c r="AF8" s="145">
        <v>1</v>
      </c>
      <c r="AG8" s="145">
        <v>1</v>
      </c>
      <c r="AH8" s="15">
        <f t="shared" si="0"/>
        <v>0</v>
      </c>
      <c r="AI8" s="15">
        <f t="shared" si="1"/>
        <v>0</v>
      </c>
      <c r="AJ8" s="15">
        <f t="shared" si="2"/>
        <v>0</v>
      </c>
    </row>
    <row r="9" spans="2:36">
      <c r="B9" s="124"/>
      <c r="C9" s="125">
        <v>6</v>
      </c>
      <c r="D9" s="144">
        <v>7470848.4321658174</v>
      </c>
      <c r="E9" s="144">
        <v>4022652.3376481836</v>
      </c>
      <c r="F9" s="144">
        <v>0</v>
      </c>
      <c r="G9" s="144">
        <v>0</v>
      </c>
      <c r="H9" s="144">
        <v>975751.00919963513</v>
      </c>
      <c r="I9" s="145">
        <v>1</v>
      </c>
      <c r="J9" s="145">
        <v>1</v>
      </c>
      <c r="K9" s="145">
        <v>1</v>
      </c>
      <c r="L9" s="145">
        <v>1</v>
      </c>
      <c r="M9" s="145">
        <v>1</v>
      </c>
      <c r="N9" s="145">
        <v>1</v>
      </c>
      <c r="O9" s="145">
        <v>1</v>
      </c>
      <c r="P9" s="145">
        <v>1</v>
      </c>
      <c r="Q9" s="145">
        <v>1</v>
      </c>
      <c r="R9" s="145">
        <v>1</v>
      </c>
      <c r="S9" s="145">
        <v>2</v>
      </c>
      <c r="T9" s="145">
        <v>1</v>
      </c>
      <c r="U9" s="145">
        <v>1</v>
      </c>
      <c r="V9" s="145">
        <v>1</v>
      </c>
      <c r="W9" s="145">
        <v>1</v>
      </c>
      <c r="X9" s="145">
        <v>1</v>
      </c>
      <c r="Y9" s="145">
        <v>1</v>
      </c>
      <c r="Z9" s="145">
        <v>1</v>
      </c>
      <c r="AA9" s="145">
        <v>1</v>
      </c>
      <c r="AB9" s="145">
        <v>1</v>
      </c>
      <c r="AC9" s="145">
        <v>1</v>
      </c>
      <c r="AD9" s="145">
        <v>1</v>
      </c>
      <c r="AE9" s="145">
        <v>1</v>
      </c>
      <c r="AF9" s="145">
        <v>1</v>
      </c>
      <c r="AG9" s="145">
        <v>1</v>
      </c>
      <c r="AH9" s="15">
        <f t="shared" si="0"/>
        <v>0</v>
      </c>
      <c r="AI9" s="15">
        <f t="shared" si="1"/>
        <v>0</v>
      </c>
      <c r="AJ9" s="15">
        <f t="shared" si="2"/>
        <v>0</v>
      </c>
    </row>
    <row r="10" spans="2:36">
      <c r="B10" s="124"/>
      <c r="C10" s="125">
        <v>7</v>
      </c>
      <c r="D10" s="144">
        <v>7470848.4321658174</v>
      </c>
      <c r="E10" s="144">
        <v>4022652.3376481836</v>
      </c>
      <c r="F10" s="144">
        <v>0</v>
      </c>
      <c r="G10" s="144">
        <v>0</v>
      </c>
      <c r="H10" s="144">
        <v>975751.00919963513</v>
      </c>
      <c r="I10" s="145">
        <v>1</v>
      </c>
      <c r="J10" s="145">
        <v>1</v>
      </c>
      <c r="K10" s="145">
        <v>1</v>
      </c>
      <c r="L10" s="145">
        <v>1</v>
      </c>
      <c r="M10" s="145">
        <v>1</v>
      </c>
      <c r="N10" s="145">
        <v>1</v>
      </c>
      <c r="O10" s="145">
        <v>1</v>
      </c>
      <c r="P10" s="145">
        <v>1</v>
      </c>
      <c r="Q10" s="145">
        <v>1</v>
      </c>
      <c r="R10" s="145">
        <v>1</v>
      </c>
      <c r="S10" s="145">
        <v>2</v>
      </c>
      <c r="T10" s="145">
        <v>1</v>
      </c>
      <c r="U10" s="145">
        <v>1</v>
      </c>
      <c r="V10" s="145">
        <v>1</v>
      </c>
      <c r="W10" s="145">
        <v>1</v>
      </c>
      <c r="X10" s="145">
        <v>1</v>
      </c>
      <c r="Y10" s="145">
        <v>1</v>
      </c>
      <c r="Z10" s="145">
        <v>1</v>
      </c>
      <c r="AA10" s="145">
        <v>1</v>
      </c>
      <c r="AB10" s="145">
        <v>1</v>
      </c>
      <c r="AC10" s="145">
        <v>1</v>
      </c>
      <c r="AD10" s="145">
        <v>1</v>
      </c>
      <c r="AE10" s="145">
        <v>1</v>
      </c>
      <c r="AF10" s="145">
        <v>1</v>
      </c>
      <c r="AG10" s="145">
        <v>1</v>
      </c>
      <c r="AH10" s="15">
        <f t="shared" si="0"/>
        <v>0</v>
      </c>
      <c r="AI10" s="15">
        <f t="shared" si="1"/>
        <v>0</v>
      </c>
      <c r="AJ10" s="15">
        <f t="shared" si="2"/>
        <v>0</v>
      </c>
    </row>
    <row r="11" spans="2:36">
      <c r="B11" s="124"/>
      <c r="C11" s="125">
        <v>8</v>
      </c>
      <c r="D11" s="144">
        <v>7470848.4321658174</v>
      </c>
      <c r="E11" s="144">
        <v>4022652.3376481836</v>
      </c>
      <c r="F11" s="144">
        <v>0</v>
      </c>
      <c r="G11" s="144">
        <v>0</v>
      </c>
      <c r="H11" s="144">
        <v>975751.00919963513</v>
      </c>
      <c r="I11" s="145">
        <v>1</v>
      </c>
      <c r="J11" s="145">
        <v>1</v>
      </c>
      <c r="K11" s="145">
        <v>1</v>
      </c>
      <c r="L11" s="145">
        <v>1</v>
      </c>
      <c r="M11" s="145">
        <v>1</v>
      </c>
      <c r="N11" s="145">
        <v>1</v>
      </c>
      <c r="O11" s="145">
        <v>1</v>
      </c>
      <c r="P11" s="145">
        <v>1</v>
      </c>
      <c r="Q11" s="145">
        <v>1</v>
      </c>
      <c r="R11" s="145">
        <v>1</v>
      </c>
      <c r="S11" s="145">
        <v>2</v>
      </c>
      <c r="T11" s="145">
        <v>1</v>
      </c>
      <c r="U11" s="145">
        <v>1</v>
      </c>
      <c r="V11" s="145">
        <v>1</v>
      </c>
      <c r="W11" s="145">
        <v>1</v>
      </c>
      <c r="X11" s="145">
        <v>1</v>
      </c>
      <c r="Y11" s="145">
        <v>1</v>
      </c>
      <c r="Z11" s="145">
        <v>1</v>
      </c>
      <c r="AA11" s="145">
        <v>1</v>
      </c>
      <c r="AB11" s="145">
        <v>1</v>
      </c>
      <c r="AC11" s="145">
        <v>1</v>
      </c>
      <c r="AD11" s="145">
        <v>1</v>
      </c>
      <c r="AE11" s="145">
        <v>1</v>
      </c>
      <c r="AF11" s="145">
        <v>1</v>
      </c>
      <c r="AG11" s="145">
        <v>1</v>
      </c>
      <c r="AH11" s="15">
        <f t="shared" si="0"/>
        <v>0</v>
      </c>
      <c r="AI11" s="15">
        <f t="shared" si="1"/>
        <v>0</v>
      </c>
      <c r="AJ11" s="15">
        <f t="shared" si="2"/>
        <v>0</v>
      </c>
    </row>
    <row r="12" spans="2:36">
      <c r="B12" s="124"/>
      <c r="C12" s="125">
        <v>9</v>
      </c>
      <c r="D12" s="144">
        <v>7118348.4321658174</v>
      </c>
      <c r="E12" s="144">
        <v>3854652.3376481836</v>
      </c>
      <c r="F12" s="144">
        <v>0</v>
      </c>
      <c r="G12" s="144">
        <v>0</v>
      </c>
      <c r="H12" s="144">
        <v>975751.00919963513</v>
      </c>
      <c r="I12" s="145">
        <v>1</v>
      </c>
      <c r="J12" s="145">
        <v>1</v>
      </c>
      <c r="K12" s="145">
        <v>1</v>
      </c>
      <c r="L12" s="145">
        <v>1</v>
      </c>
      <c r="M12" s="145">
        <v>1</v>
      </c>
      <c r="N12" s="145">
        <v>1</v>
      </c>
      <c r="O12" s="145">
        <v>0</v>
      </c>
      <c r="P12" s="145">
        <v>1</v>
      </c>
      <c r="Q12" s="145">
        <v>1</v>
      </c>
      <c r="R12" s="145">
        <v>1</v>
      </c>
      <c r="S12" s="145">
        <v>2</v>
      </c>
      <c r="T12" s="145">
        <v>1</v>
      </c>
      <c r="U12" s="145">
        <v>1</v>
      </c>
      <c r="V12" s="145">
        <v>1</v>
      </c>
      <c r="W12" s="145">
        <v>1</v>
      </c>
      <c r="X12" s="145">
        <v>1</v>
      </c>
      <c r="Y12" s="145">
        <v>1</v>
      </c>
      <c r="Z12" s="145">
        <v>1</v>
      </c>
      <c r="AA12" s="145">
        <v>1</v>
      </c>
      <c r="AB12" s="145">
        <v>1</v>
      </c>
      <c r="AC12" s="145">
        <v>1</v>
      </c>
      <c r="AD12" s="145">
        <v>1</v>
      </c>
      <c r="AE12" s="145">
        <v>1</v>
      </c>
      <c r="AF12" s="145">
        <v>1</v>
      </c>
      <c r="AG12" s="145">
        <v>1</v>
      </c>
      <c r="AH12" s="15">
        <f t="shared" si="0"/>
        <v>0</v>
      </c>
      <c r="AI12" s="15">
        <f t="shared" si="1"/>
        <v>0</v>
      </c>
      <c r="AJ12" s="15">
        <f t="shared" si="2"/>
        <v>0</v>
      </c>
    </row>
    <row r="13" spans="2:36">
      <c r="B13" s="124"/>
      <c r="C13" s="125">
        <v>10</v>
      </c>
      <c r="D13" s="144">
        <v>7210950.7897704132</v>
      </c>
      <c r="E13" s="144">
        <v>3887557.875903212</v>
      </c>
      <c r="F13" s="144">
        <v>0</v>
      </c>
      <c r="G13" s="144">
        <v>0</v>
      </c>
      <c r="H13" s="144">
        <v>975751.00919963513</v>
      </c>
      <c r="I13" s="145">
        <v>1</v>
      </c>
      <c r="J13" s="145">
        <v>1</v>
      </c>
      <c r="K13" s="145">
        <v>1</v>
      </c>
      <c r="L13" s="145">
        <v>1</v>
      </c>
      <c r="M13" s="145">
        <v>1</v>
      </c>
      <c r="N13" s="145">
        <v>1</v>
      </c>
      <c r="O13" s="145">
        <v>2</v>
      </c>
      <c r="P13" s="145">
        <v>1</v>
      </c>
      <c r="Q13" s="145">
        <v>1</v>
      </c>
      <c r="R13" s="145">
        <v>1</v>
      </c>
      <c r="S13" s="145">
        <v>2</v>
      </c>
      <c r="T13" s="145">
        <v>1</v>
      </c>
      <c r="U13" s="145">
        <v>0</v>
      </c>
      <c r="V13" s="145">
        <v>1</v>
      </c>
      <c r="W13" s="145">
        <v>1</v>
      </c>
      <c r="X13" s="145">
        <v>1</v>
      </c>
      <c r="Y13" s="145">
        <v>1</v>
      </c>
      <c r="Z13" s="145">
        <v>1</v>
      </c>
      <c r="AA13" s="145">
        <v>1</v>
      </c>
      <c r="AB13" s="145">
        <v>1</v>
      </c>
      <c r="AC13" s="145">
        <v>1</v>
      </c>
      <c r="AD13" s="145">
        <v>1</v>
      </c>
      <c r="AE13" s="145">
        <v>1</v>
      </c>
      <c r="AF13" s="145">
        <v>1</v>
      </c>
      <c r="AG13" s="145">
        <v>1</v>
      </c>
      <c r="AH13" s="15">
        <f t="shared" si="0"/>
        <v>0</v>
      </c>
      <c r="AI13" s="15">
        <f t="shared" si="1"/>
        <v>0</v>
      </c>
      <c r="AJ13" s="15">
        <f t="shared" si="2"/>
        <v>0</v>
      </c>
    </row>
    <row r="14" spans="2:36">
      <c r="B14" s="124"/>
      <c r="C14" s="125">
        <v>11</v>
      </c>
      <c r="D14" s="144">
        <v>6445102.3576045949</v>
      </c>
      <c r="E14" s="144">
        <v>3444979.7936265003</v>
      </c>
      <c r="F14" s="144">
        <v>0</v>
      </c>
      <c r="G14" s="144">
        <v>0</v>
      </c>
      <c r="H14" s="144">
        <v>975751.00919963513</v>
      </c>
      <c r="I14" s="145">
        <v>1</v>
      </c>
      <c r="J14" s="145">
        <v>1</v>
      </c>
      <c r="K14" s="145">
        <v>1</v>
      </c>
      <c r="L14" s="145">
        <v>1</v>
      </c>
      <c r="M14" s="145">
        <v>1</v>
      </c>
      <c r="N14" s="145">
        <v>1</v>
      </c>
      <c r="O14" s="145">
        <v>2</v>
      </c>
      <c r="P14" s="145">
        <v>1</v>
      </c>
      <c r="Q14" s="145">
        <v>1</v>
      </c>
      <c r="R14" s="145">
        <v>1</v>
      </c>
      <c r="S14" s="145">
        <v>0</v>
      </c>
      <c r="T14" s="145">
        <v>1</v>
      </c>
      <c r="U14" s="145">
        <v>0</v>
      </c>
      <c r="V14" s="145">
        <v>1</v>
      </c>
      <c r="W14" s="145">
        <v>1</v>
      </c>
      <c r="X14" s="145">
        <v>1</v>
      </c>
      <c r="Y14" s="145">
        <v>1</v>
      </c>
      <c r="Z14" s="145">
        <v>1</v>
      </c>
      <c r="AA14" s="145">
        <v>1</v>
      </c>
      <c r="AB14" s="145">
        <v>1</v>
      </c>
      <c r="AC14" s="145">
        <v>1</v>
      </c>
      <c r="AD14" s="145">
        <v>1</v>
      </c>
      <c r="AE14" s="145">
        <v>0</v>
      </c>
      <c r="AF14" s="145">
        <v>1</v>
      </c>
      <c r="AG14" s="145">
        <v>0</v>
      </c>
      <c r="AH14" s="15">
        <f t="shared" si="0"/>
        <v>0</v>
      </c>
      <c r="AI14" s="15">
        <f t="shared" si="1"/>
        <v>0</v>
      </c>
      <c r="AJ14" s="15">
        <f t="shared" si="2"/>
        <v>0</v>
      </c>
    </row>
    <row r="15" spans="2:36">
      <c r="B15" s="124"/>
      <c r="C15" s="125">
        <v>12</v>
      </c>
      <c r="D15" s="144">
        <v>6883496.0862678653</v>
      </c>
      <c r="E15" s="144">
        <v>3686480.1292463555</v>
      </c>
      <c r="F15" s="144">
        <v>0</v>
      </c>
      <c r="G15" s="144">
        <v>0</v>
      </c>
      <c r="H15" s="144">
        <v>975751.00919963513</v>
      </c>
      <c r="I15" s="145">
        <v>1</v>
      </c>
      <c r="J15" s="145">
        <v>1</v>
      </c>
      <c r="K15" s="145">
        <v>1</v>
      </c>
      <c r="L15" s="145">
        <v>1</v>
      </c>
      <c r="M15" s="145">
        <v>1</v>
      </c>
      <c r="N15" s="145">
        <v>1</v>
      </c>
      <c r="O15" s="145">
        <v>2</v>
      </c>
      <c r="P15" s="145">
        <v>1</v>
      </c>
      <c r="Q15" s="145">
        <v>1</v>
      </c>
      <c r="R15" s="145">
        <v>1</v>
      </c>
      <c r="S15" s="145">
        <v>0</v>
      </c>
      <c r="T15" s="145">
        <v>1</v>
      </c>
      <c r="U15" s="145">
        <v>2</v>
      </c>
      <c r="V15" s="145">
        <v>1</v>
      </c>
      <c r="W15" s="145">
        <v>1</v>
      </c>
      <c r="X15" s="145">
        <v>1</v>
      </c>
      <c r="Y15" s="145">
        <v>1</v>
      </c>
      <c r="Z15" s="145">
        <v>1</v>
      </c>
      <c r="AA15" s="145">
        <v>1</v>
      </c>
      <c r="AB15" s="145">
        <v>1</v>
      </c>
      <c r="AC15" s="145">
        <v>1</v>
      </c>
      <c r="AD15" s="145">
        <v>1</v>
      </c>
      <c r="AE15" s="145">
        <v>2</v>
      </c>
      <c r="AF15" s="145">
        <v>1</v>
      </c>
      <c r="AG15" s="145">
        <v>0</v>
      </c>
      <c r="AH15" s="15">
        <f t="shared" si="0"/>
        <v>0</v>
      </c>
      <c r="AI15" s="15">
        <f t="shared" si="1"/>
        <v>0</v>
      </c>
      <c r="AJ15" s="15">
        <f t="shared" si="2"/>
        <v>0</v>
      </c>
    </row>
    <row r="16" spans="2:36">
      <c r="B16" s="124"/>
      <c r="C16" s="125">
        <v>13</v>
      </c>
      <c r="D16" s="144">
        <v>7419661.0205254918</v>
      </c>
      <c r="E16" s="144">
        <v>3981417.2642048453</v>
      </c>
      <c r="F16" s="144">
        <v>0</v>
      </c>
      <c r="G16" s="144">
        <v>0</v>
      </c>
      <c r="H16" s="144">
        <v>975751.00919963513</v>
      </c>
      <c r="I16" s="145">
        <v>1</v>
      </c>
      <c r="J16" s="145">
        <v>1</v>
      </c>
      <c r="K16" s="145">
        <v>1</v>
      </c>
      <c r="L16" s="145">
        <v>1</v>
      </c>
      <c r="M16" s="145">
        <v>1</v>
      </c>
      <c r="N16" s="145">
        <v>1</v>
      </c>
      <c r="O16" s="145">
        <v>2</v>
      </c>
      <c r="P16" s="145">
        <v>1</v>
      </c>
      <c r="Q16" s="145">
        <v>1</v>
      </c>
      <c r="R16" s="145">
        <v>1</v>
      </c>
      <c r="S16" s="145">
        <v>3</v>
      </c>
      <c r="T16" s="145">
        <v>1</v>
      </c>
      <c r="U16" s="145">
        <v>2</v>
      </c>
      <c r="V16" s="145">
        <v>1</v>
      </c>
      <c r="W16" s="145">
        <v>1</v>
      </c>
      <c r="X16" s="145">
        <v>1</v>
      </c>
      <c r="Y16" s="145">
        <v>1</v>
      </c>
      <c r="Z16" s="145">
        <v>1</v>
      </c>
      <c r="AA16" s="145">
        <v>1</v>
      </c>
      <c r="AB16" s="145">
        <v>1</v>
      </c>
      <c r="AC16" s="145">
        <v>1</v>
      </c>
      <c r="AD16" s="145">
        <v>1</v>
      </c>
      <c r="AE16" s="145">
        <v>2</v>
      </c>
      <c r="AF16" s="145">
        <v>1</v>
      </c>
      <c r="AG16" s="145">
        <v>2</v>
      </c>
      <c r="AH16" s="15">
        <f t="shared" si="0"/>
        <v>0</v>
      </c>
      <c r="AI16" s="15">
        <f t="shared" si="1"/>
        <v>0</v>
      </c>
      <c r="AJ16" s="15">
        <f t="shared" si="2"/>
        <v>0</v>
      </c>
    </row>
    <row r="17" spans="2:36">
      <c r="B17" s="124"/>
      <c r="C17" s="125">
        <v>14</v>
      </c>
      <c r="D17" s="144">
        <v>7149661.0205254918</v>
      </c>
      <c r="E17" s="144">
        <v>3833936.1845829231</v>
      </c>
      <c r="F17" s="144">
        <v>0</v>
      </c>
      <c r="G17" s="144">
        <v>0</v>
      </c>
      <c r="H17" s="144">
        <v>975751.00919963513</v>
      </c>
      <c r="I17" s="145">
        <v>1</v>
      </c>
      <c r="J17" s="145">
        <v>1</v>
      </c>
      <c r="K17" s="145">
        <v>1</v>
      </c>
      <c r="L17" s="145">
        <v>1</v>
      </c>
      <c r="M17" s="145">
        <v>1</v>
      </c>
      <c r="N17" s="145">
        <v>1</v>
      </c>
      <c r="O17" s="145">
        <v>2</v>
      </c>
      <c r="P17" s="145">
        <v>1</v>
      </c>
      <c r="Q17" s="145">
        <v>1</v>
      </c>
      <c r="R17" s="145">
        <v>1</v>
      </c>
      <c r="S17" s="145">
        <v>3</v>
      </c>
      <c r="T17" s="145">
        <v>1</v>
      </c>
      <c r="U17" s="145">
        <v>2</v>
      </c>
      <c r="V17" s="145">
        <v>1</v>
      </c>
      <c r="W17" s="145">
        <v>0</v>
      </c>
      <c r="X17" s="145">
        <v>1</v>
      </c>
      <c r="Y17" s="145">
        <v>1</v>
      </c>
      <c r="Z17" s="145">
        <v>1</v>
      </c>
      <c r="AA17" s="145">
        <v>1</v>
      </c>
      <c r="AB17" s="145">
        <v>1</v>
      </c>
      <c r="AC17" s="145">
        <v>1</v>
      </c>
      <c r="AD17" s="145">
        <v>1</v>
      </c>
      <c r="AE17" s="145">
        <v>2</v>
      </c>
      <c r="AF17" s="145">
        <v>1</v>
      </c>
      <c r="AG17" s="145">
        <v>2</v>
      </c>
      <c r="AH17" s="15">
        <f t="shared" si="0"/>
        <v>0</v>
      </c>
      <c r="AI17" s="15">
        <f t="shared" si="1"/>
        <v>0</v>
      </c>
      <c r="AJ17" s="15">
        <f t="shared" si="2"/>
        <v>0</v>
      </c>
    </row>
    <row r="18" spans="2:36">
      <c r="B18" s="124"/>
      <c r="C18" s="125">
        <v>15</v>
      </c>
      <c r="D18" s="144">
        <v>7149661.0205254918</v>
      </c>
      <c r="E18" s="144">
        <v>3833936.1845829231</v>
      </c>
      <c r="F18" s="144">
        <v>0</v>
      </c>
      <c r="G18" s="144">
        <v>0</v>
      </c>
      <c r="H18" s="144">
        <v>975751.00919963513</v>
      </c>
      <c r="I18" s="145">
        <v>1</v>
      </c>
      <c r="J18" s="145">
        <v>1</v>
      </c>
      <c r="K18" s="145">
        <v>1</v>
      </c>
      <c r="L18" s="145">
        <v>1</v>
      </c>
      <c r="M18" s="145">
        <v>1</v>
      </c>
      <c r="N18" s="145">
        <v>1</v>
      </c>
      <c r="O18" s="145">
        <v>2</v>
      </c>
      <c r="P18" s="145">
        <v>1</v>
      </c>
      <c r="Q18" s="145">
        <v>1</v>
      </c>
      <c r="R18" s="145">
        <v>1</v>
      </c>
      <c r="S18" s="145">
        <v>3</v>
      </c>
      <c r="T18" s="145">
        <v>1</v>
      </c>
      <c r="U18" s="145">
        <v>2</v>
      </c>
      <c r="V18" s="145">
        <v>1</v>
      </c>
      <c r="W18" s="145">
        <v>0</v>
      </c>
      <c r="X18" s="145">
        <v>1</v>
      </c>
      <c r="Y18" s="145">
        <v>1</v>
      </c>
      <c r="Z18" s="145">
        <v>1</v>
      </c>
      <c r="AA18" s="145">
        <v>1</v>
      </c>
      <c r="AB18" s="145">
        <v>1</v>
      </c>
      <c r="AC18" s="145">
        <v>1</v>
      </c>
      <c r="AD18" s="145">
        <v>1</v>
      </c>
      <c r="AE18" s="145">
        <v>2</v>
      </c>
      <c r="AF18" s="145">
        <v>1</v>
      </c>
      <c r="AG18" s="145">
        <v>2</v>
      </c>
      <c r="AH18" s="15">
        <f t="shared" si="0"/>
        <v>0</v>
      </c>
      <c r="AI18" s="15">
        <f t="shared" si="1"/>
        <v>0</v>
      </c>
      <c r="AJ18" s="15">
        <f t="shared" si="2"/>
        <v>0</v>
      </c>
    </row>
    <row r="19" spans="2:36">
      <c r="B19" s="124"/>
      <c r="C19" s="125">
        <v>16</v>
      </c>
      <c r="D19" s="144">
        <v>7026021.7410494257</v>
      </c>
      <c r="E19" s="144">
        <v>3756694.7682575067</v>
      </c>
      <c r="F19" s="144">
        <v>0</v>
      </c>
      <c r="G19" s="144">
        <v>0</v>
      </c>
      <c r="H19" s="144">
        <v>975751.00919963513</v>
      </c>
      <c r="I19" s="145">
        <v>1</v>
      </c>
      <c r="J19" s="145">
        <v>1</v>
      </c>
      <c r="K19" s="145">
        <v>1</v>
      </c>
      <c r="L19" s="145">
        <v>1</v>
      </c>
      <c r="M19" s="145">
        <v>1</v>
      </c>
      <c r="N19" s="145">
        <v>1</v>
      </c>
      <c r="O19" s="145">
        <v>0</v>
      </c>
      <c r="P19" s="145">
        <v>1</v>
      </c>
      <c r="Q19" s="145">
        <v>1</v>
      </c>
      <c r="R19" s="145">
        <v>1</v>
      </c>
      <c r="S19" s="145">
        <v>3</v>
      </c>
      <c r="T19" s="145">
        <v>1</v>
      </c>
      <c r="U19" s="145">
        <v>2</v>
      </c>
      <c r="V19" s="145">
        <v>1</v>
      </c>
      <c r="W19" s="145">
        <v>2</v>
      </c>
      <c r="X19" s="145">
        <v>1</v>
      </c>
      <c r="Y19" s="145">
        <v>1</v>
      </c>
      <c r="Z19" s="145">
        <v>1</v>
      </c>
      <c r="AA19" s="145">
        <v>1</v>
      </c>
      <c r="AB19" s="145">
        <v>1</v>
      </c>
      <c r="AC19" s="145">
        <v>1</v>
      </c>
      <c r="AD19" s="145">
        <v>1</v>
      </c>
      <c r="AE19" s="145">
        <v>2</v>
      </c>
      <c r="AF19" s="145">
        <v>1</v>
      </c>
      <c r="AG19" s="145">
        <v>2</v>
      </c>
      <c r="AH19" s="15">
        <f t="shared" si="0"/>
        <v>0</v>
      </c>
      <c r="AI19" s="15">
        <f t="shared" si="1"/>
        <v>0</v>
      </c>
      <c r="AJ19" s="15">
        <f t="shared" si="2"/>
        <v>0</v>
      </c>
    </row>
    <row r="20" spans="2:36">
      <c r="B20" s="124"/>
      <c r="C20" s="125">
        <v>17</v>
      </c>
      <c r="D20" s="144">
        <v>6733521.7410494257</v>
      </c>
      <c r="E20" s="144">
        <v>3600221.5417394848</v>
      </c>
      <c r="F20" s="144">
        <v>0</v>
      </c>
      <c r="G20" s="144">
        <v>0</v>
      </c>
      <c r="H20" s="144">
        <v>975751.00919963513</v>
      </c>
      <c r="I20" s="145">
        <v>1</v>
      </c>
      <c r="J20" s="145">
        <v>1</v>
      </c>
      <c r="K20" s="145">
        <v>1</v>
      </c>
      <c r="L20" s="145">
        <v>0</v>
      </c>
      <c r="M20" s="145">
        <v>1</v>
      </c>
      <c r="N20" s="145">
        <v>1</v>
      </c>
      <c r="O20" s="145">
        <v>0</v>
      </c>
      <c r="P20" s="145">
        <v>1</v>
      </c>
      <c r="Q20" s="145">
        <v>1</v>
      </c>
      <c r="R20" s="145">
        <v>1</v>
      </c>
      <c r="S20" s="145">
        <v>3</v>
      </c>
      <c r="T20" s="145">
        <v>1</v>
      </c>
      <c r="U20" s="145">
        <v>2</v>
      </c>
      <c r="V20" s="145">
        <v>1</v>
      </c>
      <c r="W20" s="145">
        <v>2</v>
      </c>
      <c r="X20" s="145">
        <v>1</v>
      </c>
      <c r="Y20" s="145">
        <v>1</v>
      </c>
      <c r="Z20" s="145">
        <v>1</v>
      </c>
      <c r="AA20" s="145">
        <v>1</v>
      </c>
      <c r="AB20" s="145">
        <v>1</v>
      </c>
      <c r="AC20" s="145">
        <v>1</v>
      </c>
      <c r="AD20" s="145">
        <v>1</v>
      </c>
      <c r="AE20" s="145">
        <v>2</v>
      </c>
      <c r="AF20" s="145">
        <v>1</v>
      </c>
      <c r="AG20" s="145">
        <v>2</v>
      </c>
      <c r="AH20" s="15">
        <f t="shared" si="0"/>
        <v>0</v>
      </c>
      <c r="AI20" s="15">
        <f t="shared" si="1"/>
        <v>0</v>
      </c>
      <c r="AJ20" s="15">
        <f t="shared" si="2"/>
        <v>0</v>
      </c>
    </row>
    <row r="21" spans="2:36">
      <c r="B21" s="124"/>
      <c r="C21" s="125">
        <v>18</v>
      </c>
      <c r="D21" s="144">
        <v>6594168.2302345959</v>
      </c>
      <c r="E21" s="144">
        <v>3527331.9393636873</v>
      </c>
      <c r="F21" s="144">
        <v>0</v>
      </c>
      <c r="G21" s="144">
        <v>0</v>
      </c>
      <c r="H21" s="144">
        <v>975751.00919963513</v>
      </c>
      <c r="I21" s="145">
        <v>1</v>
      </c>
      <c r="J21" s="145">
        <v>1</v>
      </c>
      <c r="K21" s="145">
        <v>1</v>
      </c>
      <c r="L21" s="145">
        <v>0</v>
      </c>
      <c r="M21" s="145">
        <v>1</v>
      </c>
      <c r="N21" s="145">
        <v>1</v>
      </c>
      <c r="O21" s="145">
        <v>3</v>
      </c>
      <c r="P21" s="145">
        <v>1</v>
      </c>
      <c r="Q21" s="145">
        <v>1</v>
      </c>
      <c r="R21" s="145">
        <v>1</v>
      </c>
      <c r="S21" s="145">
        <v>3</v>
      </c>
      <c r="T21" s="145">
        <v>1</v>
      </c>
      <c r="U21" s="145">
        <v>0</v>
      </c>
      <c r="V21" s="145">
        <v>1</v>
      </c>
      <c r="W21" s="145">
        <v>2</v>
      </c>
      <c r="X21" s="145">
        <v>1</v>
      </c>
      <c r="Y21" s="145">
        <v>1</v>
      </c>
      <c r="Z21" s="145">
        <v>1</v>
      </c>
      <c r="AA21" s="145">
        <v>1</v>
      </c>
      <c r="AB21" s="145">
        <v>1</v>
      </c>
      <c r="AC21" s="145">
        <v>1</v>
      </c>
      <c r="AD21" s="145">
        <v>1</v>
      </c>
      <c r="AE21" s="145">
        <v>0</v>
      </c>
      <c r="AF21" s="145">
        <v>1</v>
      </c>
      <c r="AG21" s="145">
        <v>2</v>
      </c>
      <c r="AH21" s="15">
        <f t="shared" si="0"/>
        <v>0</v>
      </c>
      <c r="AI21" s="15">
        <f t="shared" si="1"/>
        <v>0</v>
      </c>
      <c r="AJ21" s="15">
        <f t="shared" si="2"/>
        <v>0</v>
      </c>
    </row>
    <row r="22" spans="2:36">
      <c r="B22" s="124"/>
      <c r="C22" s="125">
        <v>19</v>
      </c>
      <c r="D22" s="144">
        <v>6324904.7026361898</v>
      </c>
      <c r="E22" s="144">
        <v>3388736.4739375398</v>
      </c>
      <c r="F22" s="144">
        <v>0</v>
      </c>
      <c r="G22" s="144">
        <v>0</v>
      </c>
      <c r="H22" s="144">
        <v>975751.00919963513</v>
      </c>
      <c r="I22" s="145">
        <v>1</v>
      </c>
      <c r="J22" s="145">
        <v>1</v>
      </c>
      <c r="K22" s="145">
        <v>1</v>
      </c>
      <c r="L22" s="145">
        <v>2</v>
      </c>
      <c r="M22" s="145">
        <v>1</v>
      </c>
      <c r="N22" s="145">
        <v>1</v>
      </c>
      <c r="O22" s="145">
        <v>3</v>
      </c>
      <c r="P22" s="145">
        <v>1</v>
      </c>
      <c r="Q22" s="145">
        <v>0</v>
      </c>
      <c r="R22" s="145">
        <v>1</v>
      </c>
      <c r="S22" s="145">
        <v>3</v>
      </c>
      <c r="T22" s="145">
        <v>1</v>
      </c>
      <c r="U22" s="145">
        <v>0</v>
      </c>
      <c r="V22" s="145">
        <v>1</v>
      </c>
      <c r="W22" s="145">
        <v>2</v>
      </c>
      <c r="X22" s="145">
        <v>1</v>
      </c>
      <c r="Y22" s="145">
        <v>1</v>
      </c>
      <c r="Z22" s="145">
        <v>1</v>
      </c>
      <c r="AA22" s="145">
        <v>1</v>
      </c>
      <c r="AB22" s="145">
        <v>1</v>
      </c>
      <c r="AC22" s="145">
        <v>1</v>
      </c>
      <c r="AD22" s="145">
        <v>1</v>
      </c>
      <c r="AE22" s="145">
        <v>0</v>
      </c>
      <c r="AF22" s="145">
        <v>1</v>
      </c>
      <c r="AG22" s="145">
        <v>0</v>
      </c>
      <c r="AH22" s="15">
        <f t="shared" si="0"/>
        <v>0</v>
      </c>
      <c r="AI22" s="15">
        <f t="shared" si="1"/>
        <v>0</v>
      </c>
      <c r="AJ22" s="15">
        <f t="shared" si="2"/>
        <v>0</v>
      </c>
    </row>
    <row r="23" spans="2:36">
      <c r="B23" s="124"/>
      <c r="C23" s="125">
        <v>20</v>
      </c>
      <c r="D23" s="144">
        <v>6780145.1312514907</v>
      </c>
      <c r="E23" s="144">
        <v>3636242.05320204</v>
      </c>
      <c r="F23" s="144">
        <v>0</v>
      </c>
      <c r="G23" s="144">
        <v>0</v>
      </c>
      <c r="H23" s="144">
        <v>975751.00919963513</v>
      </c>
      <c r="I23" s="145">
        <v>1</v>
      </c>
      <c r="J23" s="145">
        <v>1</v>
      </c>
      <c r="K23" s="145">
        <v>1</v>
      </c>
      <c r="L23" s="145">
        <v>2</v>
      </c>
      <c r="M23" s="145">
        <v>1</v>
      </c>
      <c r="N23" s="145">
        <v>1</v>
      </c>
      <c r="O23" s="145">
        <v>3</v>
      </c>
      <c r="P23" s="145">
        <v>1</v>
      </c>
      <c r="Q23" s="145">
        <v>0</v>
      </c>
      <c r="R23" s="145">
        <v>1</v>
      </c>
      <c r="S23" s="145">
        <v>3</v>
      </c>
      <c r="T23" s="145">
        <v>1</v>
      </c>
      <c r="U23" s="145">
        <v>3</v>
      </c>
      <c r="V23" s="145">
        <v>1</v>
      </c>
      <c r="W23" s="145">
        <v>2</v>
      </c>
      <c r="X23" s="145">
        <v>1</v>
      </c>
      <c r="Y23" s="145">
        <v>1</v>
      </c>
      <c r="Z23" s="145">
        <v>1</v>
      </c>
      <c r="AA23" s="145">
        <v>1</v>
      </c>
      <c r="AB23" s="145">
        <v>1</v>
      </c>
      <c r="AC23" s="145">
        <v>1</v>
      </c>
      <c r="AD23" s="145">
        <v>1</v>
      </c>
      <c r="AE23" s="145">
        <v>3</v>
      </c>
      <c r="AF23" s="145">
        <v>1</v>
      </c>
      <c r="AG23" s="145">
        <v>0</v>
      </c>
      <c r="AH23" s="15">
        <f t="shared" si="0"/>
        <v>0</v>
      </c>
      <c r="AI23" s="15">
        <f t="shared" si="1"/>
        <v>0</v>
      </c>
      <c r="AJ23" s="15">
        <f t="shared" si="2"/>
        <v>0</v>
      </c>
    </row>
    <row r="24" spans="2:36">
      <c r="B24" s="124"/>
      <c r="C24" s="125">
        <v>21</v>
      </c>
      <c r="D24" s="144">
        <v>6978027.2265594946</v>
      </c>
      <c r="E24" s="144">
        <v>3748897.0543903951</v>
      </c>
      <c r="F24" s="144">
        <v>0</v>
      </c>
      <c r="G24" s="144">
        <v>0</v>
      </c>
      <c r="H24" s="144">
        <v>975751.00919963513</v>
      </c>
      <c r="I24" s="145">
        <v>1</v>
      </c>
      <c r="J24" s="145">
        <v>1</v>
      </c>
      <c r="K24" s="145">
        <v>0</v>
      </c>
      <c r="L24" s="145">
        <v>2</v>
      </c>
      <c r="M24" s="145">
        <v>1</v>
      </c>
      <c r="N24" s="145">
        <v>1</v>
      </c>
      <c r="O24" s="145">
        <v>3</v>
      </c>
      <c r="P24" s="145">
        <v>1</v>
      </c>
      <c r="Q24" s="145">
        <v>2</v>
      </c>
      <c r="R24" s="145">
        <v>1</v>
      </c>
      <c r="S24" s="145">
        <v>3</v>
      </c>
      <c r="T24" s="145">
        <v>1</v>
      </c>
      <c r="U24" s="145">
        <v>3</v>
      </c>
      <c r="V24" s="145">
        <v>1</v>
      </c>
      <c r="W24" s="145">
        <v>2</v>
      </c>
      <c r="X24" s="145">
        <v>1</v>
      </c>
      <c r="Y24" s="145">
        <v>1</v>
      </c>
      <c r="Z24" s="145">
        <v>1</v>
      </c>
      <c r="AA24" s="145">
        <v>1</v>
      </c>
      <c r="AB24" s="145">
        <v>1</v>
      </c>
      <c r="AC24" s="145">
        <v>1</v>
      </c>
      <c r="AD24" s="145">
        <v>1</v>
      </c>
      <c r="AE24" s="145">
        <v>3</v>
      </c>
      <c r="AF24" s="145">
        <v>1</v>
      </c>
      <c r="AG24" s="145">
        <v>3</v>
      </c>
      <c r="AH24" s="15">
        <f t="shared" si="0"/>
        <v>0</v>
      </c>
      <c r="AI24" s="15">
        <f t="shared" si="1"/>
        <v>0</v>
      </c>
      <c r="AJ24" s="15">
        <f t="shared" si="2"/>
        <v>0</v>
      </c>
    </row>
    <row r="25" spans="2:36">
      <c r="B25" s="124"/>
      <c r="C25" s="125">
        <v>22</v>
      </c>
      <c r="D25" s="144">
        <v>6734564.1484309658</v>
      </c>
      <c r="E25" s="144">
        <v>3631801.5386699419</v>
      </c>
      <c r="F25" s="144">
        <v>0</v>
      </c>
      <c r="G25" s="144">
        <v>0</v>
      </c>
      <c r="H25" s="144">
        <v>975751.00919963513</v>
      </c>
      <c r="I25" s="145">
        <v>1</v>
      </c>
      <c r="J25" s="145">
        <v>1</v>
      </c>
      <c r="K25" s="145">
        <v>0</v>
      </c>
      <c r="L25" s="145">
        <v>2</v>
      </c>
      <c r="M25" s="145">
        <v>1</v>
      </c>
      <c r="N25" s="145">
        <v>1</v>
      </c>
      <c r="O25" s="145">
        <v>3</v>
      </c>
      <c r="P25" s="145">
        <v>1</v>
      </c>
      <c r="Q25" s="145">
        <v>2</v>
      </c>
      <c r="R25" s="145">
        <v>1</v>
      </c>
      <c r="S25" s="145">
        <v>3</v>
      </c>
      <c r="T25" s="145">
        <v>1</v>
      </c>
      <c r="U25" s="145">
        <v>3</v>
      </c>
      <c r="V25" s="145">
        <v>1</v>
      </c>
      <c r="W25" s="145">
        <v>0</v>
      </c>
      <c r="X25" s="145">
        <v>1</v>
      </c>
      <c r="Y25" s="145">
        <v>1</v>
      </c>
      <c r="Z25" s="145">
        <v>1</v>
      </c>
      <c r="AA25" s="145">
        <v>1</v>
      </c>
      <c r="AB25" s="145">
        <v>1</v>
      </c>
      <c r="AC25" s="145">
        <v>1</v>
      </c>
      <c r="AD25" s="145">
        <v>1</v>
      </c>
      <c r="AE25" s="145">
        <v>3</v>
      </c>
      <c r="AF25" s="145">
        <v>1</v>
      </c>
      <c r="AG25" s="145">
        <v>3</v>
      </c>
      <c r="AH25" s="15">
        <f t="shared" si="0"/>
        <v>0</v>
      </c>
      <c r="AI25" s="15">
        <f t="shared" si="1"/>
        <v>0</v>
      </c>
      <c r="AJ25" s="15">
        <f t="shared" si="2"/>
        <v>0</v>
      </c>
    </row>
    <row r="26" spans="2:36">
      <c r="B26" s="124"/>
      <c r="C26" s="125">
        <v>23</v>
      </c>
      <c r="D26" s="144">
        <v>5785962.6795408903</v>
      </c>
      <c r="E26" s="144">
        <v>3115481.3803007933</v>
      </c>
      <c r="F26" s="144">
        <v>0</v>
      </c>
      <c r="G26" s="144">
        <v>0</v>
      </c>
      <c r="H26" s="144">
        <v>975751.00919963513</v>
      </c>
      <c r="I26" s="145">
        <v>1</v>
      </c>
      <c r="J26" s="145">
        <v>1</v>
      </c>
      <c r="K26" s="145">
        <v>2</v>
      </c>
      <c r="L26" s="145">
        <v>2</v>
      </c>
      <c r="M26" s="145">
        <v>1</v>
      </c>
      <c r="N26" s="145">
        <v>1</v>
      </c>
      <c r="O26" s="145">
        <v>3</v>
      </c>
      <c r="P26" s="145">
        <v>0</v>
      </c>
      <c r="Q26" s="145">
        <v>2</v>
      </c>
      <c r="R26" s="145">
        <v>1</v>
      </c>
      <c r="S26" s="145">
        <v>0</v>
      </c>
      <c r="T26" s="145">
        <v>1</v>
      </c>
      <c r="U26" s="145">
        <v>3</v>
      </c>
      <c r="V26" s="145">
        <v>1</v>
      </c>
      <c r="W26" s="145">
        <v>0</v>
      </c>
      <c r="X26" s="145">
        <v>0</v>
      </c>
      <c r="Y26" s="145">
        <v>1</v>
      </c>
      <c r="Z26" s="145">
        <v>1</v>
      </c>
      <c r="AA26" s="145">
        <v>1</v>
      </c>
      <c r="AB26" s="145">
        <v>1</v>
      </c>
      <c r="AC26" s="145">
        <v>1</v>
      </c>
      <c r="AD26" s="145">
        <v>0</v>
      </c>
      <c r="AE26" s="145">
        <v>3</v>
      </c>
      <c r="AF26" s="145">
        <v>1</v>
      </c>
      <c r="AG26" s="145">
        <v>3</v>
      </c>
      <c r="AH26" s="15">
        <f t="shared" si="0"/>
        <v>0</v>
      </c>
      <c r="AI26" s="15">
        <f t="shared" si="1"/>
        <v>0</v>
      </c>
      <c r="AJ26" s="15">
        <f t="shared" si="2"/>
        <v>0</v>
      </c>
    </row>
    <row r="27" spans="2:36">
      <c r="B27" s="124"/>
      <c r="C27" s="125">
        <v>24</v>
      </c>
      <c r="D27" s="144">
        <v>5785962.6795408903</v>
      </c>
      <c r="E27" s="144">
        <v>3115481.3803007933</v>
      </c>
      <c r="F27" s="144">
        <v>0</v>
      </c>
      <c r="G27" s="144">
        <v>0</v>
      </c>
      <c r="H27" s="144">
        <v>975751.00919963513</v>
      </c>
      <c r="I27" s="145">
        <v>1</v>
      </c>
      <c r="J27" s="145">
        <v>1</v>
      </c>
      <c r="K27" s="145">
        <v>2</v>
      </c>
      <c r="L27" s="145">
        <v>2</v>
      </c>
      <c r="M27" s="145">
        <v>1</v>
      </c>
      <c r="N27" s="145">
        <v>1</v>
      </c>
      <c r="O27" s="145">
        <v>3</v>
      </c>
      <c r="P27" s="145">
        <v>0</v>
      </c>
      <c r="Q27" s="145">
        <v>2</v>
      </c>
      <c r="R27" s="145">
        <v>1</v>
      </c>
      <c r="S27" s="145">
        <v>0</v>
      </c>
      <c r="T27" s="145">
        <v>1</v>
      </c>
      <c r="U27" s="145">
        <v>3</v>
      </c>
      <c r="V27" s="145">
        <v>1</v>
      </c>
      <c r="W27" s="145">
        <v>0</v>
      </c>
      <c r="X27" s="145">
        <v>0</v>
      </c>
      <c r="Y27" s="145">
        <v>1</v>
      </c>
      <c r="Z27" s="145">
        <v>1</v>
      </c>
      <c r="AA27" s="145">
        <v>1</v>
      </c>
      <c r="AB27" s="145">
        <v>1</v>
      </c>
      <c r="AC27" s="145">
        <v>1</v>
      </c>
      <c r="AD27" s="145">
        <v>0</v>
      </c>
      <c r="AE27" s="145">
        <v>3</v>
      </c>
      <c r="AF27" s="145">
        <v>1</v>
      </c>
      <c r="AG27" s="145">
        <v>3</v>
      </c>
      <c r="AH27" s="15">
        <f t="shared" si="0"/>
        <v>0</v>
      </c>
      <c r="AI27" s="15">
        <f t="shared" si="1"/>
        <v>0</v>
      </c>
      <c r="AJ27" s="15">
        <f t="shared" si="2"/>
        <v>0</v>
      </c>
    </row>
    <row r="28" spans="2:36">
      <c r="B28" s="124"/>
      <c r="C28" s="125">
        <v>25</v>
      </c>
      <c r="D28" s="144">
        <v>6975263.2428680416</v>
      </c>
      <c r="E28" s="144">
        <v>3768702.3494429947</v>
      </c>
      <c r="F28" s="144">
        <v>0</v>
      </c>
      <c r="G28" s="144">
        <v>0</v>
      </c>
      <c r="H28" s="144">
        <v>975751.00919963513</v>
      </c>
      <c r="I28" s="145">
        <v>1</v>
      </c>
      <c r="J28" s="145">
        <v>1</v>
      </c>
      <c r="K28" s="145">
        <v>2</v>
      </c>
      <c r="L28" s="145">
        <v>2</v>
      </c>
      <c r="M28" s="145">
        <v>1</v>
      </c>
      <c r="N28" s="145">
        <v>1</v>
      </c>
      <c r="O28" s="145">
        <v>3</v>
      </c>
      <c r="P28" s="145">
        <v>0</v>
      </c>
      <c r="Q28" s="145">
        <v>2</v>
      </c>
      <c r="R28" s="145">
        <v>1</v>
      </c>
      <c r="S28" s="145">
        <v>4</v>
      </c>
      <c r="T28" s="145">
        <v>1</v>
      </c>
      <c r="U28" s="145">
        <v>3</v>
      </c>
      <c r="V28" s="145">
        <v>1</v>
      </c>
      <c r="W28" s="145">
        <v>3</v>
      </c>
      <c r="X28" s="145">
        <v>2</v>
      </c>
      <c r="Y28" s="145">
        <v>1</v>
      </c>
      <c r="Z28" s="145">
        <v>1</v>
      </c>
      <c r="AA28" s="145">
        <v>1</v>
      </c>
      <c r="AB28" s="145">
        <v>1</v>
      </c>
      <c r="AC28" s="145">
        <v>1</v>
      </c>
      <c r="AD28" s="145">
        <v>2</v>
      </c>
      <c r="AE28" s="145">
        <v>3</v>
      </c>
      <c r="AF28" s="145">
        <v>1</v>
      </c>
      <c r="AG28" s="145">
        <v>3</v>
      </c>
      <c r="AH28" s="15">
        <f t="shared" si="0"/>
        <v>0</v>
      </c>
      <c r="AI28" s="15">
        <f t="shared" si="1"/>
        <v>0</v>
      </c>
      <c r="AJ28" s="15">
        <f t="shared" si="2"/>
        <v>0</v>
      </c>
    </row>
    <row r="29" spans="2:36">
      <c r="B29" s="124"/>
      <c r="C29" s="125">
        <v>26</v>
      </c>
      <c r="D29" s="144">
        <v>6295071.3393702926</v>
      </c>
      <c r="E29" s="144">
        <v>3387712.2443177444</v>
      </c>
      <c r="F29" s="144">
        <v>0</v>
      </c>
      <c r="G29" s="144">
        <v>0</v>
      </c>
      <c r="H29" s="144">
        <v>975751.00919963513</v>
      </c>
      <c r="I29" s="145">
        <v>1</v>
      </c>
      <c r="J29" s="145">
        <v>1</v>
      </c>
      <c r="K29" s="145">
        <v>2</v>
      </c>
      <c r="L29" s="145">
        <v>0</v>
      </c>
      <c r="M29" s="145">
        <v>1</v>
      </c>
      <c r="N29" s="145">
        <v>1</v>
      </c>
      <c r="O29" s="145">
        <v>3</v>
      </c>
      <c r="P29" s="145">
        <v>2</v>
      </c>
      <c r="Q29" s="145">
        <v>2</v>
      </c>
      <c r="R29" s="145">
        <v>1</v>
      </c>
      <c r="S29" s="145">
        <v>4</v>
      </c>
      <c r="T29" s="145">
        <v>1</v>
      </c>
      <c r="U29" s="145">
        <v>3</v>
      </c>
      <c r="V29" s="145">
        <v>0</v>
      </c>
      <c r="W29" s="145">
        <v>0</v>
      </c>
      <c r="X29" s="145">
        <v>2</v>
      </c>
      <c r="Y29" s="145">
        <v>1</v>
      </c>
      <c r="Z29" s="145">
        <v>1</v>
      </c>
      <c r="AA29" s="145">
        <v>1</v>
      </c>
      <c r="AB29" s="145">
        <v>1</v>
      </c>
      <c r="AC29" s="145">
        <v>1</v>
      </c>
      <c r="AD29" s="145">
        <v>2</v>
      </c>
      <c r="AE29" s="145">
        <v>3</v>
      </c>
      <c r="AF29" s="145">
        <v>1</v>
      </c>
      <c r="AG29" s="145">
        <v>3</v>
      </c>
      <c r="AH29" s="15">
        <f t="shared" si="0"/>
        <v>0</v>
      </c>
      <c r="AI29" s="15">
        <f t="shared" si="1"/>
        <v>0</v>
      </c>
      <c r="AJ29" s="15">
        <f t="shared" si="2"/>
        <v>0</v>
      </c>
    </row>
    <row r="30" spans="2:36">
      <c r="B30" s="124"/>
      <c r="C30" s="125">
        <v>27</v>
      </c>
      <c r="D30" s="144">
        <v>5606206.7767506139</v>
      </c>
      <c r="E30" s="144">
        <v>3011572.8951925393</v>
      </c>
      <c r="F30" s="144">
        <v>0</v>
      </c>
      <c r="G30" s="144">
        <v>0</v>
      </c>
      <c r="H30" s="144">
        <v>975751.00919963513</v>
      </c>
      <c r="I30" s="145">
        <v>1</v>
      </c>
      <c r="J30" s="145">
        <v>1</v>
      </c>
      <c r="K30" s="145">
        <v>2</v>
      </c>
      <c r="L30" s="145">
        <v>0</v>
      </c>
      <c r="M30" s="145">
        <v>1</v>
      </c>
      <c r="N30" s="145">
        <v>1</v>
      </c>
      <c r="O30" s="145">
        <v>3</v>
      </c>
      <c r="P30" s="145">
        <v>0</v>
      </c>
      <c r="Q30" s="145">
        <v>0</v>
      </c>
      <c r="R30" s="145">
        <v>1</v>
      </c>
      <c r="S30" s="145">
        <v>4</v>
      </c>
      <c r="T30" s="145">
        <v>1</v>
      </c>
      <c r="U30" s="145">
        <v>3</v>
      </c>
      <c r="V30" s="145">
        <v>0</v>
      </c>
      <c r="W30" s="145">
        <v>0</v>
      </c>
      <c r="X30" s="145">
        <v>2</v>
      </c>
      <c r="Y30" s="145">
        <v>1</v>
      </c>
      <c r="Z30" s="145">
        <v>1</v>
      </c>
      <c r="AA30" s="145">
        <v>1</v>
      </c>
      <c r="AB30" s="145">
        <v>1</v>
      </c>
      <c r="AC30" s="145">
        <v>1</v>
      </c>
      <c r="AD30" s="145">
        <v>2</v>
      </c>
      <c r="AE30" s="145">
        <v>3</v>
      </c>
      <c r="AF30" s="145">
        <v>1</v>
      </c>
      <c r="AG30" s="145">
        <v>0</v>
      </c>
      <c r="AH30" s="15">
        <f t="shared" si="0"/>
        <v>0</v>
      </c>
      <c r="AI30" s="15">
        <f t="shared" si="1"/>
        <v>0</v>
      </c>
      <c r="AJ30" s="15">
        <f t="shared" si="2"/>
        <v>0</v>
      </c>
    </row>
    <row r="31" spans="2:36">
      <c r="B31" s="124"/>
      <c r="C31" s="125">
        <v>28</v>
      </c>
      <c r="D31" s="144">
        <v>5621944.0865477528</v>
      </c>
      <c r="E31" s="144">
        <v>3035443.1568838418</v>
      </c>
      <c r="F31" s="144">
        <v>0</v>
      </c>
      <c r="G31" s="144">
        <v>0</v>
      </c>
      <c r="H31" s="144">
        <v>975751.00919963513</v>
      </c>
      <c r="I31" s="145">
        <v>1</v>
      </c>
      <c r="J31" s="145">
        <v>1</v>
      </c>
      <c r="K31" s="145">
        <v>0</v>
      </c>
      <c r="L31" s="145">
        <v>3</v>
      </c>
      <c r="M31" s="145">
        <v>1</v>
      </c>
      <c r="N31" s="145">
        <v>1</v>
      </c>
      <c r="O31" s="145">
        <v>3</v>
      </c>
      <c r="P31" s="145">
        <v>0</v>
      </c>
      <c r="Q31" s="145">
        <v>0</v>
      </c>
      <c r="R31" s="145">
        <v>1</v>
      </c>
      <c r="S31" s="145">
        <v>4</v>
      </c>
      <c r="T31" s="145">
        <v>1</v>
      </c>
      <c r="U31" s="145">
        <v>3</v>
      </c>
      <c r="V31" s="145">
        <v>0</v>
      </c>
      <c r="W31" s="145">
        <v>0</v>
      </c>
      <c r="X31" s="145">
        <v>2</v>
      </c>
      <c r="Y31" s="145">
        <v>1</v>
      </c>
      <c r="Z31" s="145">
        <v>1</v>
      </c>
      <c r="AA31" s="145">
        <v>1</v>
      </c>
      <c r="AB31" s="145">
        <v>1</v>
      </c>
      <c r="AC31" s="145">
        <v>1</v>
      </c>
      <c r="AD31" s="145">
        <v>2</v>
      </c>
      <c r="AE31" s="145">
        <v>3</v>
      </c>
      <c r="AF31" s="145">
        <v>1</v>
      </c>
      <c r="AG31" s="145">
        <v>0</v>
      </c>
      <c r="AH31" s="15">
        <f t="shared" si="0"/>
        <v>0</v>
      </c>
      <c r="AI31" s="15">
        <f t="shared" si="1"/>
        <v>0</v>
      </c>
      <c r="AJ31" s="15">
        <f t="shared" si="2"/>
        <v>0</v>
      </c>
    </row>
    <row r="32" spans="2:36">
      <c r="B32" s="124"/>
      <c r="C32" s="125">
        <v>29</v>
      </c>
      <c r="D32" s="144">
        <v>7097208.8853822136</v>
      </c>
      <c r="E32" s="144">
        <v>3834224.1055618795</v>
      </c>
      <c r="F32" s="144">
        <v>0</v>
      </c>
      <c r="G32" s="144">
        <v>0</v>
      </c>
      <c r="H32" s="144">
        <v>975751.00919963513</v>
      </c>
      <c r="I32" s="145">
        <v>1</v>
      </c>
      <c r="J32" s="145">
        <v>1</v>
      </c>
      <c r="K32" s="145">
        <v>0</v>
      </c>
      <c r="L32" s="145">
        <v>3</v>
      </c>
      <c r="M32" s="145">
        <v>1</v>
      </c>
      <c r="N32" s="145">
        <v>1</v>
      </c>
      <c r="O32" s="145">
        <v>3</v>
      </c>
      <c r="P32" s="145">
        <v>3</v>
      </c>
      <c r="Q32" s="145">
        <v>3</v>
      </c>
      <c r="R32" s="145">
        <v>1</v>
      </c>
      <c r="S32" s="145">
        <v>4</v>
      </c>
      <c r="T32" s="145">
        <v>1</v>
      </c>
      <c r="U32" s="145">
        <v>3</v>
      </c>
      <c r="V32" s="145">
        <v>2</v>
      </c>
      <c r="W32" s="145">
        <v>4</v>
      </c>
      <c r="X32" s="145">
        <v>2</v>
      </c>
      <c r="Y32" s="145">
        <v>1</v>
      </c>
      <c r="Z32" s="145">
        <v>1</v>
      </c>
      <c r="AA32" s="145">
        <v>1</v>
      </c>
      <c r="AB32" s="145">
        <v>1</v>
      </c>
      <c r="AC32" s="145">
        <v>1</v>
      </c>
      <c r="AD32" s="145">
        <v>2</v>
      </c>
      <c r="AE32" s="145">
        <v>3</v>
      </c>
      <c r="AF32" s="145">
        <v>1</v>
      </c>
      <c r="AG32" s="145">
        <v>4</v>
      </c>
      <c r="AH32" s="15">
        <f t="shared" si="0"/>
        <v>0</v>
      </c>
      <c r="AI32" s="15">
        <f t="shared" si="1"/>
        <v>0</v>
      </c>
      <c r="AJ32" s="15">
        <f t="shared" si="2"/>
        <v>0</v>
      </c>
    </row>
    <row r="33" spans="2:36">
      <c r="B33" s="124"/>
      <c r="C33" s="125">
        <v>30</v>
      </c>
      <c r="D33" s="144">
        <v>7050218.9898558613</v>
      </c>
      <c r="E33" s="144">
        <v>3854683.879057745</v>
      </c>
      <c r="F33" s="144">
        <v>0</v>
      </c>
      <c r="G33" s="144">
        <v>0</v>
      </c>
      <c r="H33" s="144">
        <v>975751.00919963513</v>
      </c>
      <c r="I33" s="145">
        <v>1</v>
      </c>
      <c r="J33" s="145">
        <v>1</v>
      </c>
      <c r="K33" s="145">
        <v>3</v>
      </c>
      <c r="L33" s="145">
        <v>3</v>
      </c>
      <c r="M33" s="145">
        <v>1</v>
      </c>
      <c r="N33" s="145">
        <v>1</v>
      </c>
      <c r="O33" s="145">
        <v>0</v>
      </c>
      <c r="P33" s="145">
        <v>3</v>
      </c>
      <c r="Q33" s="145">
        <v>3</v>
      </c>
      <c r="R33" s="145">
        <v>1</v>
      </c>
      <c r="S33" s="145">
        <v>4</v>
      </c>
      <c r="T33" s="145">
        <v>1</v>
      </c>
      <c r="U33" s="145">
        <v>3</v>
      </c>
      <c r="V33" s="145">
        <v>2</v>
      </c>
      <c r="W33" s="145">
        <v>4</v>
      </c>
      <c r="X33" s="145">
        <v>2</v>
      </c>
      <c r="Y33" s="145">
        <v>1</v>
      </c>
      <c r="Z33" s="145">
        <v>1</v>
      </c>
      <c r="AA33" s="145">
        <v>1</v>
      </c>
      <c r="AB33" s="145">
        <v>1</v>
      </c>
      <c r="AC33" s="145">
        <v>1</v>
      </c>
      <c r="AD33" s="145">
        <v>2</v>
      </c>
      <c r="AE33" s="145">
        <v>3</v>
      </c>
      <c r="AF33" s="145">
        <v>1</v>
      </c>
      <c r="AG33" s="145">
        <v>4</v>
      </c>
      <c r="AH33" s="15">
        <f t="shared" si="0"/>
        <v>0</v>
      </c>
      <c r="AI33" s="15">
        <f t="shared" si="1"/>
        <v>0</v>
      </c>
      <c r="AJ33" s="15">
        <f t="shared" si="2"/>
        <v>0</v>
      </c>
    </row>
    <row r="34" spans="2:36">
      <c r="B34" s="124"/>
      <c r="C34" s="125">
        <v>31</v>
      </c>
      <c r="D34" s="144">
        <v>6580153.6854798999</v>
      </c>
      <c r="E34" s="144">
        <v>3590386.262958949</v>
      </c>
      <c r="F34" s="144">
        <v>0</v>
      </c>
      <c r="G34" s="144">
        <v>0</v>
      </c>
      <c r="H34" s="144">
        <v>975751.00919963513</v>
      </c>
      <c r="I34" s="145">
        <v>1</v>
      </c>
      <c r="J34" s="145">
        <v>1</v>
      </c>
      <c r="K34" s="145">
        <v>3</v>
      </c>
      <c r="L34" s="145">
        <v>3</v>
      </c>
      <c r="M34" s="145">
        <v>1</v>
      </c>
      <c r="N34" s="145">
        <v>1</v>
      </c>
      <c r="O34" s="145">
        <v>0</v>
      </c>
      <c r="P34" s="145">
        <v>3</v>
      </c>
      <c r="Q34" s="145">
        <v>3</v>
      </c>
      <c r="R34" s="145">
        <v>1</v>
      </c>
      <c r="S34" s="145">
        <v>0</v>
      </c>
      <c r="T34" s="145">
        <v>1</v>
      </c>
      <c r="U34" s="145">
        <v>3</v>
      </c>
      <c r="V34" s="145">
        <v>2</v>
      </c>
      <c r="W34" s="145">
        <v>4</v>
      </c>
      <c r="X34" s="145">
        <v>2</v>
      </c>
      <c r="Y34" s="145">
        <v>1</v>
      </c>
      <c r="Z34" s="145">
        <v>1</v>
      </c>
      <c r="AA34" s="145">
        <v>1</v>
      </c>
      <c r="AB34" s="145">
        <v>1</v>
      </c>
      <c r="AC34" s="145">
        <v>1</v>
      </c>
      <c r="AD34" s="145">
        <v>0</v>
      </c>
      <c r="AE34" s="145">
        <v>3</v>
      </c>
      <c r="AF34" s="145">
        <v>1</v>
      </c>
      <c r="AG34" s="145">
        <v>4</v>
      </c>
      <c r="AH34" s="15">
        <f t="shared" si="0"/>
        <v>0</v>
      </c>
      <c r="AI34" s="15">
        <f t="shared" si="1"/>
        <v>0</v>
      </c>
      <c r="AJ34" s="15">
        <f t="shared" si="2"/>
        <v>0</v>
      </c>
    </row>
    <row r="35" spans="2:36">
      <c r="B35" s="124"/>
      <c r="C35" s="125">
        <v>32</v>
      </c>
      <c r="D35" s="144">
        <v>6580153.6854798999</v>
      </c>
      <c r="E35" s="144">
        <v>3590386.262958949</v>
      </c>
      <c r="F35" s="144">
        <v>0</v>
      </c>
      <c r="G35" s="144">
        <v>0</v>
      </c>
      <c r="H35" s="144">
        <v>975751.00919963513</v>
      </c>
      <c r="I35" s="145">
        <v>1</v>
      </c>
      <c r="J35" s="145">
        <v>1</v>
      </c>
      <c r="K35" s="145">
        <v>3</v>
      </c>
      <c r="L35" s="145">
        <v>3</v>
      </c>
      <c r="M35" s="145">
        <v>1</v>
      </c>
      <c r="N35" s="145">
        <v>1</v>
      </c>
      <c r="O35" s="145">
        <v>0</v>
      </c>
      <c r="P35" s="145">
        <v>3</v>
      </c>
      <c r="Q35" s="145">
        <v>3</v>
      </c>
      <c r="R35" s="145">
        <v>1</v>
      </c>
      <c r="S35" s="145">
        <v>0</v>
      </c>
      <c r="T35" s="145">
        <v>1</v>
      </c>
      <c r="U35" s="145">
        <v>3</v>
      </c>
      <c r="V35" s="145">
        <v>2</v>
      </c>
      <c r="W35" s="145">
        <v>4</v>
      </c>
      <c r="X35" s="145">
        <v>2</v>
      </c>
      <c r="Y35" s="145">
        <v>1</v>
      </c>
      <c r="Z35" s="145">
        <v>1</v>
      </c>
      <c r="AA35" s="145">
        <v>1</v>
      </c>
      <c r="AB35" s="145">
        <v>1</v>
      </c>
      <c r="AC35" s="145">
        <v>1</v>
      </c>
      <c r="AD35" s="145">
        <v>0</v>
      </c>
      <c r="AE35" s="145">
        <v>3</v>
      </c>
      <c r="AF35" s="145">
        <v>1</v>
      </c>
      <c r="AG35" s="145">
        <v>4</v>
      </c>
      <c r="AH35" s="15">
        <f t="shared" si="0"/>
        <v>0</v>
      </c>
      <c r="AI35" s="15">
        <f t="shared" si="1"/>
        <v>0</v>
      </c>
      <c r="AJ35" s="15">
        <f t="shared" si="2"/>
        <v>0</v>
      </c>
    </row>
    <row r="36" spans="2:36">
      <c r="B36" s="124"/>
      <c r="C36" s="125">
        <v>33</v>
      </c>
      <c r="D36" s="144">
        <v>7037305.4571804982</v>
      </c>
      <c r="E36" s="144">
        <v>3812061.5186012806</v>
      </c>
      <c r="F36" s="144">
        <v>0</v>
      </c>
      <c r="G36" s="144">
        <v>0</v>
      </c>
      <c r="H36" s="144">
        <v>975751.00919963513</v>
      </c>
      <c r="I36" s="145">
        <v>1</v>
      </c>
      <c r="J36" s="145">
        <v>1</v>
      </c>
      <c r="K36" s="145">
        <v>3</v>
      </c>
      <c r="L36" s="145">
        <v>3</v>
      </c>
      <c r="M36" s="145">
        <v>1</v>
      </c>
      <c r="N36" s="145">
        <v>1</v>
      </c>
      <c r="O36" s="145">
        <v>4</v>
      </c>
      <c r="P36" s="145">
        <v>3</v>
      </c>
      <c r="Q36" s="145">
        <v>3</v>
      </c>
      <c r="R36" s="145">
        <v>1</v>
      </c>
      <c r="S36" s="145">
        <v>5</v>
      </c>
      <c r="T36" s="145">
        <v>1</v>
      </c>
      <c r="U36" s="145">
        <v>0</v>
      </c>
      <c r="V36" s="145">
        <v>2</v>
      </c>
      <c r="W36" s="145">
        <v>4</v>
      </c>
      <c r="X36" s="145">
        <v>2</v>
      </c>
      <c r="Y36" s="145">
        <v>1</v>
      </c>
      <c r="Z36" s="145">
        <v>1</v>
      </c>
      <c r="AA36" s="145">
        <v>1</v>
      </c>
      <c r="AB36" s="145">
        <v>1</v>
      </c>
      <c r="AC36" s="145">
        <v>1</v>
      </c>
      <c r="AD36" s="145">
        <v>3</v>
      </c>
      <c r="AE36" s="145">
        <v>0</v>
      </c>
      <c r="AF36" s="145">
        <v>1</v>
      </c>
      <c r="AG36" s="145">
        <v>4</v>
      </c>
      <c r="AH36" s="15">
        <f t="shared" si="0"/>
        <v>0</v>
      </c>
      <c r="AI36" s="15">
        <f t="shared" si="1"/>
        <v>0</v>
      </c>
      <c r="AJ36" s="15">
        <f t="shared" si="2"/>
        <v>0</v>
      </c>
    </row>
    <row r="37" spans="2:36">
      <c r="B37" s="124"/>
      <c r="C37" s="125">
        <v>34</v>
      </c>
      <c r="D37" s="144">
        <v>6766895.0442834795</v>
      </c>
      <c r="E37" s="144">
        <v>3627829.0755874868</v>
      </c>
      <c r="F37" s="144">
        <v>0</v>
      </c>
      <c r="G37" s="144">
        <v>0</v>
      </c>
      <c r="H37" s="144">
        <v>975751.00919963513</v>
      </c>
      <c r="I37" s="145">
        <v>1</v>
      </c>
      <c r="J37" s="145">
        <v>1</v>
      </c>
      <c r="K37" s="145">
        <v>3</v>
      </c>
      <c r="L37" s="145">
        <v>0</v>
      </c>
      <c r="M37" s="145">
        <v>1</v>
      </c>
      <c r="N37" s="145">
        <v>1</v>
      </c>
      <c r="O37" s="145">
        <v>4</v>
      </c>
      <c r="P37" s="145">
        <v>3</v>
      </c>
      <c r="Q37" s="145">
        <v>3</v>
      </c>
      <c r="R37" s="145">
        <v>1</v>
      </c>
      <c r="S37" s="145">
        <v>5</v>
      </c>
      <c r="T37" s="145">
        <v>1</v>
      </c>
      <c r="U37" s="145">
        <v>0</v>
      </c>
      <c r="V37" s="145">
        <v>2</v>
      </c>
      <c r="W37" s="145">
        <v>4</v>
      </c>
      <c r="X37" s="145">
        <v>2</v>
      </c>
      <c r="Y37" s="145">
        <v>1</v>
      </c>
      <c r="Z37" s="145">
        <v>1</v>
      </c>
      <c r="AA37" s="145">
        <v>1</v>
      </c>
      <c r="AB37" s="145">
        <v>1</v>
      </c>
      <c r="AC37" s="145">
        <v>1</v>
      </c>
      <c r="AD37" s="145">
        <v>3</v>
      </c>
      <c r="AE37" s="145">
        <v>0</v>
      </c>
      <c r="AF37" s="145">
        <v>1</v>
      </c>
      <c r="AG37" s="145">
        <v>4</v>
      </c>
      <c r="AH37" s="15">
        <f t="shared" si="0"/>
        <v>0</v>
      </c>
      <c r="AI37" s="15">
        <f t="shared" si="1"/>
        <v>0</v>
      </c>
      <c r="AJ37" s="15">
        <f t="shared" si="2"/>
        <v>0</v>
      </c>
    </row>
    <row r="38" spans="2:36">
      <c r="B38" s="124"/>
      <c r="C38" s="125">
        <v>35</v>
      </c>
      <c r="D38" s="144">
        <v>4849733.0923200715</v>
      </c>
      <c r="E38" s="144">
        <v>2572673.7792949928</v>
      </c>
      <c r="F38" s="144">
        <v>0</v>
      </c>
      <c r="G38" s="144">
        <v>0</v>
      </c>
      <c r="H38" s="144">
        <v>975751.00919963513</v>
      </c>
      <c r="I38" s="145">
        <v>1</v>
      </c>
      <c r="J38" s="145">
        <v>1</v>
      </c>
      <c r="K38" s="145">
        <v>3</v>
      </c>
      <c r="L38" s="145">
        <v>0</v>
      </c>
      <c r="M38" s="145">
        <v>0</v>
      </c>
      <c r="N38" s="145">
        <v>1</v>
      </c>
      <c r="O38" s="145">
        <v>4</v>
      </c>
      <c r="P38" s="145">
        <v>3</v>
      </c>
      <c r="Q38" s="145">
        <v>0</v>
      </c>
      <c r="R38" s="145">
        <v>1</v>
      </c>
      <c r="S38" s="145">
        <v>5</v>
      </c>
      <c r="T38" s="145">
        <v>1</v>
      </c>
      <c r="U38" s="145">
        <v>4</v>
      </c>
      <c r="V38" s="145">
        <v>2</v>
      </c>
      <c r="W38" s="145">
        <v>0</v>
      </c>
      <c r="X38" s="145">
        <v>2</v>
      </c>
      <c r="Y38" s="145">
        <v>0</v>
      </c>
      <c r="Z38" s="145">
        <v>0</v>
      </c>
      <c r="AA38" s="145">
        <v>1</v>
      </c>
      <c r="AB38" s="145">
        <v>0</v>
      </c>
      <c r="AC38" s="145">
        <v>1</v>
      </c>
      <c r="AD38" s="145">
        <v>3</v>
      </c>
      <c r="AE38" s="145">
        <v>0</v>
      </c>
      <c r="AF38" s="145">
        <v>1</v>
      </c>
      <c r="AG38" s="145">
        <v>0</v>
      </c>
      <c r="AH38" s="15">
        <f t="shared" si="0"/>
        <v>0</v>
      </c>
      <c r="AI38" s="15">
        <f t="shared" si="1"/>
        <v>0</v>
      </c>
      <c r="AJ38" s="15">
        <f t="shared" si="2"/>
        <v>0</v>
      </c>
    </row>
    <row r="39" spans="2:36">
      <c r="B39" s="124"/>
      <c r="C39" s="125">
        <v>36</v>
      </c>
      <c r="D39" s="144">
        <v>5003479.208988457</v>
      </c>
      <c r="E39" s="144">
        <v>2667815.8764339592</v>
      </c>
      <c r="F39" s="144">
        <v>0</v>
      </c>
      <c r="G39" s="144">
        <v>0</v>
      </c>
      <c r="H39" s="144">
        <v>975751.00919963513</v>
      </c>
      <c r="I39" s="145">
        <v>1</v>
      </c>
      <c r="J39" s="145">
        <v>1</v>
      </c>
      <c r="K39" s="145">
        <v>3</v>
      </c>
      <c r="L39" s="145">
        <v>0</v>
      </c>
      <c r="M39" s="145">
        <v>0</v>
      </c>
      <c r="N39" s="145">
        <v>1</v>
      </c>
      <c r="O39" s="145">
        <v>0</v>
      </c>
      <c r="P39" s="145">
        <v>3</v>
      </c>
      <c r="Q39" s="145">
        <v>0</v>
      </c>
      <c r="R39" s="145">
        <v>1</v>
      </c>
      <c r="S39" s="145">
        <v>5</v>
      </c>
      <c r="T39" s="145">
        <v>1</v>
      </c>
      <c r="U39" s="145">
        <v>4</v>
      </c>
      <c r="V39" s="145">
        <v>2</v>
      </c>
      <c r="W39" s="145">
        <v>0</v>
      </c>
      <c r="X39" s="145">
        <v>0</v>
      </c>
      <c r="Y39" s="145">
        <v>0</v>
      </c>
      <c r="Z39" s="145">
        <v>0</v>
      </c>
      <c r="AA39" s="145">
        <v>1</v>
      </c>
      <c r="AB39" s="145">
        <v>2</v>
      </c>
      <c r="AC39" s="145">
        <v>1</v>
      </c>
      <c r="AD39" s="145">
        <v>3</v>
      </c>
      <c r="AE39" s="145">
        <v>4</v>
      </c>
      <c r="AF39" s="145">
        <v>1</v>
      </c>
      <c r="AG39" s="145">
        <v>0</v>
      </c>
      <c r="AH39" s="15">
        <f t="shared" si="0"/>
        <v>0</v>
      </c>
      <c r="AI39" s="15">
        <f t="shared" si="1"/>
        <v>0</v>
      </c>
      <c r="AJ39" s="15">
        <f t="shared" si="2"/>
        <v>0</v>
      </c>
    </row>
    <row r="40" spans="2:36">
      <c r="B40" s="124"/>
      <c r="C40" s="125">
        <v>37</v>
      </c>
      <c r="D40" s="144">
        <v>6891504.3267809479</v>
      </c>
      <c r="E40" s="144">
        <v>3742218.5461166534</v>
      </c>
      <c r="F40" s="144">
        <v>0</v>
      </c>
      <c r="G40" s="144">
        <v>0</v>
      </c>
      <c r="H40" s="144">
        <v>975751.00919963513</v>
      </c>
      <c r="I40" s="145">
        <v>1</v>
      </c>
      <c r="J40" s="145">
        <v>1</v>
      </c>
      <c r="K40" s="145">
        <v>3</v>
      </c>
      <c r="L40" s="145">
        <v>4</v>
      </c>
      <c r="M40" s="145">
        <v>2</v>
      </c>
      <c r="N40" s="145">
        <v>1</v>
      </c>
      <c r="O40" s="145">
        <v>0</v>
      </c>
      <c r="P40" s="145">
        <v>3</v>
      </c>
      <c r="Q40" s="145">
        <v>0</v>
      </c>
      <c r="R40" s="145">
        <v>0</v>
      </c>
      <c r="S40" s="145">
        <v>5</v>
      </c>
      <c r="T40" s="145">
        <v>1</v>
      </c>
      <c r="U40" s="145">
        <v>4</v>
      </c>
      <c r="V40" s="145">
        <v>2</v>
      </c>
      <c r="W40" s="145">
        <v>5</v>
      </c>
      <c r="X40" s="145">
        <v>0</v>
      </c>
      <c r="Y40" s="145">
        <v>2</v>
      </c>
      <c r="Z40" s="145">
        <v>2</v>
      </c>
      <c r="AA40" s="145">
        <v>1</v>
      </c>
      <c r="AB40" s="145">
        <v>2</v>
      </c>
      <c r="AC40" s="145">
        <v>1</v>
      </c>
      <c r="AD40" s="145">
        <v>3</v>
      </c>
      <c r="AE40" s="145">
        <v>4</v>
      </c>
      <c r="AF40" s="145">
        <v>1</v>
      </c>
      <c r="AG40" s="145">
        <v>5</v>
      </c>
      <c r="AH40" s="15">
        <f t="shared" si="0"/>
        <v>0</v>
      </c>
      <c r="AI40" s="15">
        <f t="shared" si="1"/>
        <v>0</v>
      </c>
      <c r="AJ40" s="15">
        <f t="shared" si="2"/>
        <v>0</v>
      </c>
    </row>
    <row r="41" spans="2:36">
      <c r="B41" s="124"/>
      <c r="C41" s="125">
        <v>38</v>
      </c>
      <c r="D41" s="144">
        <v>7730104.8772447528</v>
      </c>
      <c r="E41" s="144">
        <v>4168560.0220623296</v>
      </c>
      <c r="F41" s="144">
        <v>0</v>
      </c>
      <c r="G41" s="144">
        <v>0</v>
      </c>
      <c r="H41" s="144">
        <v>975751.00919963513</v>
      </c>
      <c r="I41" s="145">
        <v>1</v>
      </c>
      <c r="J41" s="145">
        <v>1</v>
      </c>
      <c r="K41" s="145">
        <v>3</v>
      </c>
      <c r="L41" s="145">
        <v>4</v>
      </c>
      <c r="M41" s="145">
        <v>2</v>
      </c>
      <c r="N41" s="145">
        <v>1</v>
      </c>
      <c r="O41" s="145">
        <v>5</v>
      </c>
      <c r="P41" s="145">
        <v>3</v>
      </c>
      <c r="Q41" s="145">
        <v>4</v>
      </c>
      <c r="R41" s="145">
        <v>0</v>
      </c>
      <c r="S41" s="145">
        <v>5</v>
      </c>
      <c r="T41" s="145">
        <v>1</v>
      </c>
      <c r="U41" s="145">
        <v>4</v>
      </c>
      <c r="V41" s="145">
        <v>2</v>
      </c>
      <c r="W41" s="145">
        <v>5</v>
      </c>
      <c r="X41" s="145">
        <v>3</v>
      </c>
      <c r="Y41" s="145">
        <v>2</v>
      </c>
      <c r="Z41" s="145">
        <v>2</v>
      </c>
      <c r="AA41" s="145">
        <v>1</v>
      </c>
      <c r="AB41" s="145">
        <v>2</v>
      </c>
      <c r="AC41" s="145">
        <v>1</v>
      </c>
      <c r="AD41" s="145">
        <v>3</v>
      </c>
      <c r="AE41" s="145">
        <v>4</v>
      </c>
      <c r="AF41" s="145">
        <v>1</v>
      </c>
      <c r="AG41" s="145">
        <v>5</v>
      </c>
      <c r="AH41" s="15">
        <f t="shared" si="0"/>
        <v>0</v>
      </c>
      <c r="AI41" s="15">
        <f t="shared" si="1"/>
        <v>0</v>
      </c>
      <c r="AJ41" s="15">
        <f t="shared" si="2"/>
        <v>0</v>
      </c>
    </row>
    <row r="42" spans="2:36">
      <c r="B42" s="124"/>
      <c r="C42" s="125">
        <v>39</v>
      </c>
      <c r="D42" s="144">
        <v>7747199.4965147143</v>
      </c>
      <c r="E42" s="144">
        <v>4175257.3284326997</v>
      </c>
      <c r="F42" s="144">
        <v>0</v>
      </c>
      <c r="G42" s="144">
        <v>0</v>
      </c>
      <c r="H42" s="144">
        <v>975751.00919963513</v>
      </c>
      <c r="I42" s="145">
        <v>1</v>
      </c>
      <c r="J42" s="145">
        <v>1</v>
      </c>
      <c r="K42" s="145">
        <v>0</v>
      </c>
      <c r="L42" s="145">
        <v>4</v>
      </c>
      <c r="M42" s="145">
        <v>2</v>
      </c>
      <c r="N42" s="145">
        <v>1</v>
      </c>
      <c r="O42" s="145">
        <v>5</v>
      </c>
      <c r="P42" s="145">
        <v>3</v>
      </c>
      <c r="Q42" s="145">
        <v>4</v>
      </c>
      <c r="R42" s="145">
        <v>2</v>
      </c>
      <c r="S42" s="145">
        <v>5</v>
      </c>
      <c r="T42" s="145">
        <v>1</v>
      </c>
      <c r="U42" s="145">
        <v>4</v>
      </c>
      <c r="V42" s="145">
        <v>2</v>
      </c>
      <c r="W42" s="145">
        <v>5</v>
      </c>
      <c r="X42" s="145">
        <v>3</v>
      </c>
      <c r="Y42" s="145">
        <v>2</v>
      </c>
      <c r="Z42" s="145">
        <v>2</v>
      </c>
      <c r="AA42" s="145">
        <v>1</v>
      </c>
      <c r="AB42" s="145">
        <v>2</v>
      </c>
      <c r="AC42" s="145">
        <v>1</v>
      </c>
      <c r="AD42" s="145">
        <v>3</v>
      </c>
      <c r="AE42" s="145">
        <v>4</v>
      </c>
      <c r="AF42" s="145">
        <v>1</v>
      </c>
      <c r="AG42" s="145">
        <v>5</v>
      </c>
      <c r="AH42" s="15">
        <f t="shared" si="0"/>
        <v>0</v>
      </c>
      <c r="AI42" s="15">
        <f t="shared" si="1"/>
        <v>0</v>
      </c>
      <c r="AJ42" s="15">
        <f t="shared" si="2"/>
        <v>0</v>
      </c>
    </row>
    <row r="43" spans="2:36">
      <c r="B43" s="124"/>
      <c r="C43" s="125">
        <v>40</v>
      </c>
      <c r="D43" s="144">
        <v>7747199.4965147143</v>
      </c>
      <c r="E43" s="144">
        <v>4172500.8324773666</v>
      </c>
      <c r="F43" s="144">
        <v>0</v>
      </c>
      <c r="G43" s="144">
        <v>0</v>
      </c>
      <c r="H43" s="144">
        <v>975751.00919963513</v>
      </c>
      <c r="I43" s="145">
        <v>1</v>
      </c>
      <c r="J43" s="145">
        <v>1</v>
      </c>
      <c r="K43" s="145">
        <v>0</v>
      </c>
      <c r="L43" s="145">
        <v>4</v>
      </c>
      <c r="M43" s="145">
        <v>2</v>
      </c>
      <c r="N43" s="145">
        <v>1</v>
      </c>
      <c r="O43" s="145">
        <v>5</v>
      </c>
      <c r="P43" s="145">
        <v>3</v>
      </c>
      <c r="Q43" s="145">
        <v>4</v>
      </c>
      <c r="R43" s="145">
        <v>2</v>
      </c>
      <c r="S43" s="145">
        <v>5</v>
      </c>
      <c r="T43" s="145">
        <v>1</v>
      </c>
      <c r="U43" s="145">
        <v>4</v>
      </c>
      <c r="V43" s="145">
        <v>2</v>
      </c>
      <c r="W43" s="145">
        <v>5</v>
      </c>
      <c r="X43" s="145">
        <v>3</v>
      </c>
      <c r="Y43" s="145">
        <v>2</v>
      </c>
      <c r="Z43" s="145">
        <v>2</v>
      </c>
      <c r="AA43" s="145">
        <v>1</v>
      </c>
      <c r="AB43" s="145">
        <v>2</v>
      </c>
      <c r="AC43" s="145">
        <v>1</v>
      </c>
      <c r="AD43" s="145">
        <v>3</v>
      </c>
      <c r="AE43" s="145">
        <v>4</v>
      </c>
      <c r="AF43" s="145">
        <v>1</v>
      </c>
      <c r="AG43" s="145">
        <v>5</v>
      </c>
      <c r="AH43" s="15">
        <f t="shared" si="0"/>
        <v>0</v>
      </c>
      <c r="AI43" s="15">
        <f t="shared" si="1"/>
        <v>0</v>
      </c>
      <c r="AJ43" s="15">
        <f t="shared" si="2"/>
        <v>0</v>
      </c>
    </row>
    <row r="44" spans="2:36">
      <c r="B44" s="124"/>
      <c r="C44" s="125">
        <v>41</v>
      </c>
      <c r="D44" s="144">
        <v>7161085.6834476413</v>
      </c>
      <c r="E44" s="144">
        <v>3850647.3751023645</v>
      </c>
      <c r="F44" s="144">
        <v>0</v>
      </c>
      <c r="G44" s="144">
        <v>0</v>
      </c>
      <c r="H44" s="144">
        <v>975751.00919963513</v>
      </c>
      <c r="I44" s="145">
        <v>1</v>
      </c>
      <c r="J44" s="145">
        <v>1</v>
      </c>
      <c r="K44" s="145">
        <v>0</v>
      </c>
      <c r="L44" s="145">
        <v>4</v>
      </c>
      <c r="M44" s="145">
        <v>2</v>
      </c>
      <c r="N44" s="145">
        <v>1</v>
      </c>
      <c r="O44" s="145">
        <v>5</v>
      </c>
      <c r="P44" s="145">
        <v>0</v>
      </c>
      <c r="Q44" s="145">
        <v>4</v>
      </c>
      <c r="R44" s="145">
        <v>2</v>
      </c>
      <c r="S44" s="145">
        <v>5</v>
      </c>
      <c r="T44" s="145">
        <v>1</v>
      </c>
      <c r="U44" s="145">
        <v>4</v>
      </c>
      <c r="V44" s="145">
        <v>0</v>
      </c>
      <c r="W44" s="145">
        <v>5</v>
      </c>
      <c r="X44" s="145">
        <v>3</v>
      </c>
      <c r="Y44" s="145">
        <v>2</v>
      </c>
      <c r="Z44" s="145">
        <v>2</v>
      </c>
      <c r="AA44" s="145">
        <v>1</v>
      </c>
      <c r="AB44" s="145">
        <v>2</v>
      </c>
      <c r="AC44" s="145">
        <v>1</v>
      </c>
      <c r="AD44" s="145">
        <v>3</v>
      </c>
      <c r="AE44" s="145">
        <v>4</v>
      </c>
      <c r="AF44" s="145">
        <v>1</v>
      </c>
      <c r="AG44" s="145">
        <v>5</v>
      </c>
      <c r="AH44" s="15">
        <f t="shared" si="0"/>
        <v>0</v>
      </c>
      <c r="AI44" s="15">
        <f t="shared" si="1"/>
        <v>0</v>
      </c>
      <c r="AJ44" s="15">
        <f t="shared" si="2"/>
        <v>0</v>
      </c>
    </row>
    <row r="45" spans="2:36">
      <c r="B45" s="124"/>
      <c r="C45" s="125">
        <v>42</v>
      </c>
      <c r="D45" s="144">
        <v>7135596.9002099391</v>
      </c>
      <c r="E45" s="144">
        <v>3964603.993315768</v>
      </c>
      <c r="F45" s="144">
        <v>0</v>
      </c>
      <c r="G45" s="144">
        <v>0</v>
      </c>
      <c r="H45" s="144">
        <v>975751.00919963513</v>
      </c>
      <c r="I45" s="145">
        <v>1</v>
      </c>
      <c r="J45" s="145">
        <v>1</v>
      </c>
      <c r="K45" s="145">
        <v>4</v>
      </c>
      <c r="L45" s="145">
        <v>0</v>
      </c>
      <c r="M45" s="145">
        <v>2</v>
      </c>
      <c r="N45" s="145">
        <v>1</v>
      </c>
      <c r="O45" s="145">
        <v>5</v>
      </c>
      <c r="P45" s="145">
        <v>0</v>
      </c>
      <c r="Q45" s="145">
        <v>4</v>
      </c>
      <c r="R45" s="145">
        <v>2</v>
      </c>
      <c r="S45" s="145">
        <v>5</v>
      </c>
      <c r="T45" s="145">
        <v>1</v>
      </c>
      <c r="U45" s="145">
        <v>4</v>
      </c>
      <c r="V45" s="145">
        <v>0</v>
      </c>
      <c r="W45" s="145">
        <v>5</v>
      </c>
      <c r="X45" s="145">
        <v>3</v>
      </c>
      <c r="Y45" s="145">
        <v>2</v>
      </c>
      <c r="Z45" s="145">
        <v>2</v>
      </c>
      <c r="AA45" s="145">
        <v>1</v>
      </c>
      <c r="AB45" s="145">
        <v>2</v>
      </c>
      <c r="AC45" s="145">
        <v>1</v>
      </c>
      <c r="AD45" s="145">
        <v>3</v>
      </c>
      <c r="AE45" s="145">
        <v>4</v>
      </c>
      <c r="AF45" s="145">
        <v>1</v>
      </c>
      <c r="AG45" s="145">
        <v>5</v>
      </c>
      <c r="AH45" s="15">
        <f t="shared" si="0"/>
        <v>0</v>
      </c>
      <c r="AI45" s="15">
        <f t="shared" si="1"/>
        <v>0</v>
      </c>
      <c r="AJ45" s="15">
        <f t="shared" si="2"/>
        <v>0</v>
      </c>
    </row>
    <row r="46" spans="2:36">
      <c r="B46" s="124"/>
      <c r="C46" s="125">
        <v>43</v>
      </c>
      <c r="D46" s="144">
        <v>6315956.088333074</v>
      </c>
      <c r="E46" s="144">
        <v>3452746.8855880746</v>
      </c>
      <c r="F46" s="144">
        <v>0</v>
      </c>
      <c r="G46" s="144">
        <v>0</v>
      </c>
      <c r="H46" s="144">
        <v>975751.00919963513</v>
      </c>
      <c r="I46" s="145">
        <v>1</v>
      </c>
      <c r="J46" s="145">
        <v>1</v>
      </c>
      <c r="K46" s="145">
        <v>4</v>
      </c>
      <c r="L46" s="145">
        <v>0</v>
      </c>
      <c r="M46" s="145">
        <v>2</v>
      </c>
      <c r="N46" s="145">
        <v>1</v>
      </c>
      <c r="O46" s="145">
        <v>0</v>
      </c>
      <c r="P46" s="145">
        <v>0</v>
      </c>
      <c r="Q46" s="145">
        <v>4</v>
      </c>
      <c r="R46" s="145">
        <v>2</v>
      </c>
      <c r="S46" s="145">
        <v>5</v>
      </c>
      <c r="T46" s="145">
        <v>1</v>
      </c>
      <c r="U46" s="145">
        <v>4</v>
      </c>
      <c r="V46" s="145">
        <v>3</v>
      </c>
      <c r="W46" s="145">
        <v>0</v>
      </c>
      <c r="X46" s="145">
        <v>3</v>
      </c>
      <c r="Y46" s="145">
        <v>0</v>
      </c>
      <c r="Z46" s="145">
        <v>0</v>
      </c>
      <c r="AA46" s="145">
        <v>1</v>
      </c>
      <c r="AB46" s="145">
        <v>2</v>
      </c>
      <c r="AC46" s="145">
        <v>1</v>
      </c>
      <c r="AD46" s="145">
        <v>3</v>
      </c>
      <c r="AE46" s="145">
        <v>4</v>
      </c>
      <c r="AF46" s="145">
        <v>1</v>
      </c>
      <c r="AG46" s="145">
        <v>5</v>
      </c>
      <c r="AH46" s="15">
        <f t="shared" si="0"/>
        <v>0</v>
      </c>
      <c r="AI46" s="15">
        <f t="shared" si="1"/>
        <v>0</v>
      </c>
      <c r="AJ46" s="15">
        <f t="shared" si="2"/>
        <v>0</v>
      </c>
    </row>
    <row r="47" spans="2:36">
      <c r="B47" s="124"/>
      <c r="C47" s="125">
        <v>44</v>
      </c>
      <c r="D47" s="144">
        <v>5992221.7562704068</v>
      </c>
      <c r="E47" s="144">
        <v>3308995.9482245697</v>
      </c>
      <c r="F47" s="144">
        <v>0</v>
      </c>
      <c r="G47" s="144">
        <v>0</v>
      </c>
      <c r="H47" s="144">
        <v>975751.00919963513</v>
      </c>
      <c r="I47" s="145">
        <v>0</v>
      </c>
      <c r="J47" s="145">
        <v>1</v>
      </c>
      <c r="K47" s="145">
        <v>4</v>
      </c>
      <c r="L47" s="145">
        <v>5</v>
      </c>
      <c r="M47" s="145">
        <v>0</v>
      </c>
      <c r="N47" s="145">
        <v>1</v>
      </c>
      <c r="O47" s="145">
        <v>0</v>
      </c>
      <c r="P47" s="145">
        <v>4</v>
      </c>
      <c r="Q47" s="145">
        <v>0</v>
      </c>
      <c r="R47" s="145">
        <v>2</v>
      </c>
      <c r="S47" s="145">
        <v>5</v>
      </c>
      <c r="T47" s="145">
        <v>1</v>
      </c>
      <c r="U47" s="145">
        <v>4</v>
      </c>
      <c r="V47" s="145">
        <v>3</v>
      </c>
      <c r="W47" s="145">
        <v>0</v>
      </c>
      <c r="X47" s="145">
        <v>3</v>
      </c>
      <c r="Y47" s="145">
        <v>0</v>
      </c>
      <c r="Z47" s="145">
        <v>0</v>
      </c>
      <c r="AA47" s="145">
        <v>1</v>
      </c>
      <c r="AB47" s="145">
        <v>2</v>
      </c>
      <c r="AC47" s="145">
        <v>1</v>
      </c>
      <c r="AD47" s="145">
        <v>3</v>
      </c>
      <c r="AE47" s="145">
        <v>4</v>
      </c>
      <c r="AF47" s="145">
        <v>1</v>
      </c>
      <c r="AG47" s="145">
        <v>5</v>
      </c>
      <c r="AH47" s="15">
        <f t="shared" si="0"/>
        <v>0</v>
      </c>
      <c r="AI47" s="15">
        <f t="shared" si="1"/>
        <v>0</v>
      </c>
      <c r="AJ47" s="15">
        <f t="shared" si="2"/>
        <v>0</v>
      </c>
    </row>
    <row r="48" spans="2:36">
      <c r="B48" s="124"/>
      <c r="C48" s="125">
        <v>45</v>
      </c>
      <c r="D48" s="144">
        <v>6187664.4784649322</v>
      </c>
      <c r="E48" s="144">
        <v>3364605.4394595595</v>
      </c>
      <c r="F48" s="144">
        <v>0</v>
      </c>
      <c r="G48" s="144">
        <v>0</v>
      </c>
      <c r="H48" s="144">
        <v>975751.00919963513</v>
      </c>
      <c r="I48" s="145">
        <v>0</v>
      </c>
      <c r="J48" s="145">
        <v>1</v>
      </c>
      <c r="K48" s="145">
        <v>4</v>
      </c>
      <c r="L48" s="145">
        <v>5</v>
      </c>
      <c r="M48" s="145">
        <v>3</v>
      </c>
      <c r="N48" s="145">
        <v>1</v>
      </c>
      <c r="O48" s="145">
        <v>6</v>
      </c>
      <c r="P48" s="145">
        <v>4</v>
      </c>
      <c r="Q48" s="145">
        <v>0</v>
      </c>
      <c r="R48" s="145">
        <v>2</v>
      </c>
      <c r="S48" s="145">
        <v>0</v>
      </c>
      <c r="T48" s="145">
        <v>1</v>
      </c>
      <c r="U48" s="145">
        <v>4</v>
      </c>
      <c r="V48" s="145">
        <v>3</v>
      </c>
      <c r="W48" s="145">
        <v>0</v>
      </c>
      <c r="X48" s="145">
        <v>0</v>
      </c>
      <c r="Y48" s="145">
        <v>3</v>
      </c>
      <c r="Z48" s="145">
        <v>3</v>
      </c>
      <c r="AA48" s="145">
        <v>1</v>
      </c>
      <c r="AB48" s="145">
        <v>0</v>
      </c>
      <c r="AC48" s="145">
        <v>1</v>
      </c>
      <c r="AD48" s="145">
        <v>0</v>
      </c>
      <c r="AE48" s="145">
        <v>4</v>
      </c>
      <c r="AF48" s="145">
        <v>1</v>
      </c>
      <c r="AG48" s="145">
        <v>5</v>
      </c>
      <c r="AH48" s="15">
        <f t="shared" si="0"/>
        <v>0</v>
      </c>
      <c r="AI48" s="15">
        <f t="shared" si="1"/>
        <v>0</v>
      </c>
      <c r="AJ48" s="15">
        <f t="shared" si="2"/>
        <v>0</v>
      </c>
    </row>
    <row r="49" spans="2:36">
      <c r="B49" s="124"/>
      <c r="C49" s="125">
        <v>46</v>
      </c>
      <c r="D49" s="144">
        <v>6959162.806600567</v>
      </c>
      <c r="E49" s="144">
        <v>3766311.0153052947</v>
      </c>
      <c r="F49" s="144">
        <v>0</v>
      </c>
      <c r="G49" s="144">
        <v>0</v>
      </c>
      <c r="H49" s="144">
        <v>975751.00919963513</v>
      </c>
      <c r="I49" s="145">
        <v>2</v>
      </c>
      <c r="J49" s="145">
        <v>1</v>
      </c>
      <c r="K49" s="145">
        <v>4</v>
      </c>
      <c r="L49" s="145">
        <v>5</v>
      </c>
      <c r="M49" s="145">
        <v>0</v>
      </c>
      <c r="N49" s="145">
        <v>1</v>
      </c>
      <c r="O49" s="145">
        <v>6</v>
      </c>
      <c r="P49" s="145">
        <v>4</v>
      </c>
      <c r="Q49" s="145">
        <v>5</v>
      </c>
      <c r="R49" s="145">
        <v>0</v>
      </c>
      <c r="S49" s="145">
        <v>6</v>
      </c>
      <c r="T49" s="145">
        <v>1</v>
      </c>
      <c r="U49" s="145">
        <v>4</v>
      </c>
      <c r="V49" s="145">
        <v>3</v>
      </c>
      <c r="W49" s="145">
        <v>6</v>
      </c>
      <c r="X49" s="145">
        <v>0</v>
      </c>
      <c r="Y49" s="145">
        <v>3</v>
      </c>
      <c r="Z49" s="145">
        <v>3</v>
      </c>
      <c r="AA49" s="145">
        <v>1</v>
      </c>
      <c r="AB49" s="145">
        <v>0</v>
      </c>
      <c r="AC49" s="145">
        <v>1</v>
      </c>
      <c r="AD49" s="145">
        <v>4</v>
      </c>
      <c r="AE49" s="145">
        <v>4</v>
      </c>
      <c r="AF49" s="145">
        <v>1</v>
      </c>
      <c r="AG49" s="145">
        <v>5</v>
      </c>
      <c r="AH49" s="15">
        <f t="shared" si="0"/>
        <v>0</v>
      </c>
      <c r="AI49" s="15">
        <f t="shared" si="1"/>
        <v>0</v>
      </c>
      <c r="AJ49" s="15">
        <f t="shared" si="2"/>
        <v>0</v>
      </c>
    </row>
    <row r="50" spans="2:36">
      <c r="B50" s="124"/>
      <c r="C50" s="125">
        <v>47</v>
      </c>
      <c r="D50" s="144">
        <v>5377232.4965538848</v>
      </c>
      <c r="E50" s="144">
        <v>2954357.2417322304</v>
      </c>
      <c r="F50" s="144">
        <v>0</v>
      </c>
      <c r="G50" s="144">
        <v>0</v>
      </c>
      <c r="H50" s="144">
        <v>975751.00919963513</v>
      </c>
      <c r="I50" s="145">
        <v>2</v>
      </c>
      <c r="J50" s="145">
        <v>0</v>
      </c>
      <c r="K50" s="145">
        <v>4</v>
      </c>
      <c r="L50" s="145">
        <v>5</v>
      </c>
      <c r="M50" s="145">
        <v>0</v>
      </c>
      <c r="N50" s="145">
        <v>0</v>
      </c>
      <c r="O50" s="145">
        <v>6</v>
      </c>
      <c r="P50" s="145">
        <v>4</v>
      </c>
      <c r="Q50" s="145">
        <v>0</v>
      </c>
      <c r="R50" s="145">
        <v>0</v>
      </c>
      <c r="S50" s="145">
        <v>6</v>
      </c>
      <c r="T50" s="145">
        <v>0</v>
      </c>
      <c r="U50" s="145">
        <v>4</v>
      </c>
      <c r="V50" s="145">
        <v>3</v>
      </c>
      <c r="W50" s="145">
        <v>6</v>
      </c>
      <c r="X50" s="145">
        <v>4</v>
      </c>
      <c r="Y50" s="145">
        <v>3</v>
      </c>
      <c r="Z50" s="145">
        <v>3</v>
      </c>
      <c r="AA50" s="145">
        <v>1</v>
      </c>
      <c r="AB50" s="145">
        <v>0</v>
      </c>
      <c r="AC50" s="145">
        <v>0</v>
      </c>
      <c r="AD50" s="145">
        <v>4</v>
      </c>
      <c r="AE50" s="145">
        <v>4</v>
      </c>
      <c r="AF50" s="145">
        <v>0</v>
      </c>
      <c r="AG50" s="145">
        <v>5</v>
      </c>
      <c r="AH50" s="15">
        <f t="shared" si="0"/>
        <v>0</v>
      </c>
      <c r="AI50" s="15">
        <f t="shared" si="1"/>
        <v>0</v>
      </c>
      <c r="AJ50" s="15">
        <f t="shared" si="2"/>
        <v>0</v>
      </c>
    </row>
    <row r="51" spans="2:36">
      <c r="B51" s="124"/>
      <c r="C51" s="125">
        <v>48</v>
      </c>
      <c r="D51" s="144">
        <v>5815064.3226597216</v>
      </c>
      <c r="E51" s="144">
        <v>3207769.5557994875</v>
      </c>
      <c r="F51" s="144">
        <v>0</v>
      </c>
      <c r="G51" s="144">
        <v>0</v>
      </c>
      <c r="H51" s="144">
        <v>975751.00919963513</v>
      </c>
      <c r="I51" s="145">
        <v>2</v>
      </c>
      <c r="J51" s="145">
        <v>0</v>
      </c>
      <c r="K51" s="145">
        <v>4</v>
      </c>
      <c r="L51" s="145">
        <v>5</v>
      </c>
      <c r="M51" s="145">
        <v>0</v>
      </c>
      <c r="N51" s="145">
        <v>2</v>
      </c>
      <c r="O51" s="145">
        <v>0</v>
      </c>
      <c r="P51" s="145">
        <v>4</v>
      </c>
      <c r="Q51" s="145">
        <v>0</v>
      </c>
      <c r="R51" s="145">
        <v>3</v>
      </c>
      <c r="S51" s="145">
        <v>6</v>
      </c>
      <c r="T51" s="145">
        <v>0</v>
      </c>
      <c r="U51" s="145">
        <v>0</v>
      </c>
      <c r="V51" s="145">
        <v>3</v>
      </c>
      <c r="W51" s="145">
        <v>6</v>
      </c>
      <c r="X51" s="145">
        <v>4</v>
      </c>
      <c r="Y51" s="145">
        <v>3</v>
      </c>
      <c r="Z51" s="145">
        <v>3</v>
      </c>
      <c r="AA51" s="145">
        <v>1</v>
      </c>
      <c r="AB51" s="145">
        <v>3</v>
      </c>
      <c r="AC51" s="145">
        <v>0</v>
      </c>
      <c r="AD51" s="145">
        <v>4</v>
      </c>
      <c r="AE51" s="145">
        <v>4</v>
      </c>
      <c r="AF51" s="145">
        <v>0</v>
      </c>
      <c r="AG51" s="145">
        <v>5</v>
      </c>
      <c r="AH51" s="15">
        <f t="shared" si="0"/>
        <v>0</v>
      </c>
      <c r="AI51" s="15">
        <f t="shared" si="1"/>
        <v>0</v>
      </c>
      <c r="AJ51" s="15">
        <f t="shared" si="2"/>
        <v>0</v>
      </c>
    </row>
    <row r="52" spans="2:36">
      <c r="B52" s="124"/>
      <c r="C52" s="125">
        <v>49</v>
      </c>
      <c r="D52" s="144">
        <v>6949938.3869380606</v>
      </c>
      <c r="E52" s="144">
        <v>3833685.7663361635</v>
      </c>
      <c r="F52" s="144">
        <v>0</v>
      </c>
      <c r="G52" s="144">
        <v>0</v>
      </c>
      <c r="H52" s="144">
        <v>975751.00919963513</v>
      </c>
      <c r="I52" s="145">
        <v>2</v>
      </c>
      <c r="J52" s="145">
        <v>0</v>
      </c>
      <c r="K52" s="145">
        <v>0</v>
      </c>
      <c r="L52" s="145">
        <v>5</v>
      </c>
      <c r="M52" s="145">
        <v>4</v>
      </c>
      <c r="N52" s="145">
        <v>2</v>
      </c>
      <c r="O52" s="145">
        <v>0</v>
      </c>
      <c r="P52" s="145">
        <v>4</v>
      </c>
      <c r="Q52" s="145">
        <v>6</v>
      </c>
      <c r="R52" s="145">
        <v>3</v>
      </c>
      <c r="S52" s="145">
        <v>6</v>
      </c>
      <c r="T52" s="145">
        <v>2</v>
      </c>
      <c r="U52" s="145">
        <v>5</v>
      </c>
      <c r="V52" s="145">
        <v>3</v>
      </c>
      <c r="W52" s="145">
        <v>6</v>
      </c>
      <c r="X52" s="145">
        <v>4</v>
      </c>
      <c r="Y52" s="145">
        <v>3</v>
      </c>
      <c r="Z52" s="145">
        <v>3</v>
      </c>
      <c r="AA52" s="145">
        <v>1</v>
      </c>
      <c r="AB52" s="145">
        <v>3</v>
      </c>
      <c r="AC52" s="145">
        <v>2</v>
      </c>
      <c r="AD52" s="145">
        <v>4</v>
      </c>
      <c r="AE52" s="145">
        <v>4</v>
      </c>
      <c r="AF52" s="145">
        <v>2</v>
      </c>
      <c r="AG52" s="145">
        <v>0</v>
      </c>
      <c r="AH52" s="15">
        <f t="shared" si="0"/>
        <v>0</v>
      </c>
      <c r="AI52" s="15">
        <f t="shared" si="1"/>
        <v>0</v>
      </c>
      <c r="AJ52" s="15">
        <f t="shared" si="2"/>
        <v>0</v>
      </c>
    </row>
    <row r="53" spans="2:36">
      <c r="B53" s="124"/>
      <c r="C53" s="125">
        <v>50</v>
      </c>
      <c r="D53" s="144">
        <v>6874472.5296821585</v>
      </c>
      <c r="E53" s="144">
        <v>3777710.5252093528</v>
      </c>
      <c r="F53" s="144">
        <v>0</v>
      </c>
      <c r="G53" s="144">
        <v>0</v>
      </c>
      <c r="H53" s="144">
        <v>975751.00919963513</v>
      </c>
      <c r="I53" s="145">
        <v>2</v>
      </c>
      <c r="J53" s="145">
        <v>2</v>
      </c>
      <c r="K53" s="145">
        <v>5</v>
      </c>
      <c r="L53" s="145">
        <v>0</v>
      </c>
      <c r="M53" s="145">
        <v>4</v>
      </c>
      <c r="N53" s="145">
        <v>2</v>
      </c>
      <c r="O53" s="145">
        <v>7</v>
      </c>
      <c r="P53" s="145">
        <v>0</v>
      </c>
      <c r="Q53" s="145">
        <v>6</v>
      </c>
      <c r="R53" s="145">
        <v>3</v>
      </c>
      <c r="S53" s="145">
        <v>6</v>
      </c>
      <c r="T53" s="145">
        <v>2</v>
      </c>
      <c r="U53" s="145">
        <v>5</v>
      </c>
      <c r="V53" s="145">
        <v>3</v>
      </c>
      <c r="W53" s="145">
        <v>6</v>
      </c>
      <c r="X53" s="145">
        <v>4</v>
      </c>
      <c r="Y53" s="145">
        <v>3</v>
      </c>
      <c r="Z53" s="145">
        <v>3</v>
      </c>
      <c r="AA53" s="145">
        <v>1</v>
      </c>
      <c r="AB53" s="145">
        <v>3</v>
      </c>
      <c r="AC53" s="145">
        <v>2</v>
      </c>
      <c r="AD53" s="145">
        <v>4</v>
      </c>
      <c r="AE53" s="145">
        <v>0</v>
      </c>
      <c r="AF53" s="145">
        <v>2</v>
      </c>
      <c r="AG53" s="145">
        <v>0</v>
      </c>
      <c r="AH53" s="15">
        <f t="shared" si="0"/>
        <v>0</v>
      </c>
      <c r="AI53" s="15">
        <f t="shared" si="1"/>
        <v>0</v>
      </c>
      <c r="AJ53" s="15">
        <f t="shared" si="2"/>
        <v>0</v>
      </c>
    </row>
    <row r="54" spans="2:36">
      <c r="B54" s="124"/>
      <c r="C54" s="125">
        <v>51</v>
      </c>
      <c r="D54" s="144">
        <v>5901115.195291019</v>
      </c>
      <c r="E54" s="144">
        <v>3217591.9411528739</v>
      </c>
      <c r="F54" s="144">
        <v>0</v>
      </c>
      <c r="G54" s="144">
        <v>0</v>
      </c>
      <c r="H54" s="144">
        <v>975751.00919963513</v>
      </c>
      <c r="I54" s="145">
        <v>2</v>
      </c>
      <c r="J54" s="145">
        <v>2</v>
      </c>
      <c r="K54" s="145">
        <v>5</v>
      </c>
      <c r="L54" s="145">
        <v>0</v>
      </c>
      <c r="M54" s="145">
        <v>4</v>
      </c>
      <c r="N54" s="145">
        <v>2</v>
      </c>
      <c r="O54" s="145">
        <v>7</v>
      </c>
      <c r="P54" s="145">
        <v>0</v>
      </c>
      <c r="Q54" s="145">
        <v>6</v>
      </c>
      <c r="R54" s="145">
        <v>3</v>
      </c>
      <c r="S54" s="145">
        <v>0</v>
      </c>
      <c r="T54" s="145">
        <v>2</v>
      </c>
      <c r="U54" s="145">
        <v>5</v>
      </c>
      <c r="V54" s="145">
        <v>3</v>
      </c>
      <c r="W54" s="145">
        <v>0</v>
      </c>
      <c r="X54" s="145">
        <v>4</v>
      </c>
      <c r="Y54" s="145">
        <v>0</v>
      </c>
      <c r="Z54" s="145">
        <v>3</v>
      </c>
      <c r="AA54" s="145">
        <v>1</v>
      </c>
      <c r="AB54" s="145">
        <v>3</v>
      </c>
      <c r="AC54" s="145">
        <v>2</v>
      </c>
      <c r="AD54" s="145">
        <v>0</v>
      </c>
      <c r="AE54" s="145">
        <v>0</v>
      </c>
      <c r="AF54" s="145">
        <v>2</v>
      </c>
      <c r="AG54" s="145">
        <v>6</v>
      </c>
      <c r="AH54" s="15">
        <f t="shared" si="0"/>
        <v>0</v>
      </c>
      <c r="AI54" s="15">
        <f t="shared" si="1"/>
        <v>0</v>
      </c>
      <c r="AJ54" s="15">
        <f t="shared" si="2"/>
        <v>0</v>
      </c>
    </row>
    <row r="55" spans="2:36">
      <c r="B55" s="124"/>
      <c r="C55" s="125">
        <v>52</v>
      </c>
      <c r="D55" s="144">
        <v>5990251.324284832</v>
      </c>
      <c r="E55" s="144">
        <v>3308395.3096367749</v>
      </c>
      <c r="F55" s="144">
        <v>0</v>
      </c>
      <c r="G55" s="144">
        <v>0</v>
      </c>
      <c r="H55" s="144">
        <v>975751.00919963513</v>
      </c>
      <c r="I55" s="145">
        <v>2</v>
      </c>
      <c r="J55" s="145">
        <v>2</v>
      </c>
      <c r="K55" s="145">
        <v>5</v>
      </c>
      <c r="L55" s="145">
        <v>0</v>
      </c>
      <c r="M55" s="145">
        <v>4</v>
      </c>
      <c r="N55" s="145">
        <v>2</v>
      </c>
      <c r="O55" s="145">
        <v>7</v>
      </c>
      <c r="P55" s="145">
        <v>5</v>
      </c>
      <c r="Q55" s="145">
        <v>6</v>
      </c>
      <c r="R55" s="145">
        <v>0</v>
      </c>
      <c r="S55" s="145">
        <v>0</v>
      </c>
      <c r="T55" s="145">
        <v>2</v>
      </c>
      <c r="U55" s="145">
        <v>5</v>
      </c>
      <c r="V55" s="145">
        <v>0</v>
      </c>
      <c r="W55" s="145">
        <v>0</v>
      </c>
      <c r="X55" s="145">
        <v>4</v>
      </c>
      <c r="Y55" s="145">
        <v>4</v>
      </c>
      <c r="Z55" s="145">
        <v>3</v>
      </c>
      <c r="AA55" s="145">
        <v>1</v>
      </c>
      <c r="AB55" s="145">
        <v>3</v>
      </c>
      <c r="AC55" s="145">
        <v>2</v>
      </c>
      <c r="AD55" s="145">
        <v>0</v>
      </c>
      <c r="AE55" s="145">
        <v>5</v>
      </c>
      <c r="AF55" s="145">
        <v>2</v>
      </c>
      <c r="AG55" s="145">
        <v>6</v>
      </c>
      <c r="AH55" s="15">
        <f t="shared" si="0"/>
        <v>0</v>
      </c>
      <c r="AI55" s="15">
        <f t="shared" si="1"/>
        <v>0</v>
      </c>
      <c r="AJ55" s="15">
        <f t="shared" si="2"/>
        <v>0</v>
      </c>
    </row>
    <row r="56" spans="2:36">
      <c r="B56" s="124"/>
      <c r="C56" s="125">
        <v>53</v>
      </c>
      <c r="D56" s="144">
        <v>7443856.1926503247</v>
      </c>
      <c r="E56" s="144">
        <v>4097730.5552950478</v>
      </c>
      <c r="F56" s="144">
        <v>0</v>
      </c>
      <c r="G56" s="144">
        <v>0</v>
      </c>
      <c r="H56" s="144">
        <v>975751.00919963513</v>
      </c>
      <c r="I56" s="145">
        <v>2</v>
      </c>
      <c r="J56" s="145">
        <v>2</v>
      </c>
      <c r="K56" s="145">
        <v>5</v>
      </c>
      <c r="L56" s="145">
        <v>6</v>
      </c>
      <c r="M56" s="145">
        <v>4</v>
      </c>
      <c r="N56" s="145">
        <v>2</v>
      </c>
      <c r="O56" s="145">
        <v>7</v>
      </c>
      <c r="P56" s="145">
        <v>5</v>
      </c>
      <c r="Q56" s="145">
        <v>6</v>
      </c>
      <c r="R56" s="145">
        <v>0</v>
      </c>
      <c r="S56" s="145">
        <v>7</v>
      </c>
      <c r="T56" s="145">
        <v>2</v>
      </c>
      <c r="U56" s="145">
        <v>5</v>
      </c>
      <c r="V56" s="145">
        <v>0</v>
      </c>
      <c r="W56" s="145">
        <v>7</v>
      </c>
      <c r="X56" s="145">
        <v>4</v>
      </c>
      <c r="Y56" s="145">
        <v>4</v>
      </c>
      <c r="Z56" s="145">
        <v>3</v>
      </c>
      <c r="AA56" s="145">
        <v>1</v>
      </c>
      <c r="AB56" s="145">
        <v>3</v>
      </c>
      <c r="AC56" s="145">
        <v>2</v>
      </c>
      <c r="AD56" s="145">
        <v>5</v>
      </c>
      <c r="AE56" s="145">
        <v>5</v>
      </c>
      <c r="AF56" s="145">
        <v>2</v>
      </c>
      <c r="AG56" s="145">
        <v>6</v>
      </c>
      <c r="AH56" s="15">
        <f t="shared" si="0"/>
        <v>0</v>
      </c>
      <c r="AI56" s="15">
        <f t="shared" si="1"/>
        <v>0</v>
      </c>
      <c r="AJ56" s="15">
        <f t="shared" si="2"/>
        <v>0</v>
      </c>
    </row>
    <row r="57" spans="2:36">
      <c r="B57" s="124"/>
      <c r="C57" s="125">
        <v>54</v>
      </c>
      <c r="D57" s="144">
        <v>7559718.9026276944</v>
      </c>
      <c r="E57" s="144">
        <v>4150264.6210866012</v>
      </c>
      <c r="F57" s="144">
        <v>0</v>
      </c>
      <c r="G57" s="144">
        <v>0</v>
      </c>
      <c r="H57" s="144">
        <v>975751.00919963513</v>
      </c>
      <c r="I57" s="145">
        <v>2</v>
      </c>
      <c r="J57" s="145">
        <v>2</v>
      </c>
      <c r="K57" s="145">
        <v>5</v>
      </c>
      <c r="L57" s="145">
        <v>6</v>
      </c>
      <c r="M57" s="145">
        <v>4</v>
      </c>
      <c r="N57" s="145">
        <v>0</v>
      </c>
      <c r="O57" s="145">
        <v>7</v>
      </c>
      <c r="P57" s="145">
        <v>5</v>
      </c>
      <c r="Q57" s="145">
        <v>6</v>
      </c>
      <c r="R57" s="145">
        <v>4</v>
      </c>
      <c r="S57" s="145">
        <v>7</v>
      </c>
      <c r="T57" s="145">
        <v>2</v>
      </c>
      <c r="U57" s="145">
        <v>5</v>
      </c>
      <c r="V57" s="145">
        <v>4</v>
      </c>
      <c r="W57" s="145">
        <v>0</v>
      </c>
      <c r="X57" s="145">
        <v>4</v>
      </c>
      <c r="Y57" s="145">
        <v>4</v>
      </c>
      <c r="Z57" s="145">
        <v>3</v>
      </c>
      <c r="AA57" s="145">
        <v>1</v>
      </c>
      <c r="AB57" s="145">
        <v>3</v>
      </c>
      <c r="AC57" s="145">
        <v>2</v>
      </c>
      <c r="AD57" s="145">
        <v>5</v>
      </c>
      <c r="AE57" s="145">
        <v>5</v>
      </c>
      <c r="AF57" s="145">
        <v>2</v>
      </c>
      <c r="AG57" s="145">
        <v>6</v>
      </c>
      <c r="AH57" s="15">
        <f t="shared" si="0"/>
        <v>0</v>
      </c>
      <c r="AI57" s="15">
        <f t="shared" si="1"/>
        <v>0</v>
      </c>
      <c r="AJ57" s="15">
        <f t="shared" si="2"/>
        <v>0</v>
      </c>
    </row>
    <row r="58" spans="2:36">
      <c r="B58" s="124"/>
      <c r="C58" s="125">
        <v>55</v>
      </c>
      <c r="D58" s="144">
        <v>6393966.1206568535</v>
      </c>
      <c r="E58" s="144">
        <v>3560561.707712912</v>
      </c>
      <c r="F58" s="144">
        <v>0</v>
      </c>
      <c r="G58" s="144">
        <v>0</v>
      </c>
      <c r="H58" s="144">
        <v>975751.00919963513</v>
      </c>
      <c r="I58" s="145">
        <v>2</v>
      </c>
      <c r="J58" s="145">
        <v>2</v>
      </c>
      <c r="K58" s="145">
        <v>5</v>
      </c>
      <c r="L58" s="145">
        <v>6</v>
      </c>
      <c r="M58" s="145">
        <v>4</v>
      </c>
      <c r="N58" s="145">
        <v>0</v>
      </c>
      <c r="O58" s="145">
        <v>7</v>
      </c>
      <c r="P58" s="145">
        <v>5</v>
      </c>
      <c r="Q58" s="145">
        <v>0</v>
      </c>
      <c r="R58" s="145">
        <v>4</v>
      </c>
      <c r="S58" s="145">
        <v>7</v>
      </c>
      <c r="T58" s="145">
        <v>0</v>
      </c>
      <c r="U58" s="145">
        <v>0</v>
      </c>
      <c r="V58" s="145">
        <v>4</v>
      </c>
      <c r="W58" s="145">
        <v>0</v>
      </c>
      <c r="X58" s="145">
        <v>4</v>
      </c>
      <c r="Y58" s="145">
        <v>4</v>
      </c>
      <c r="Z58" s="145">
        <v>3</v>
      </c>
      <c r="AA58" s="145">
        <v>1</v>
      </c>
      <c r="AB58" s="145">
        <v>3</v>
      </c>
      <c r="AC58" s="145">
        <v>0</v>
      </c>
      <c r="AD58" s="145">
        <v>5</v>
      </c>
      <c r="AE58" s="145">
        <v>5</v>
      </c>
      <c r="AF58" s="145">
        <v>2</v>
      </c>
      <c r="AG58" s="145">
        <v>6</v>
      </c>
      <c r="AH58" s="15">
        <f t="shared" si="0"/>
        <v>0</v>
      </c>
      <c r="AI58" s="15">
        <f t="shared" si="1"/>
        <v>0</v>
      </c>
      <c r="AJ58" s="15">
        <f t="shared" si="2"/>
        <v>0</v>
      </c>
    </row>
    <row r="59" spans="2:36">
      <c r="B59" s="124"/>
      <c r="C59" s="125">
        <v>56</v>
      </c>
      <c r="D59" s="144">
        <v>7004168.136643338</v>
      </c>
      <c r="E59" s="144">
        <v>3840121.635940284</v>
      </c>
      <c r="F59" s="144">
        <v>0</v>
      </c>
      <c r="G59" s="144">
        <v>0</v>
      </c>
      <c r="H59" s="144">
        <v>975751.00919963513</v>
      </c>
      <c r="I59" s="145">
        <v>2</v>
      </c>
      <c r="J59" s="145">
        <v>2</v>
      </c>
      <c r="K59" s="145">
        <v>0</v>
      </c>
      <c r="L59" s="145">
        <v>6</v>
      </c>
      <c r="M59" s="145">
        <v>4</v>
      </c>
      <c r="N59" s="145">
        <v>3</v>
      </c>
      <c r="O59" s="145">
        <v>7</v>
      </c>
      <c r="P59" s="145">
        <v>5</v>
      </c>
      <c r="Q59" s="145">
        <v>7</v>
      </c>
      <c r="R59" s="145">
        <v>4</v>
      </c>
      <c r="S59" s="145">
        <v>7</v>
      </c>
      <c r="T59" s="145">
        <v>3</v>
      </c>
      <c r="U59" s="145">
        <v>0</v>
      </c>
      <c r="V59" s="145">
        <v>4</v>
      </c>
      <c r="W59" s="145">
        <v>8</v>
      </c>
      <c r="X59" s="145">
        <v>4</v>
      </c>
      <c r="Y59" s="145">
        <v>4</v>
      </c>
      <c r="Z59" s="145">
        <v>3</v>
      </c>
      <c r="AA59" s="145">
        <v>1</v>
      </c>
      <c r="AB59" s="145">
        <v>0</v>
      </c>
      <c r="AC59" s="145">
        <v>3</v>
      </c>
      <c r="AD59" s="145">
        <v>5</v>
      </c>
      <c r="AE59" s="145">
        <v>5</v>
      </c>
      <c r="AF59" s="145">
        <v>2</v>
      </c>
      <c r="AG59" s="145">
        <v>0</v>
      </c>
      <c r="AH59" s="15">
        <f t="shared" si="0"/>
        <v>0</v>
      </c>
      <c r="AI59" s="15">
        <f t="shared" si="1"/>
        <v>0</v>
      </c>
      <c r="AJ59" s="15">
        <f t="shared" si="2"/>
        <v>0</v>
      </c>
    </row>
    <row r="60" spans="2:36">
      <c r="B60" s="124"/>
      <c r="C60" s="125">
        <v>57</v>
      </c>
      <c r="D60" s="144">
        <v>6697060.7029577009</v>
      </c>
      <c r="E60" s="144">
        <v>3672838.1318140309</v>
      </c>
      <c r="F60" s="144">
        <v>0</v>
      </c>
      <c r="G60" s="144">
        <v>0</v>
      </c>
      <c r="H60" s="144">
        <v>975751.00919963513</v>
      </c>
      <c r="I60" s="145">
        <v>2</v>
      </c>
      <c r="J60" s="145">
        <v>2</v>
      </c>
      <c r="K60" s="145">
        <v>0</v>
      </c>
      <c r="L60" s="145">
        <v>6</v>
      </c>
      <c r="M60" s="145">
        <v>0</v>
      </c>
      <c r="N60" s="145">
        <v>3</v>
      </c>
      <c r="O60" s="145">
        <v>7</v>
      </c>
      <c r="P60" s="145">
        <v>5</v>
      </c>
      <c r="Q60" s="145">
        <v>0</v>
      </c>
      <c r="R60" s="145">
        <v>4</v>
      </c>
      <c r="S60" s="145">
        <v>7</v>
      </c>
      <c r="T60" s="145">
        <v>3</v>
      </c>
      <c r="U60" s="145">
        <v>6</v>
      </c>
      <c r="V60" s="145">
        <v>4</v>
      </c>
      <c r="W60" s="145">
        <v>8</v>
      </c>
      <c r="X60" s="145">
        <v>4</v>
      </c>
      <c r="Y60" s="145">
        <v>4</v>
      </c>
      <c r="Z60" s="145">
        <v>0</v>
      </c>
      <c r="AA60" s="145">
        <v>1</v>
      </c>
      <c r="AB60" s="145">
        <v>4</v>
      </c>
      <c r="AC60" s="145">
        <v>3</v>
      </c>
      <c r="AD60" s="145">
        <v>5</v>
      </c>
      <c r="AE60" s="145">
        <v>5</v>
      </c>
      <c r="AF60" s="145">
        <v>2</v>
      </c>
      <c r="AG60" s="145">
        <v>7</v>
      </c>
      <c r="AH60" s="15">
        <f t="shared" si="0"/>
        <v>0</v>
      </c>
      <c r="AI60" s="15">
        <f t="shared" si="1"/>
        <v>0</v>
      </c>
      <c r="AJ60" s="15">
        <f t="shared" si="2"/>
        <v>0</v>
      </c>
    </row>
    <row r="61" spans="2:36">
      <c r="B61" s="124"/>
      <c r="C61" s="125">
        <v>58</v>
      </c>
      <c r="D61" s="144">
        <v>6996331.7243800815</v>
      </c>
      <c r="E61" s="144">
        <v>3845698.1121534444</v>
      </c>
      <c r="F61" s="144">
        <v>0</v>
      </c>
      <c r="G61" s="144">
        <v>0</v>
      </c>
      <c r="H61" s="144">
        <v>975751.00919963513</v>
      </c>
      <c r="I61" s="145">
        <v>0</v>
      </c>
      <c r="J61" s="145">
        <v>2</v>
      </c>
      <c r="K61" s="145">
        <v>0</v>
      </c>
      <c r="L61" s="145">
        <v>6</v>
      </c>
      <c r="M61" s="145">
        <v>5</v>
      </c>
      <c r="N61" s="145">
        <v>3</v>
      </c>
      <c r="O61" s="145">
        <v>7</v>
      </c>
      <c r="P61" s="145">
        <v>5</v>
      </c>
      <c r="Q61" s="145">
        <v>8</v>
      </c>
      <c r="R61" s="145">
        <v>4</v>
      </c>
      <c r="S61" s="145">
        <v>7</v>
      </c>
      <c r="T61" s="145">
        <v>3</v>
      </c>
      <c r="U61" s="145">
        <v>6</v>
      </c>
      <c r="V61" s="145">
        <v>4</v>
      </c>
      <c r="W61" s="145">
        <v>8</v>
      </c>
      <c r="X61" s="145">
        <v>4</v>
      </c>
      <c r="Y61" s="145">
        <v>4</v>
      </c>
      <c r="Z61" s="145">
        <v>0</v>
      </c>
      <c r="AA61" s="145">
        <v>1</v>
      </c>
      <c r="AB61" s="145">
        <v>4</v>
      </c>
      <c r="AC61" s="145">
        <v>3</v>
      </c>
      <c r="AD61" s="145">
        <v>5</v>
      </c>
      <c r="AE61" s="145">
        <v>5</v>
      </c>
      <c r="AF61" s="145">
        <v>2</v>
      </c>
      <c r="AG61" s="145">
        <v>7</v>
      </c>
      <c r="AH61" s="15">
        <f t="shared" si="0"/>
        <v>0</v>
      </c>
      <c r="AI61" s="15">
        <f t="shared" si="1"/>
        <v>0</v>
      </c>
      <c r="AJ61" s="15">
        <f t="shared" si="2"/>
        <v>0</v>
      </c>
    </row>
    <row r="62" spans="2:36">
      <c r="B62" s="124"/>
      <c r="C62" s="125">
        <v>59</v>
      </c>
      <c r="D62" s="144">
        <v>7206381.9135977179</v>
      </c>
      <c r="E62" s="144">
        <v>4087586.9626153489</v>
      </c>
      <c r="F62" s="144">
        <v>0</v>
      </c>
      <c r="G62" s="144">
        <v>0</v>
      </c>
      <c r="H62" s="144">
        <v>975751.00919963513</v>
      </c>
      <c r="I62" s="145">
        <v>3</v>
      </c>
      <c r="J62" s="145">
        <v>2</v>
      </c>
      <c r="K62" s="145">
        <v>6</v>
      </c>
      <c r="L62" s="145">
        <v>6</v>
      </c>
      <c r="M62" s="145">
        <v>5</v>
      </c>
      <c r="N62" s="145">
        <v>3</v>
      </c>
      <c r="O62" s="145">
        <v>7</v>
      </c>
      <c r="P62" s="145">
        <v>5</v>
      </c>
      <c r="Q62" s="145">
        <v>8</v>
      </c>
      <c r="R62" s="145">
        <v>4</v>
      </c>
      <c r="S62" s="145">
        <v>7</v>
      </c>
      <c r="T62" s="145">
        <v>3</v>
      </c>
      <c r="U62" s="145">
        <v>6</v>
      </c>
      <c r="V62" s="145">
        <v>4</v>
      </c>
      <c r="W62" s="145">
        <v>0</v>
      </c>
      <c r="X62" s="145">
        <v>0</v>
      </c>
      <c r="Y62" s="145">
        <v>4</v>
      </c>
      <c r="Z62" s="145">
        <v>4</v>
      </c>
      <c r="AA62" s="145">
        <v>1</v>
      </c>
      <c r="AB62" s="145">
        <v>4</v>
      </c>
      <c r="AC62" s="145">
        <v>3</v>
      </c>
      <c r="AD62" s="145">
        <v>5</v>
      </c>
      <c r="AE62" s="145">
        <v>5</v>
      </c>
      <c r="AF62" s="145">
        <v>2</v>
      </c>
      <c r="AG62" s="145">
        <v>7</v>
      </c>
      <c r="AH62" s="15">
        <f t="shared" si="0"/>
        <v>0</v>
      </c>
      <c r="AI62" s="15">
        <f t="shared" si="1"/>
        <v>0</v>
      </c>
      <c r="AJ62" s="15">
        <f t="shared" si="2"/>
        <v>0</v>
      </c>
    </row>
    <row r="63" spans="2:36">
      <c r="B63" s="124"/>
      <c r="C63" s="125">
        <v>60</v>
      </c>
      <c r="D63" s="144">
        <v>6071959.133383505</v>
      </c>
      <c r="E63" s="144">
        <v>3415453.7962522949</v>
      </c>
      <c r="F63" s="144">
        <v>0</v>
      </c>
      <c r="G63" s="144">
        <v>0</v>
      </c>
      <c r="H63" s="144">
        <v>975751.00919963513</v>
      </c>
      <c r="I63" s="145">
        <v>3</v>
      </c>
      <c r="J63" s="145">
        <v>2</v>
      </c>
      <c r="K63" s="145">
        <v>6</v>
      </c>
      <c r="L63" s="145">
        <v>0</v>
      </c>
      <c r="M63" s="145">
        <v>5</v>
      </c>
      <c r="N63" s="145">
        <v>3</v>
      </c>
      <c r="O63" s="145">
        <v>7</v>
      </c>
      <c r="P63" s="145">
        <v>5</v>
      </c>
      <c r="Q63" s="145">
        <v>8</v>
      </c>
      <c r="R63" s="145">
        <v>4</v>
      </c>
      <c r="S63" s="145">
        <v>7</v>
      </c>
      <c r="T63" s="145">
        <v>3</v>
      </c>
      <c r="U63" s="145">
        <v>6</v>
      </c>
      <c r="V63" s="145">
        <v>0</v>
      </c>
      <c r="W63" s="145">
        <v>0</v>
      </c>
      <c r="X63" s="145">
        <v>5</v>
      </c>
      <c r="Y63" s="145">
        <v>4</v>
      </c>
      <c r="Z63" s="145">
        <v>4</v>
      </c>
      <c r="AA63" s="145">
        <v>0</v>
      </c>
      <c r="AB63" s="145">
        <v>4</v>
      </c>
      <c r="AC63" s="145">
        <v>0</v>
      </c>
      <c r="AD63" s="145">
        <v>5</v>
      </c>
      <c r="AE63" s="145">
        <v>0</v>
      </c>
      <c r="AF63" s="145">
        <v>2</v>
      </c>
      <c r="AG63" s="145">
        <v>7</v>
      </c>
      <c r="AH63" s="15">
        <f t="shared" si="0"/>
        <v>0</v>
      </c>
      <c r="AI63" s="15">
        <f t="shared" si="1"/>
        <v>0</v>
      </c>
      <c r="AJ63" s="15">
        <f t="shared" si="2"/>
        <v>0</v>
      </c>
    </row>
    <row r="64" spans="2:36">
      <c r="B64" s="124"/>
      <c r="C64" s="125">
        <v>61</v>
      </c>
      <c r="D64" s="144">
        <v>6650165.4533460122</v>
      </c>
      <c r="E64" s="144">
        <v>3705946.7249242258</v>
      </c>
      <c r="F64" s="144">
        <v>0</v>
      </c>
      <c r="G64" s="144">
        <v>0</v>
      </c>
      <c r="H64" s="144">
        <v>975751.00919963513</v>
      </c>
      <c r="I64" s="145">
        <v>3</v>
      </c>
      <c r="J64" s="145">
        <v>2</v>
      </c>
      <c r="K64" s="145">
        <v>6</v>
      </c>
      <c r="L64" s="145">
        <v>7</v>
      </c>
      <c r="M64" s="145">
        <v>5</v>
      </c>
      <c r="N64" s="145">
        <v>3</v>
      </c>
      <c r="O64" s="145">
        <v>0</v>
      </c>
      <c r="P64" s="145">
        <v>5</v>
      </c>
      <c r="Q64" s="145">
        <v>8</v>
      </c>
      <c r="R64" s="145">
        <v>4</v>
      </c>
      <c r="S64" s="145">
        <v>0</v>
      </c>
      <c r="T64" s="145">
        <v>3</v>
      </c>
      <c r="U64" s="145">
        <v>6</v>
      </c>
      <c r="V64" s="145">
        <v>5</v>
      </c>
      <c r="W64" s="145">
        <v>9</v>
      </c>
      <c r="X64" s="145">
        <v>5</v>
      </c>
      <c r="Y64" s="145">
        <v>4</v>
      </c>
      <c r="Z64" s="145">
        <v>4</v>
      </c>
      <c r="AA64" s="145">
        <v>2</v>
      </c>
      <c r="AB64" s="145">
        <v>4</v>
      </c>
      <c r="AC64" s="145">
        <v>4</v>
      </c>
      <c r="AD64" s="145">
        <v>5</v>
      </c>
      <c r="AE64" s="145">
        <v>0</v>
      </c>
      <c r="AF64" s="145">
        <v>0</v>
      </c>
      <c r="AG64" s="145">
        <v>7</v>
      </c>
      <c r="AH64" s="15">
        <f t="shared" si="0"/>
        <v>0</v>
      </c>
      <c r="AI64" s="15">
        <f t="shared" si="1"/>
        <v>0</v>
      </c>
      <c r="AJ64" s="15">
        <f t="shared" si="2"/>
        <v>0</v>
      </c>
    </row>
    <row r="65" spans="2:36">
      <c r="B65" s="124"/>
      <c r="C65" s="125">
        <v>62</v>
      </c>
      <c r="D65" s="144">
        <v>5443224.540782907</v>
      </c>
      <c r="E65" s="144">
        <v>2996579.074554625</v>
      </c>
      <c r="F65" s="144">
        <v>0</v>
      </c>
      <c r="G65" s="144">
        <v>0</v>
      </c>
      <c r="H65" s="144">
        <v>975751.00919963513</v>
      </c>
      <c r="I65" s="145">
        <v>3</v>
      </c>
      <c r="J65" s="145">
        <v>0</v>
      </c>
      <c r="K65" s="145">
        <v>6</v>
      </c>
      <c r="L65" s="145">
        <v>7</v>
      </c>
      <c r="M65" s="145">
        <v>5</v>
      </c>
      <c r="N65" s="145">
        <v>0</v>
      </c>
      <c r="O65" s="145">
        <v>0</v>
      </c>
      <c r="P65" s="145">
        <v>5</v>
      </c>
      <c r="Q65" s="145">
        <v>8</v>
      </c>
      <c r="R65" s="145">
        <v>4</v>
      </c>
      <c r="S65" s="145">
        <v>0</v>
      </c>
      <c r="T65" s="145">
        <v>0</v>
      </c>
      <c r="U65" s="145">
        <v>6</v>
      </c>
      <c r="V65" s="145">
        <v>5</v>
      </c>
      <c r="W65" s="145">
        <v>0</v>
      </c>
      <c r="X65" s="145">
        <v>5</v>
      </c>
      <c r="Y65" s="145">
        <v>0</v>
      </c>
      <c r="Z65" s="145">
        <v>4</v>
      </c>
      <c r="AA65" s="145">
        <v>2</v>
      </c>
      <c r="AB65" s="145">
        <v>4</v>
      </c>
      <c r="AC65" s="145">
        <v>4</v>
      </c>
      <c r="AD65" s="145">
        <v>5</v>
      </c>
      <c r="AE65" s="145">
        <v>6</v>
      </c>
      <c r="AF65" s="145">
        <v>0</v>
      </c>
      <c r="AG65" s="145">
        <v>7</v>
      </c>
      <c r="AH65" s="15">
        <f t="shared" si="0"/>
        <v>0</v>
      </c>
      <c r="AI65" s="15">
        <f t="shared" si="1"/>
        <v>0</v>
      </c>
      <c r="AJ65" s="15">
        <f t="shared" si="2"/>
        <v>0</v>
      </c>
    </row>
    <row r="66" spans="2:36">
      <c r="B66" s="124"/>
      <c r="C66" s="125">
        <v>63</v>
      </c>
      <c r="D66" s="144">
        <v>6563555.3183067832</v>
      </c>
      <c r="E66" s="144">
        <v>3658142.1108041666</v>
      </c>
      <c r="F66" s="144">
        <v>0</v>
      </c>
      <c r="G66" s="144">
        <v>0</v>
      </c>
      <c r="H66" s="144">
        <v>975751.00919963513</v>
      </c>
      <c r="I66" s="145">
        <v>3</v>
      </c>
      <c r="J66" s="145">
        <v>0</v>
      </c>
      <c r="K66" s="145">
        <v>0</v>
      </c>
      <c r="L66" s="145">
        <v>7</v>
      </c>
      <c r="M66" s="145">
        <v>5</v>
      </c>
      <c r="N66" s="145">
        <v>4</v>
      </c>
      <c r="O66" s="145">
        <v>8</v>
      </c>
      <c r="P66" s="145">
        <v>5</v>
      </c>
      <c r="Q66" s="145">
        <v>8</v>
      </c>
      <c r="R66" s="145">
        <v>4</v>
      </c>
      <c r="S66" s="145">
        <v>8</v>
      </c>
      <c r="T66" s="145">
        <v>0</v>
      </c>
      <c r="U66" s="145">
        <v>6</v>
      </c>
      <c r="V66" s="145">
        <v>5</v>
      </c>
      <c r="W66" s="145">
        <v>0</v>
      </c>
      <c r="X66" s="145">
        <v>5</v>
      </c>
      <c r="Y66" s="145">
        <v>0</v>
      </c>
      <c r="Z66" s="145">
        <v>4</v>
      </c>
      <c r="AA66" s="145">
        <v>2</v>
      </c>
      <c r="AB66" s="145">
        <v>4</v>
      </c>
      <c r="AC66" s="145">
        <v>4</v>
      </c>
      <c r="AD66" s="145">
        <v>5</v>
      </c>
      <c r="AE66" s="145">
        <v>6</v>
      </c>
      <c r="AF66" s="145">
        <v>3</v>
      </c>
      <c r="AG66" s="145">
        <v>7</v>
      </c>
      <c r="AH66" s="15">
        <f t="shared" si="0"/>
        <v>0</v>
      </c>
      <c r="AI66" s="15">
        <f t="shared" si="1"/>
        <v>0</v>
      </c>
      <c r="AJ66" s="15">
        <f t="shared" si="2"/>
        <v>0</v>
      </c>
    </row>
    <row r="67" spans="2:36">
      <c r="B67" s="124"/>
      <c r="C67" s="125">
        <v>64</v>
      </c>
      <c r="D67" s="144">
        <v>5577161.7469801474</v>
      </c>
      <c r="E67" s="144">
        <v>3113441.5079409759</v>
      </c>
      <c r="F67" s="144">
        <v>0</v>
      </c>
      <c r="G67" s="144">
        <v>0</v>
      </c>
      <c r="H67" s="144">
        <v>975751.00919963513</v>
      </c>
      <c r="I67" s="145">
        <v>3</v>
      </c>
      <c r="J67" s="145">
        <v>0</v>
      </c>
      <c r="K67" s="145">
        <v>0</v>
      </c>
      <c r="L67" s="145">
        <v>7</v>
      </c>
      <c r="M67" s="145">
        <v>5</v>
      </c>
      <c r="N67" s="145">
        <v>4</v>
      </c>
      <c r="O67" s="145">
        <v>0</v>
      </c>
      <c r="P67" s="145">
        <v>0</v>
      </c>
      <c r="Q67" s="145">
        <v>8</v>
      </c>
      <c r="R67" s="145">
        <v>4</v>
      </c>
      <c r="S67" s="145">
        <v>8</v>
      </c>
      <c r="T67" s="145">
        <v>0</v>
      </c>
      <c r="U67" s="145">
        <v>0</v>
      </c>
      <c r="V67" s="145">
        <v>5</v>
      </c>
      <c r="W67" s="145">
        <v>0</v>
      </c>
      <c r="X67" s="145">
        <v>5</v>
      </c>
      <c r="Y67" s="145">
        <v>5</v>
      </c>
      <c r="Z67" s="145">
        <v>4</v>
      </c>
      <c r="AA67" s="145">
        <v>2</v>
      </c>
      <c r="AB67" s="145">
        <v>0</v>
      </c>
      <c r="AC67" s="145">
        <v>4</v>
      </c>
      <c r="AD67" s="145">
        <v>5</v>
      </c>
      <c r="AE67" s="145">
        <v>6</v>
      </c>
      <c r="AF67" s="145">
        <v>3</v>
      </c>
      <c r="AG67" s="145">
        <v>7</v>
      </c>
      <c r="AH67" s="15">
        <f t="shared" si="0"/>
        <v>0</v>
      </c>
      <c r="AI67" s="15">
        <f t="shared" si="1"/>
        <v>0</v>
      </c>
      <c r="AJ67" s="15">
        <f t="shared" si="2"/>
        <v>0</v>
      </c>
    </row>
    <row r="68" spans="2:36">
      <c r="B68" s="124"/>
      <c r="C68" s="125">
        <v>65</v>
      </c>
      <c r="D68" s="144">
        <v>5908067.1733837295</v>
      </c>
      <c r="E68" s="144">
        <v>3281688.1470696474</v>
      </c>
      <c r="F68" s="144">
        <v>0</v>
      </c>
      <c r="G68" s="144">
        <v>0</v>
      </c>
      <c r="H68" s="144">
        <v>975751.00919963513</v>
      </c>
      <c r="I68" s="145">
        <v>0</v>
      </c>
      <c r="J68" s="145">
        <v>3</v>
      </c>
      <c r="K68" s="145">
        <v>0</v>
      </c>
      <c r="L68" s="145">
        <v>7</v>
      </c>
      <c r="M68" s="145">
        <v>5</v>
      </c>
      <c r="N68" s="145">
        <v>4</v>
      </c>
      <c r="O68" s="145">
        <v>0</v>
      </c>
      <c r="P68" s="145">
        <v>0</v>
      </c>
      <c r="Q68" s="145">
        <v>8</v>
      </c>
      <c r="R68" s="145">
        <v>4</v>
      </c>
      <c r="S68" s="145">
        <v>8</v>
      </c>
      <c r="T68" s="145">
        <v>4</v>
      </c>
      <c r="U68" s="145">
        <v>0</v>
      </c>
      <c r="V68" s="145">
        <v>5</v>
      </c>
      <c r="W68" s="145">
        <v>10</v>
      </c>
      <c r="X68" s="145">
        <v>5</v>
      </c>
      <c r="Y68" s="145">
        <v>5</v>
      </c>
      <c r="Z68" s="145">
        <v>4</v>
      </c>
      <c r="AA68" s="145">
        <v>2</v>
      </c>
      <c r="AB68" s="145">
        <v>0</v>
      </c>
      <c r="AC68" s="145">
        <v>4</v>
      </c>
      <c r="AD68" s="145">
        <v>0</v>
      </c>
      <c r="AE68" s="145">
        <v>6</v>
      </c>
      <c r="AF68" s="145">
        <v>3</v>
      </c>
      <c r="AG68" s="145">
        <v>7</v>
      </c>
      <c r="AH68" s="15">
        <f t="shared" ref="AH68:AH131" si="3">FREQUENCY(I68:AG68,-1)</f>
        <v>0</v>
      </c>
      <c r="AI68" s="15">
        <f t="shared" si="1"/>
        <v>0</v>
      </c>
      <c r="AJ68" s="15">
        <f t="shared" si="2"/>
        <v>0</v>
      </c>
    </row>
    <row r="69" spans="2:36">
      <c r="B69" s="124"/>
      <c r="C69" s="125">
        <v>66</v>
      </c>
      <c r="D69" s="144">
        <v>7100057.6008473802</v>
      </c>
      <c r="E69" s="144">
        <v>3954424.8223011876</v>
      </c>
      <c r="F69" s="144">
        <v>0</v>
      </c>
      <c r="G69" s="144">
        <v>0</v>
      </c>
      <c r="H69" s="144">
        <v>975751.00919963513</v>
      </c>
      <c r="I69" s="145">
        <v>4</v>
      </c>
      <c r="J69" s="145">
        <v>3</v>
      </c>
      <c r="K69" s="145">
        <v>7</v>
      </c>
      <c r="L69" s="145">
        <v>7</v>
      </c>
      <c r="M69" s="145">
        <v>5</v>
      </c>
      <c r="N69" s="145">
        <v>4</v>
      </c>
      <c r="O69" s="145">
        <v>9</v>
      </c>
      <c r="P69" s="145">
        <v>6</v>
      </c>
      <c r="Q69" s="145">
        <v>0</v>
      </c>
      <c r="R69" s="145">
        <v>0</v>
      </c>
      <c r="S69" s="145">
        <v>8</v>
      </c>
      <c r="T69" s="145">
        <v>4</v>
      </c>
      <c r="U69" s="145">
        <v>7</v>
      </c>
      <c r="V69" s="145">
        <v>5</v>
      </c>
      <c r="W69" s="145">
        <v>0</v>
      </c>
      <c r="X69" s="145">
        <v>5</v>
      </c>
      <c r="Y69" s="145">
        <v>5</v>
      </c>
      <c r="Z69" s="145">
        <v>4</v>
      </c>
      <c r="AA69" s="145">
        <v>2</v>
      </c>
      <c r="AB69" s="145">
        <v>5</v>
      </c>
      <c r="AC69" s="145">
        <v>4</v>
      </c>
      <c r="AD69" s="145">
        <v>0</v>
      </c>
      <c r="AE69" s="145">
        <v>6</v>
      </c>
      <c r="AF69" s="145">
        <v>3</v>
      </c>
      <c r="AG69" s="145">
        <v>7</v>
      </c>
      <c r="AH69" s="15">
        <f t="shared" si="3"/>
        <v>0</v>
      </c>
      <c r="AI69" s="15">
        <f t="shared" ref="AI69:AI132" si="4">COUNTBLANK(I69:AG69)</f>
        <v>0</v>
      </c>
      <c r="AJ69" s="15">
        <f t="shared" ref="AJ69:AJ132" si="5">SUM(AH69:AI69)</f>
        <v>0</v>
      </c>
    </row>
    <row r="70" spans="2:36">
      <c r="B70" s="124"/>
      <c r="C70" s="125">
        <v>67</v>
      </c>
      <c r="D70" s="144">
        <v>6540202.9387106495</v>
      </c>
      <c r="E70" s="144">
        <v>3589403.8818624085</v>
      </c>
      <c r="F70" s="144">
        <v>0</v>
      </c>
      <c r="G70" s="144">
        <v>0</v>
      </c>
      <c r="H70" s="144">
        <v>975751.00919963513</v>
      </c>
      <c r="I70" s="145">
        <v>4</v>
      </c>
      <c r="J70" s="145">
        <v>3</v>
      </c>
      <c r="K70" s="145">
        <v>7</v>
      </c>
      <c r="L70" s="145">
        <v>7</v>
      </c>
      <c r="M70" s="145">
        <v>5</v>
      </c>
      <c r="N70" s="145">
        <v>4</v>
      </c>
      <c r="O70" s="145">
        <v>9</v>
      </c>
      <c r="P70" s="145">
        <v>6</v>
      </c>
      <c r="Q70" s="145">
        <v>9</v>
      </c>
      <c r="R70" s="145">
        <v>0</v>
      </c>
      <c r="S70" s="145">
        <v>8</v>
      </c>
      <c r="T70" s="145">
        <v>4</v>
      </c>
      <c r="U70" s="145">
        <v>7</v>
      </c>
      <c r="V70" s="145">
        <v>5</v>
      </c>
      <c r="W70" s="145">
        <v>0</v>
      </c>
      <c r="X70" s="145">
        <v>5</v>
      </c>
      <c r="Y70" s="145">
        <v>5</v>
      </c>
      <c r="Z70" s="145">
        <v>0</v>
      </c>
      <c r="AA70" s="145">
        <v>0</v>
      </c>
      <c r="AB70" s="145">
        <v>5</v>
      </c>
      <c r="AC70" s="145">
        <v>4</v>
      </c>
      <c r="AD70" s="145">
        <v>0</v>
      </c>
      <c r="AE70" s="145">
        <v>0</v>
      </c>
      <c r="AF70" s="145">
        <v>3</v>
      </c>
      <c r="AG70" s="145">
        <v>7</v>
      </c>
      <c r="AH70" s="15">
        <f t="shared" si="3"/>
        <v>0</v>
      </c>
      <c r="AI70" s="15">
        <f t="shared" si="4"/>
        <v>0</v>
      </c>
      <c r="AJ70" s="15">
        <f t="shared" si="5"/>
        <v>0</v>
      </c>
    </row>
    <row r="71" spans="2:36">
      <c r="B71" s="124"/>
      <c r="C71" s="125">
        <v>68</v>
      </c>
      <c r="D71" s="144">
        <v>7174415.144051495</v>
      </c>
      <c r="E71" s="144">
        <v>3923136.7107312488</v>
      </c>
      <c r="F71" s="144">
        <v>0</v>
      </c>
      <c r="G71" s="144">
        <v>0</v>
      </c>
      <c r="H71" s="144">
        <v>975751.00919963513</v>
      </c>
      <c r="I71" s="145">
        <v>4</v>
      </c>
      <c r="J71" s="145">
        <v>3</v>
      </c>
      <c r="K71" s="145">
        <v>7</v>
      </c>
      <c r="L71" s="145">
        <v>0</v>
      </c>
      <c r="M71" s="145">
        <v>5</v>
      </c>
      <c r="N71" s="145">
        <v>4</v>
      </c>
      <c r="O71" s="145">
        <v>9</v>
      </c>
      <c r="P71" s="145">
        <v>6</v>
      </c>
      <c r="Q71" s="145">
        <v>9</v>
      </c>
      <c r="R71" s="145">
        <v>5</v>
      </c>
      <c r="S71" s="145">
        <v>0</v>
      </c>
      <c r="T71" s="145">
        <v>4</v>
      </c>
      <c r="U71" s="145">
        <v>7</v>
      </c>
      <c r="V71" s="145">
        <v>5</v>
      </c>
      <c r="W71" s="145">
        <v>11</v>
      </c>
      <c r="X71" s="145">
        <v>0</v>
      </c>
      <c r="Y71" s="145">
        <v>5</v>
      </c>
      <c r="Z71" s="145">
        <v>5</v>
      </c>
      <c r="AA71" s="145">
        <v>3</v>
      </c>
      <c r="AB71" s="145">
        <v>5</v>
      </c>
      <c r="AC71" s="145">
        <v>0</v>
      </c>
      <c r="AD71" s="145">
        <v>6</v>
      </c>
      <c r="AE71" s="145">
        <v>0</v>
      </c>
      <c r="AF71" s="145">
        <v>3</v>
      </c>
      <c r="AG71" s="145">
        <v>7</v>
      </c>
      <c r="AH71" s="15">
        <f t="shared" si="3"/>
        <v>0</v>
      </c>
      <c r="AI71" s="15">
        <f t="shared" si="4"/>
        <v>0</v>
      </c>
      <c r="AJ71" s="15">
        <f t="shared" si="5"/>
        <v>0</v>
      </c>
    </row>
    <row r="72" spans="2:36">
      <c r="B72" s="124"/>
      <c r="C72" s="125">
        <v>69</v>
      </c>
      <c r="D72" s="144">
        <v>6597806.6112013441</v>
      </c>
      <c r="E72" s="144">
        <v>3581617.4364652163</v>
      </c>
      <c r="F72" s="144">
        <v>0</v>
      </c>
      <c r="G72" s="144">
        <v>0</v>
      </c>
      <c r="H72" s="144">
        <v>975751.00919963513</v>
      </c>
      <c r="I72" s="145">
        <v>4</v>
      </c>
      <c r="J72" s="145">
        <v>3</v>
      </c>
      <c r="K72" s="145">
        <v>7</v>
      </c>
      <c r="L72" s="145">
        <v>0</v>
      </c>
      <c r="M72" s="145">
        <v>5</v>
      </c>
      <c r="N72" s="145">
        <v>4</v>
      </c>
      <c r="O72" s="145">
        <v>9</v>
      </c>
      <c r="P72" s="145">
        <v>6</v>
      </c>
      <c r="Q72" s="145">
        <v>9</v>
      </c>
      <c r="R72" s="145">
        <v>0</v>
      </c>
      <c r="S72" s="145">
        <v>0</v>
      </c>
      <c r="T72" s="145">
        <v>4</v>
      </c>
      <c r="U72" s="145">
        <v>7</v>
      </c>
      <c r="V72" s="145">
        <v>5</v>
      </c>
      <c r="W72" s="145">
        <v>11</v>
      </c>
      <c r="X72" s="145">
        <v>0</v>
      </c>
      <c r="Y72" s="145">
        <v>5</v>
      </c>
      <c r="Z72" s="145">
        <v>5</v>
      </c>
      <c r="AA72" s="145">
        <v>3</v>
      </c>
      <c r="AB72" s="145">
        <v>5</v>
      </c>
      <c r="AC72" s="145">
        <v>0</v>
      </c>
      <c r="AD72" s="145">
        <v>6</v>
      </c>
      <c r="AE72" s="145">
        <v>0</v>
      </c>
      <c r="AF72" s="145">
        <v>3</v>
      </c>
      <c r="AG72" s="145">
        <v>0</v>
      </c>
      <c r="AH72" s="15">
        <f t="shared" si="3"/>
        <v>0</v>
      </c>
      <c r="AI72" s="15">
        <f t="shared" si="4"/>
        <v>0</v>
      </c>
      <c r="AJ72" s="15">
        <f t="shared" si="5"/>
        <v>0</v>
      </c>
    </row>
    <row r="73" spans="2:36">
      <c r="B73" s="124"/>
      <c r="C73" s="125">
        <v>70</v>
      </c>
      <c r="D73" s="144">
        <v>7352898.8157202778</v>
      </c>
      <c r="E73" s="144">
        <v>4057965.6327802115</v>
      </c>
      <c r="F73" s="144">
        <v>0</v>
      </c>
      <c r="G73" s="144">
        <v>0</v>
      </c>
      <c r="H73" s="144">
        <v>975751.00919963513</v>
      </c>
      <c r="I73" s="145">
        <v>4</v>
      </c>
      <c r="J73" s="145">
        <v>3</v>
      </c>
      <c r="K73" s="145">
        <v>7</v>
      </c>
      <c r="L73" s="145">
        <v>0</v>
      </c>
      <c r="M73" s="145">
        <v>0</v>
      </c>
      <c r="N73" s="145">
        <v>4</v>
      </c>
      <c r="O73" s="145">
        <v>9</v>
      </c>
      <c r="P73" s="145">
        <v>6</v>
      </c>
      <c r="Q73" s="145">
        <v>9</v>
      </c>
      <c r="R73" s="145">
        <v>0</v>
      </c>
      <c r="S73" s="145">
        <v>9</v>
      </c>
      <c r="T73" s="145">
        <v>4</v>
      </c>
      <c r="U73" s="145">
        <v>7</v>
      </c>
      <c r="V73" s="145">
        <v>5</v>
      </c>
      <c r="W73" s="145">
        <v>11</v>
      </c>
      <c r="X73" s="145">
        <v>0</v>
      </c>
      <c r="Y73" s="145">
        <v>5</v>
      </c>
      <c r="Z73" s="145">
        <v>5</v>
      </c>
      <c r="AA73" s="145">
        <v>3</v>
      </c>
      <c r="AB73" s="145">
        <v>5</v>
      </c>
      <c r="AC73" s="145">
        <v>5</v>
      </c>
      <c r="AD73" s="145">
        <v>6</v>
      </c>
      <c r="AE73" s="145">
        <v>7</v>
      </c>
      <c r="AF73" s="145">
        <v>3</v>
      </c>
      <c r="AG73" s="145">
        <v>0</v>
      </c>
      <c r="AH73" s="15">
        <f t="shared" si="3"/>
        <v>0</v>
      </c>
      <c r="AI73" s="15">
        <f t="shared" si="4"/>
        <v>0</v>
      </c>
      <c r="AJ73" s="15">
        <f t="shared" si="5"/>
        <v>0</v>
      </c>
    </row>
    <row r="74" spans="2:36">
      <c r="B74" s="124"/>
      <c r="C74" s="125">
        <v>71</v>
      </c>
      <c r="D74" s="144">
        <v>6870476.3912322782</v>
      </c>
      <c r="E74" s="144">
        <v>3819054.6067306888</v>
      </c>
      <c r="F74" s="144">
        <v>0</v>
      </c>
      <c r="G74" s="144">
        <v>0</v>
      </c>
      <c r="H74" s="144">
        <v>975751.00919963513</v>
      </c>
      <c r="I74" s="145">
        <v>0</v>
      </c>
      <c r="J74" s="145">
        <v>3</v>
      </c>
      <c r="K74" s="145">
        <v>7</v>
      </c>
      <c r="L74" s="145">
        <v>8</v>
      </c>
      <c r="M74" s="145">
        <v>0</v>
      </c>
      <c r="N74" s="145">
        <v>0</v>
      </c>
      <c r="O74" s="145">
        <v>9</v>
      </c>
      <c r="P74" s="145">
        <v>6</v>
      </c>
      <c r="Q74" s="145">
        <v>9</v>
      </c>
      <c r="R74" s="145">
        <v>6</v>
      </c>
      <c r="S74" s="145">
        <v>9</v>
      </c>
      <c r="T74" s="145">
        <v>0</v>
      </c>
      <c r="U74" s="145">
        <v>7</v>
      </c>
      <c r="V74" s="145">
        <v>5</v>
      </c>
      <c r="W74" s="145">
        <v>11</v>
      </c>
      <c r="X74" s="145">
        <v>6</v>
      </c>
      <c r="Y74" s="145">
        <v>5</v>
      </c>
      <c r="Z74" s="145">
        <v>5</v>
      </c>
      <c r="AA74" s="145">
        <v>3</v>
      </c>
      <c r="AB74" s="145">
        <v>5</v>
      </c>
      <c r="AC74" s="145">
        <v>5</v>
      </c>
      <c r="AD74" s="145">
        <v>6</v>
      </c>
      <c r="AE74" s="145">
        <v>7</v>
      </c>
      <c r="AF74" s="145">
        <v>0</v>
      </c>
      <c r="AG74" s="145">
        <v>0</v>
      </c>
      <c r="AH74" s="15">
        <f t="shared" si="3"/>
        <v>0</v>
      </c>
      <c r="AI74" s="15">
        <f t="shared" si="4"/>
        <v>0</v>
      </c>
      <c r="AJ74" s="15">
        <f t="shared" si="5"/>
        <v>0</v>
      </c>
    </row>
    <row r="75" spans="2:36">
      <c r="B75" s="124"/>
      <c r="C75" s="125">
        <v>72</v>
      </c>
      <c r="D75" s="144">
        <v>5165123.4996888414</v>
      </c>
      <c r="E75" s="144">
        <v>2878481.1419659057</v>
      </c>
      <c r="F75" s="144">
        <v>0</v>
      </c>
      <c r="G75" s="144">
        <v>0</v>
      </c>
      <c r="H75" s="144">
        <v>975751.00919963513</v>
      </c>
      <c r="I75" s="145">
        <v>0</v>
      </c>
      <c r="J75" s="145">
        <v>3</v>
      </c>
      <c r="K75" s="145">
        <v>0</v>
      </c>
      <c r="L75" s="145">
        <v>8</v>
      </c>
      <c r="M75" s="145">
        <v>0</v>
      </c>
      <c r="N75" s="145">
        <v>0</v>
      </c>
      <c r="O75" s="145">
        <v>9</v>
      </c>
      <c r="P75" s="145">
        <v>0</v>
      </c>
      <c r="Q75" s="145">
        <v>0</v>
      </c>
      <c r="R75" s="145">
        <v>6</v>
      </c>
      <c r="S75" s="145">
        <v>9</v>
      </c>
      <c r="T75" s="145">
        <v>0</v>
      </c>
      <c r="U75" s="145">
        <v>7</v>
      </c>
      <c r="V75" s="145">
        <v>5</v>
      </c>
      <c r="W75" s="145">
        <v>11</v>
      </c>
      <c r="X75" s="145">
        <v>6</v>
      </c>
      <c r="Y75" s="145">
        <v>0</v>
      </c>
      <c r="Z75" s="145">
        <v>5</v>
      </c>
      <c r="AA75" s="145">
        <v>0</v>
      </c>
      <c r="AB75" s="145">
        <v>5</v>
      </c>
      <c r="AC75" s="145">
        <v>5</v>
      </c>
      <c r="AD75" s="145">
        <v>6</v>
      </c>
      <c r="AE75" s="145">
        <v>7</v>
      </c>
      <c r="AF75" s="145">
        <v>0</v>
      </c>
      <c r="AG75" s="145">
        <v>8</v>
      </c>
      <c r="AH75" s="15">
        <f t="shared" si="3"/>
        <v>0</v>
      </c>
      <c r="AI75" s="15">
        <f t="shared" si="4"/>
        <v>0</v>
      </c>
      <c r="AJ75" s="15">
        <f t="shared" si="5"/>
        <v>0</v>
      </c>
    </row>
    <row r="76" spans="2:36">
      <c r="B76" s="124"/>
      <c r="C76" s="125">
        <v>73</v>
      </c>
      <c r="D76" s="144">
        <v>6532797.4019902311</v>
      </c>
      <c r="E76" s="144">
        <v>3646698.6497675404</v>
      </c>
      <c r="F76" s="144">
        <v>0</v>
      </c>
      <c r="G76" s="144">
        <v>0</v>
      </c>
      <c r="H76" s="144">
        <v>975751.00919963513</v>
      </c>
      <c r="I76" s="145">
        <v>5</v>
      </c>
      <c r="J76" s="145">
        <v>0</v>
      </c>
      <c r="K76" s="145">
        <v>0</v>
      </c>
      <c r="L76" s="145">
        <v>8</v>
      </c>
      <c r="M76" s="145">
        <v>6</v>
      </c>
      <c r="N76" s="145">
        <v>5</v>
      </c>
      <c r="O76" s="145">
        <v>9</v>
      </c>
      <c r="P76" s="145">
        <v>0</v>
      </c>
      <c r="Q76" s="145">
        <v>10</v>
      </c>
      <c r="R76" s="145">
        <v>6</v>
      </c>
      <c r="S76" s="145">
        <v>9</v>
      </c>
      <c r="T76" s="145">
        <v>5</v>
      </c>
      <c r="U76" s="145">
        <v>7</v>
      </c>
      <c r="V76" s="145">
        <v>0</v>
      </c>
      <c r="W76" s="145">
        <v>11</v>
      </c>
      <c r="X76" s="145">
        <v>6</v>
      </c>
      <c r="Y76" s="145">
        <v>0</v>
      </c>
      <c r="Z76" s="145">
        <v>5</v>
      </c>
      <c r="AA76" s="145">
        <v>0</v>
      </c>
      <c r="AB76" s="145">
        <v>5</v>
      </c>
      <c r="AC76" s="145">
        <v>5</v>
      </c>
      <c r="AD76" s="145">
        <v>6</v>
      </c>
      <c r="AE76" s="145">
        <v>7</v>
      </c>
      <c r="AF76" s="145">
        <v>4</v>
      </c>
      <c r="AG76" s="145">
        <v>8</v>
      </c>
      <c r="AH76" s="15">
        <f t="shared" si="3"/>
        <v>0</v>
      </c>
      <c r="AI76" s="15">
        <f t="shared" si="4"/>
        <v>0</v>
      </c>
      <c r="AJ76" s="15">
        <f t="shared" si="5"/>
        <v>0</v>
      </c>
    </row>
    <row r="77" spans="2:36">
      <c r="B77" s="124"/>
      <c r="C77" s="125">
        <v>74</v>
      </c>
      <c r="D77" s="144">
        <v>6217152.0454570018</v>
      </c>
      <c r="E77" s="144">
        <v>3539736.6411470789</v>
      </c>
      <c r="F77" s="144">
        <v>0</v>
      </c>
      <c r="G77" s="144">
        <v>0</v>
      </c>
      <c r="H77" s="144">
        <v>975751.00919963513</v>
      </c>
      <c r="I77" s="145">
        <v>5</v>
      </c>
      <c r="J77" s="145">
        <v>0</v>
      </c>
      <c r="K77" s="145">
        <v>0</v>
      </c>
      <c r="L77" s="145">
        <v>8</v>
      </c>
      <c r="M77" s="145">
        <v>6</v>
      </c>
      <c r="N77" s="145">
        <v>5</v>
      </c>
      <c r="O77" s="145">
        <v>9</v>
      </c>
      <c r="P77" s="145">
        <v>7</v>
      </c>
      <c r="Q77" s="145">
        <v>10</v>
      </c>
      <c r="R77" s="145">
        <v>6</v>
      </c>
      <c r="S77" s="145">
        <v>0</v>
      </c>
      <c r="T77" s="145">
        <v>5</v>
      </c>
      <c r="U77" s="145">
        <v>7</v>
      </c>
      <c r="V77" s="145">
        <v>0</v>
      </c>
      <c r="W77" s="145">
        <v>11</v>
      </c>
      <c r="X77" s="145">
        <v>6</v>
      </c>
      <c r="Y77" s="145">
        <v>6</v>
      </c>
      <c r="Z77" s="145">
        <v>0</v>
      </c>
      <c r="AA77" s="145">
        <v>0</v>
      </c>
      <c r="AB77" s="145">
        <v>5</v>
      </c>
      <c r="AC77" s="145">
        <v>5</v>
      </c>
      <c r="AD77" s="145">
        <v>0</v>
      </c>
      <c r="AE77" s="145">
        <v>7</v>
      </c>
      <c r="AF77" s="145">
        <v>4</v>
      </c>
      <c r="AG77" s="145">
        <v>8</v>
      </c>
      <c r="AH77" s="15">
        <f t="shared" si="3"/>
        <v>0</v>
      </c>
      <c r="AI77" s="15">
        <f t="shared" si="4"/>
        <v>0</v>
      </c>
      <c r="AJ77" s="15">
        <f t="shared" si="5"/>
        <v>0</v>
      </c>
    </row>
    <row r="78" spans="2:36">
      <c r="B78" s="124"/>
      <c r="C78" s="125">
        <v>75</v>
      </c>
      <c r="D78" s="144">
        <v>6947291.5981752044</v>
      </c>
      <c r="E78" s="144">
        <v>3965758.2536988277</v>
      </c>
      <c r="F78" s="144">
        <v>0</v>
      </c>
      <c r="G78" s="144">
        <v>0</v>
      </c>
      <c r="H78" s="144">
        <v>975751.00919963513</v>
      </c>
      <c r="I78" s="145">
        <v>5</v>
      </c>
      <c r="J78" s="145">
        <v>4</v>
      </c>
      <c r="K78" s="145">
        <v>8</v>
      </c>
      <c r="L78" s="145">
        <v>8</v>
      </c>
      <c r="M78" s="145">
        <v>6</v>
      </c>
      <c r="N78" s="145">
        <v>5</v>
      </c>
      <c r="O78" s="145">
        <v>9</v>
      </c>
      <c r="P78" s="145">
        <v>7</v>
      </c>
      <c r="Q78" s="145">
        <v>10</v>
      </c>
      <c r="R78" s="145">
        <v>6</v>
      </c>
      <c r="S78" s="145">
        <v>0</v>
      </c>
      <c r="T78" s="145">
        <v>5</v>
      </c>
      <c r="U78" s="145">
        <v>7</v>
      </c>
      <c r="V78" s="145">
        <v>0</v>
      </c>
      <c r="W78" s="145">
        <v>11</v>
      </c>
      <c r="X78" s="145">
        <v>6</v>
      </c>
      <c r="Y78" s="145">
        <v>6</v>
      </c>
      <c r="Z78" s="145">
        <v>0</v>
      </c>
      <c r="AA78" s="145">
        <v>4</v>
      </c>
      <c r="AB78" s="145">
        <v>5</v>
      </c>
      <c r="AC78" s="145">
        <v>5</v>
      </c>
      <c r="AD78" s="145">
        <v>0</v>
      </c>
      <c r="AE78" s="145">
        <v>0</v>
      </c>
      <c r="AF78" s="145">
        <v>4</v>
      </c>
      <c r="AG78" s="145">
        <v>8</v>
      </c>
      <c r="AH78" s="15">
        <f t="shared" si="3"/>
        <v>0</v>
      </c>
      <c r="AI78" s="15">
        <f t="shared" si="4"/>
        <v>0</v>
      </c>
      <c r="AJ78" s="15">
        <f t="shared" si="5"/>
        <v>0</v>
      </c>
    </row>
    <row r="79" spans="2:36">
      <c r="B79" s="124"/>
      <c r="C79" s="125">
        <v>76</v>
      </c>
      <c r="D79" s="144">
        <v>6848634.4772614548</v>
      </c>
      <c r="E79" s="144">
        <v>3832573.9456905434</v>
      </c>
      <c r="F79" s="144">
        <v>0</v>
      </c>
      <c r="G79" s="144">
        <v>0</v>
      </c>
      <c r="H79" s="144">
        <v>975751.00919963513</v>
      </c>
      <c r="I79" s="145">
        <v>5</v>
      </c>
      <c r="J79" s="145">
        <v>4</v>
      </c>
      <c r="K79" s="145">
        <v>0</v>
      </c>
      <c r="L79" s="145">
        <v>0</v>
      </c>
      <c r="M79" s="145">
        <v>6</v>
      </c>
      <c r="N79" s="145">
        <v>5</v>
      </c>
      <c r="O79" s="145">
        <v>9</v>
      </c>
      <c r="P79" s="145">
        <v>7</v>
      </c>
      <c r="Q79" s="145">
        <v>10</v>
      </c>
      <c r="R79" s="145">
        <v>6</v>
      </c>
      <c r="S79" s="145">
        <v>0</v>
      </c>
      <c r="T79" s="145">
        <v>0</v>
      </c>
      <c r="U79" s="145">
        <v>7</v>
      </c>
      <c r="V79" s="145">
        <v>6</v>
      </c>
      <c r="W79" s="145">
        <v>11</v>
      </c>
      <c r="X79" s="145">
        <v>6</v>
      </c>
      <c r="Y79" s="145">
        <v>6</v>
      </c>
      <c r="Z79" s="145">
        <v>6</v>
      </c>
      <c r="AA79" s="145">
        <v>4</v>
      </c>
      <c r="AB79" s="145">
        <v>5</v>
      </c>
      <c r="AC79" s="145">
        <v>5</v>
      </c>
      <c r="AD79" s="145">
        <v>7</v>
      </c>
      <c r="AE79" s="145">
        <v>0</v>
      </c>
      <c r="AF79" s="145">
        <v>0</v>
      </c>
      <c r="AG79" s="145">
        <v>8</v>
      </c>
      <c r="AH79" s="15">
        <f t="shared" si="3"/>
        <v>0</v>
      </c>
      <c r="AI79" s="15">
        <f t="shared" si="4"/>
        <v>0</v>
      </c>
      <c r="AJ79" s="15">
        <f t="shared" si="5"/>
        <v>0</v>
      </c>
    </row>
    <row r="80" spans="2:36">
      <c r="B80" s="124"/>
      <c r="C80" s="125">
        <v>77</v>
      </c>
      <c r="D80" s="144">
        <v>7053721.7198682325</v>
      </c>
      <c r="E80" s="144">
        <v>4018535.712887371</v>
      </c>
      <c r="F80" s="144">
        <v>0</v>
      </c>
      <c r="G80" s="144">
        <v>0</v>
      </c>
      <c r="H80" s="144">
        <v>975751.00919963513</v>
      </c>
      <c r="I80" s="145">
        <v>5</v>
      </c>
      <c r="J80" s="145">
        <v>4</v>
      </c>
      <c r="K80" s="145">
        <v>9</v>
      </c>
      <c r="L80" s="145">
        <v>0</v>
      </c>
      <c r="M80" s="145">
        <v>6</v>
      </c>
      <c r="N80" s="145">
        <v>5</v>
      </c>
      <c r="O80" s="145">
        <v>9</v>
      </c>
      <c r="P80" s="145">
        <v>7</v>
      </c>
      <c r="Q80" s="145">
        <v>10</v>
      </c>
      <c r="R80" s="145">
        <v>0</v>
      </c>
      <c r="S80" s="145">
        <v>10</v>
      </c>
      <c r="T80" s="145">
        <v>0</v>
      </c>
      <c r="U80" s="145">
        <v>7</v>
      </c>
      <c r="V80" s="145">
        <v>6</v>
      </c>
      <c r="W80" s="145">
        <v>11</v>
      </c>
      <c r="X80" s="145">
        <v>6</v>
      </c>
      <c r="Y80" s="145">
        <v>6</v>
      </c>
      <c r="Z80" s="145">
        <v>6</v>
      </c>
      <c r="AA80" s="145">
        <v>0</v>
      </c>
      <c r="AB80" s="145">
        <v>5</v>
      </c>
      <c r="AC80" s="145">
        <v>5</v>
      </c>
      <c r="AD80" s="145">
        <v>7</v>
      </c>
      <c r="AE80" s="145">
        <v>0</v>
      </c>
      <c r="AF80" s="145">
        <v>5</v>
      </c>
      <c r="AG80" s="145">
        <v>8</v>
      </c>
      <c r="AH80" s="15">
        <f t="shared" si="3"/>
        <v>0</v>
      </c>
      <c r="AI80" s="15">
        <f t="shared" si="4"/>
        <v>0</v>
      </c>
      <c r="AJ80" s="15">
        <f t="shared" si="5"/>
        <v>0</v>
      </c>
    </row>
    <row r="81" spans="2:36">
      <c r="B81" s="124"/>
      <c r="C81" s="125">
        <v>78</v>
      </c>
      <c r="D81" s="144">
        <v>7317729.2908512149</v>
      </c>
      <c r="E81" s="144">
        <v>4121663.3307636641</v>
      </c>
      <c r="F81" s="144">
        <v>0</v>
      </c>
      <c r="G81" s="144">
        <v>0</v>
      </c>
      <c r="H81" s="144">
        <v>975751.00919963513</v>
      </c>
      <c r="I81" s="145">
        <v>5</v>
      </c>
      <c r="J81" s="145">
        <v>4</v>
      </c>
      <c r="K81" s="145">
        <v>9</v>
      </c>
      <c r="L81" s="145">
        <v>9</v>
      </c>
      <c r="M81" s="145">
        <v>6</v>
      </c>
      <c r="N81" s="145">
        <v>5</v>
      </c>
      <c r="O81" s="145">
        <v>9</v>
      </c>
      <c r="P81" s="145">
        <v>7</v>
      </c>
      <c r="Q81" s="145">
        <v>10</v>
      </c>
      <c r="R81" s="145">
        <v>0</v>
      </c>
      <c r="S81" s="145">
        <v>10</v>
      </c>
      <c r="T81" s="145">
        <v>6</v>
      </c>
      <c r="U81" s="145">
        <v>0</v>
      </c>
      <c r="V81" s="145">
        <v>6</v>
      </c>
      <c r="W81" s="145">
        <v>11</v>
      </c>
      <c r="X81" s="145">
        <v>6</v>
      </c>
      <c r="Y81" s="145">
        <v>6</v>
      </c>
      <c r="Z81" s="145">
        <v>6</v>
      </c>
      <c r="AA81" s="145">
        <v>0</v>
      </c>
      <c r="AB81" s="145">
        <v>0</v>
      </c>
      <c r="AC81" s="145">
        <v>0</v>
      </c>
      <c r="AD81" s="145">
        <v>7</v>
      </c>
      <c r="AE81" s="145">
        <v>8</v>
      </c>
      <c r="AF81" s="145">
        <v>5</v>
      </c>
      <c r="AG81" s="145">
        <v>8</v>
      </c>
      <c r="AH81" s="15">
        <f t="shared" si="3"/>
        <v>0</v>
      </c>
      <c r="AI81" s="15">
        <f t="shared" si="4"/>
        <v>0</v>
      </c>
      <c r="AJ81" s="15">
        <f t="shared" si="5"/>
        <v>0</v>
      </c>
    </row>
    <row r="82" spans="2:36">
      <c r="B82" s="124"/>
      <c r="C82" s="125">
        <v>79</v>
      </c>
      <c r="D82" s="144">
        <v>6769471.3895017365</v>
      </c>
      <c r="E82" s="144">
        <v>3739536.5744521171</v>
      </c>
      <c r="F82" s="144">
        <v>0</v>
      </c>
      <c r="G82" s="144">
        <v>0</v>
      </c>
      <c r="H82" s="144">
        <v>975751.00919963513</v>
      </c>
      <c r="I82" s="145">
        <v>5</v>
      </c>
      <c r="J82" s="145">
        <v>4</v>
      </c>
      <c r="K82" s="145">
        <v>9</v>
      </c>
      <c r="L82" s="145">
        <v>9</v>
      </c>
      <c r="M82" s="145">
        <v>6</v>
      </c>
      <c r="N82" s="145">
        <v>5</v>
      </c>
      <c r="O82" s="145">
        <v>0</v>
      </c>
      <c r="P82" s="145">
        <v>7</v>
      </c>
      <c r="Q82" s="145">
        <v>0</v>
      </c>
      <c r="R82" s="145">
        <v>7</v>
      </c>
      <c r="S82" s="145">
        <v>10</v>
      </c>
      <c r="T82" s="145">
        <v>6</v>
      </c>
      <c r="U82" s="145">
        <v>0</v>
      </c>
      <c r="V82" s="145">
        <v>6</v>
      </c>
      <c r="W82" s="145">
        <v>11</v>
      </c>
      <c r="X82" s="145">
        <v>0</v>
      </c>
      <c r="Y82" s="145">
        <v>6</v>
      </c>
      <c r="Z82" s="145">
        <v>6</v>
      </c>
      <c r="AA82" s="145">
        <v>5</v>
      </c>
      <c r="AB82" s="145">
        <v>0</v>
      </c>
      <c r="AC82" s="145">
        <v>0</v>
      </c>
      <c r="AD82" s="145">
        <v>7</v>
      </c>
      <c r="AE82" s="145">
        <v>0</v>
      </c>
      <c r="AF82" s="145">
        <v>5</v>
      </c>
      <c r="AG82" s="145">
        <v>8</v>
      </c>
      <c r="AH82" s="15">
        <f t="shared" si="3"/>
        <v>0</v>
      </c>
      <c r="AI82" s="15">
        <f t="shared" si="4"/>
        <v>0</v>
      </c>
      <c r="AJ82" s="15">
        <f t="shared" si="5"/>
        <v>0</v>
      </c>
    </row>
    <row r="83" spans="2:36">
      <c r="B83" s="124"/>
      <c r="C83" s="125">
        <v>80</v>
      </c>
      <c r="D83" s="144">
        <v>6825581.6879067803</v>
      </c>
      <c r="E83" s="144">
        <v>3794310.497018246</v>
      </c>
      <c r="F83" s="144">
        <v>0</v>
      </c>
      <c r="G83" s="144">
        <v>0</v>
      </c>
      <c r="H83" s="144">
        <v>975751.00919963513</v>
      </c>
      <c r="I83" s="145">
        <v>5</v>
      </c>
      <c r="J83" s="145">
        <v>4</v>
      </c>
      <c r="K83" s="145">
        <v>9</v>
      </c>
      <c r="L83" s="145">
        <v>9</v>
      </c>
      <c r="M83" s="145">
        <v>6</v>
      </c>
      <c r="N83" s="145">
        <v>5</v>
      </c>
      <c r="O83" s="145">
        <v>0</v>
      </c>
      <c r="P83" s="145">
        <v>0</v>
      </c>
      <c r="Q83" s="145">
        <v>0</v>
      </c>
      <c r="R83" s="145">
        <v>7</v>
      </c>
      <c r="S83" s="145">
        <v>10</v>
      </c>
      <c r="T83" s="145">
        <v>6</v>
      </c>
      <c r="U83" s="145">
        <v>8</v>
      </c>
      <c r="V83" s="145">
        <v>6</v>
      </c>
      <c r="W83" s="145">
        <v>0</v>
      </c>
      <c r="X83" s="145">
        <v>0</v>
      </c>
      <c r="Y83" s="145">
        <v>6</v>
      </c>
      <c r="Z83" s="145">
        <v>0</v>
      </c>
      <c r="AA83" s="145">
        <v>5</v>
      </c>
      <c r="AB83" s="145">
        <v>6</v>
      </c>
      <c r="AC83" s="145">
        <v>6</v>
      </c>
      <c r="AD83" s="145">
        <v>7</v>
      </c>
      <c r="AE83" s="145">
        <v>0</v>
      </c>
      <c r="AF83" s="145">
        <v>5</v>
      </c>
      <c r="AG83" s="145">
        <v>8</v>
      </c>
      <c r="AH83" s="15">
        <f t="shared" si="3"/>
        <v>0</v>
      </c>
      <c r="AI83" s="15">
        <f t="shared" si="4"/>
        <v>0</v>
      </c>
      <c r="AJ83" s="15">
        <f t="shared" si="5"/>
        <v>0</v>
      </c>
    </row>
    <row r="84" spans="2:36">
      <c r="B84" s="124"/>
      <c r="C84" s="125">
        <v>81</v>
      </c>
      <c r="D84" s="144">
        <v>8056311.4173168102</v>
      </c>
      <c r="E84" s="144">
        <v>4513631.9473156733</v>
      </c>
      <c r="F84" s="144">
        <v>0</v>
      </c>
      <c r="G84" s="144">
        <v>0</v>
      </c>
      <c r="H84" s="144">
        <v>975751.00919963513</v>
      </c>
      <c r="I84" s="145">
        <v>5</v>
      </c>
      <c r="J84" s="145">
        <v>4</v>
      </c>
      <c r="K84" s="145">
        <v>9</v>
      </c>
      <c r="L84" s="145">
        <v>9</v>
      </c>
      <c r="M84" s="145">
        <v>6</v>
      </c>
      <c r="N84" s="145">
        <v>5</v>
      </c>
      <c r="O84" s="145">
        <v>10</v>
      </c>
      <c r="P84" s="145">
        <v>0</v>
      </c>
      <c r="Q84" s="145">
        <v>11</v>
      </c>
      <c r="R84" s="145">
        <v>7</v>
      </c>
      <c r="S84" s="145">
        <v>10</v>
      </c>
      <c r="T84" s="145">
        <v>6</v>
      </c>
      <c r="U84" s="145">
        <v>8</v>
      </c>
      <c r="V84" s="145">
        <v>6</v>
      </c>
      <c r="W84" s="145">
        <v>0</v>
      </c>
      <c r="X84" s="145">
        <v>7</v>
      </c>
      <c r="Y84" s="145">
        <v>6</v>
      </c>
      <c r="Z84" s="145">
        <v>0</v>
      </c>
      <c r="AA84" s="145">
        <v>5</v>
      </c>
      <c r="AB84" s="145">
        <v>6</v>
      </c>
      <c r="AC84" s="145">
        <v>6</v>
      </c>
      <c r="AD84" s="145">
        <v>7</v>
      </c>
      <c r="AE84" s="145">
        <v>9</v>
      </c>
      <c r="AF84" s="145">
        <v>5</v>
      </c>
      <c r="AG84" s="145">
        <v>0</v>
      </c>
      <c r="AH84" s="15">
        <f t="shared" si="3"/>
        <v>0</v>
      </c>
      <c r="AI84" s="15">
        <f t="shared" si="4"/>
        <v>0</v>
      </c>
      <c r="AJ84" s="15">
        <f t="shared" si="5"/>
        <v>0</v>
      </c>
    </row>
    <row r="85" spans="2:36">
      <c r="B85" s="124"/>
      <c r="C85" s="125">
        <v>82</v>
      </c>
      <c r="D85" s="144">
        <v>7912318.0696527539</v>
      </c>
      <c r="E85" s="144">
        <v>4402299.4525360335</v>
      </c>
      <c r="F85" s="144">
        <v>0</v>
      </c>
      <c r="G85" s="144">
        <v>0</v>
      </c>
      <c r="H85" s="144">
        <v>975751.00919963513</v>
      </c>
      <c r="I85" s="145">
        <v>5</v>
      </c>
      <c r="J85" s="145">
        <v>4</v>
      </c>
      <c r="K85" s="145">
        <v>9</v>
      </c>
      <c r="L85" s="145">
        <v>0</v>
      </c>
      <c r="M85" s="145">
        <v>6</v>
      </c>
      <c r="N85" s="145">
        <v>5</v>
      </c>
      <c r="O85" s="145">
        <v>10</v>
      </c>
      <c r="P85" s="145">
        <v>8</v>
      </c>
      <c r="Q85" s="145">
        <v>11</v>
      </c>
      <c r="R85" s="145">
        <v>7</v>
      </c>
      <c r="S85" s="145">
        <v>10</v>
      </c>
      <c r="T85" s="145">
        <v>6</v>
      </c>
      <c r="U85" s="145">
        <v>8</v>
      </c>
      <c r="V85" s="145">
        <v>6</v>
      </c>
      <c r="W85" s="145">
        <v>12</v>
      </c>
      <c r="X85" s="145">
        <v>7</v>
      </c>
      <c r="Y85" s="145">
        <v>0</v>
      </c>
      <c r="Z85" s="145">
        <v>0</v>
      </c>
      <c r="AA85" s="145">
        <v>5</v>
      </c>
      <c r="AB85" s="145">
        <v>0</v>
      </c>
      <c r="AC85" s="145">
        <v>6</v>
      </c>
      <c r="AD85" s="145">
        <v>7</v>
      </c>
      <c r="AE85" s="145">
        <v>9</v>
      </c>
      <c r="AF85" s="145">
        <v>5</v>
      </c>
      <c r="AG85" s="145">
        <v>0</v>
      </c>
      <c r="AH85" s="15">
        <f t="shared" si="3"/>
        <v>0</v>
      </c>
      <c r="AI85" s="15">
        <f t="shared" si="4"/>
        <v>0</v>
      </c>
      <c r="AJ85" s="15">
        <f t="shared" si="5"/>
        <v>0</v>
      </c>
    </row>
    <row r="86" spans="2:36">
      <c r="B86" s="124"/>
      <c r="C86" s="125">
        <v>83</v>
      </c>
      <c r="D86" s="144">
        <v>8154974.6304384917</v>
      </c>
      <c r="E86" s="144">
        <v>4558295.6385804918</v>
      </c>
      <c r="F86" s="144">
        <v>0</v>
      </c>
      <c r="G86" s="144">
        <v>0</v>
      </c>
      <c r="H86" s="144">
        <v>975751.00919963513</v>
      </c>
      <c r="I86" s="145">
        <v>0</v>
      </c>
      <c r="J86" s="145">
        <v>0</v>
      </c>
      <c r="K86" s="145">
        <v>0</v>
      </c>
      <c r="L86" s="145">
        <v>0</v>
      </c>
      <c r="M86" s="145">
        <v>6</v>
      </c>
      <c r="N86" s="145">
        <v>5</v>
      </c>
      <c r="O86" s="145">
        <v>10</v>
      </c>
      <c r="P86" s="145">
        <v>8</v>
      </c>
      <c r="Q86" s="145">
        <v>11</v>
      </c>
      <c r="R86" s="145">
        <v>7</v>
      </c>
      <c r="S86" s="145">
        <v>10</v>
      </c>
      <c r="T86" s="145">
        <v>6</v>
      </c>
      <c r="U86" s="145">
        <v>8</v>
      </c>
      <c r="V86" s="145">
        <v>6</v>
      </c>
      <c r="W86" s="145">
        <v>12</v>
      </c>
      <c r="X86" s="145">
        <v>7</v>
      </c>
      <c r="Y86" s="145">
        <v>0</v>
      </c>
      <c r="Z86" s="145">
        <v>7</v>
      </c>
      <c r="AA86" s="145">
        <v>5</v>
      </c>
      <c r="AB86" s="145">
        <v>7</v>
      </c>
      <c r="AC86" s="145">
        <v>6</v>
      </c>
      <c r="AD86" s="145">
        <v>7</v>
      </c>
      <c r="AE86" s="145">
        <v>9</v>
      </c>
      <c r="AF86" s="145">
        <v>5</v>
      </c>
      <c r="AG86" s="145">
        <v>9</v>
      </c>
      <c r="AH86" s="15">
        <f t="shared" si="3"/>
        <v>0</v>
      </c>
      <c r="AI86" s="15">
        <f t="shared" si="4"/>
        <v>0</v>
      </c>
      <c r="AJ86" s="15">
        <f t="shared" si="5"/>
        <v>0</v>
      </c>
    </row>
    <row r="87" spans="2:36">
      <c r="B87" s="124"/>
      <c r="C87" s="125">
        <v>84</v>
      </c>
      <c r="D87" s="144">
        <v>8175100.472388139</v>
      </c>
      <c r="E87" s="144">
        <v>4659267.9284096947</v>
      </c>
      <c r="F87" s="144">
        <v>0</v>
      </c>
      <c r="G87" s="144">
        <v>0</v>
      </c>
      <c r="H87" s="144">
        <v>975751.00919963513</v>
      </c>
      <c r="I87" s="145">
        <v>0</v>
      </c>
      <c r="J87" s="145">
        <v>0</v>
      </c>
      <c r="K87" s="145">
        <v>10</v>
      </c>
      <c r="L87" s="145">
        <v>10</v>
      </c>
      <c r="M87" s="145">
        <v>6</v>
      </c>
      <c r="N87" s="145">
        <v>5</v>
      </c>
      <c r="O87" s="145">
        <v>10</v>
      </c>
      <c r="P87" s="145">
        <v>8</v>
      </c>
      <c r="Q87" s="145">
        <v>11</v>
      </c>
      <c r="R87" s="145">
        <v>7</v>
      </c>
      <c r="S87" s="145">
        <v>10</v>
      </c>
      <c r="T87" s="145">
        <v>0</v>
      </c>
      <c r="U87" s="145">
        <v>8</v>
      </c>
      <c r="V87" s="145">
        <v>0</v>
      </c>
      <c r="W87" s="145">
        <v>12</v>
      </c>
      <c r="X87" s="145">
        <v>7</v>
      </c>
      <c r="Y87" s="145">
        <v>0</v>
      </c>
      <c r="Z87" s="145">
        <v>7</v>
      </c>
      <c r="AA87" s="145">
        <v>5</v>
      </c>
      <c r="AB87" s="145">
        <v>7</v>
      </c>
      <c r="AC87" s="145">
        <v>6</v>
      </c>
      <c r="AD87" s="145">
        <v>7</v>
      </c>
      <c r="AE87" s="145">
        <v>9</v>
      </c>
      <c r="AF87" s="145">
        <v>5</v>
      </c>
      <c r="AG87" s="145">
        <v>9</v>
      </c>
      <c r="AH87" s="15">
        <f t="shared" si="3"/>
        <v>0</v>
      </c>
      <c r="AI87" s="15">
        <f t="shared" si="4"/>
        <v>0</v>
      </c>
      <c r="AJ87" s="15">
        <f t="shared" si="5"/>
        <v>0</v>
      </c>
    </row>
    <row r="88" spans="2:36">
      <c r="B88" s="124"/>
      <c r="C88" s="125">
        <v>85</v>
      </c>
      <c r="D88" s="144">
        <v>8224057.4933038335</v>
      </c>
      <c r="E88" s="144">
        <v>4676660.5058538094</v>
      </c>
      <c r="F88" s="144">
        <v>0</v>
      </c>
      <c r="G88" s="144">
        <v>0</v>
      </c>
      <c r="H88" s="144">
        <v>975751.00919963513</v>
      </c>
      <c r="I88" s="145">
        <v>6</v>
      </c>
      <c r="J88" s="145">
        <v>5</v>
      </c>
      <c r="K88" s="145">
        <v>0</v>
      </c>
      <c r="L88" s="145">
        <v>10</v>
      </c>
      <c r="M88" s="145">
        <v>0</v>
      </c>
      <c r="N88" s="145">
        <v>0</v>
      </c>
      <c r="O88" s="145">
        <v>10</v>
      </c>
      <c r="P88" s="145">
        <v>8</v>
      </c>
      <c r="Q88" s="145">
        <v>11</v>
      </c>
      <c r="R88" s="145">
        <v>7</v>
      </c>
      <c r="S88" s="145">
        <v>10</v>
      </c>
      <c r="T88" s="145">
        <v>0</v>
      </c>
      <c r="U88" s="145">
        <v>8</v>
      </c>
      <c r="V88" s="145">
        <v>0</v>
      </c>
      <c r="W88" s="145">
        <v>12</v>
      </c>
      <c r="X88" s="145">
        <v>7</v>
      </c>
      <c r="Y88" s="145">
        <v>7</v>
      </c>
      <c r="Z88" s="145">
        <v>7</v>
      </c>
      <c r="AA88" s="145">
        <v>5</v>
      </c>
      <c r="AB88" s="145">
        <v>7</v>
      </c>
      <c r="AC88" s="145">
        <v>6</v>
      </c>
      <c r="AD88" s="145">
        <v>7</v>
      </c>
      <c r="AE88" s="145">
        <v>9</v>
      </c>
      <c r="AF88" s="145">
        <v>5</v>
      </c>
      <c r="AG88" s="145">
        <v>9</v>
      </c>
      <c r="AH88" s="15">
        <f t="shared" si="3"/>
        <v>0</v>
      </c>
      <c r="AI88" s="15">
        <f t="shared" si="4"/>
        <v>0</v>
      </c>
      <c r="AJ88" s="15">
        <f t="shared" si="5"/>
        <v>0</v>
      </c>
    </row>
    <row r="89" spans="2:36">
      <c r="B89" s="124"/>
      <c r="C89" s="125">
        <v>86</v>
      </c>
      <c r="D89" s="144">
        <v>8242090.8080793805</v>
      </c>
      <c r="E89" s="144">
        <v>4656354.0279892199</v>
      </c>
      <c r="F89" s="144">
        <v>0</v>
      </c>
      <c r="G89" s="144">
        <v>0</v>
      </c>
      <c r="H89" s="144">
        <v>975751.00919963513</v>
      </c>
      <c r="I89" s="145">
        <v>6</v>
      </c>
      <c r="J89" s="145">
        <v>5</v>
      </c>
      <c r="K89" s="145">
        <v>0</v>
      </c>
      <c r="L89" s="145">
        <v>10</v>
      </c>
      <c r="M89" s="145">
        <v>7</v>
      </c>
      <c r="N89" s="145">
        <v>0</v>
      </c>
      <c r="O89" s="145">
        <v>10</v>
      </c>
      <c r="P89" s="145">
        <v>0</v>
      </c>
      <c r="Q89" s="145">
        <v>11</v>
      </c>
      <c r="R89" s="145">
        <v>7</v>
      </c>
      <c r="S89" s="145">
        <v>10</v>
      </c>
      <c r="T89" s="145">
        <v>7</v>
      </c>
      <c r="U89" s="145">
        <v>0</v>
      </c>
      <c r="V89" s="145">
        <v>7</v>
      </c>
      <c r="W89" s="145">
        <v>12</v>
      </c>
      <c r="X89" s="145">
        <v>7</v>
      </c>
      <c r="Y89" s="145">
        <v>7</v>
      </c>
      <c r="Z89" s="145">
        <v>7</v>
      </c>
      <c r="AA89" s="145">
        <v>5</v>
      </c>
      <c r="AB89" s="145">
        <v>7</v>
      </c>
      <c r="AC89" s="145">
        <v>6</v>
      </c>
      <c r="AD89" s="145">
        <v>7</v>
      </c>
      <c r="AE89" s="145">
        <v>9</v>
      </c>
      <c r="AF89" s="145">
        <v>5</v>
      </c>
      <c r="AG89" s="145">
        <v>9</v>
      </c>
      <c r="AH89" s="15">
        <f t="shared" si="3"/>
        <v>0</v>
      </c>
      <c r="AI89" s="15">
        <f t="shared" si="4"/>
        <v>0</v>
      </c>
      <c r="AJ89" s="15">
        <f t="shared" si="5"/>
        <v>0</v>
      </c>
    </row>
    <row r="90" spans="2:36">
      <c r="B90" s="124"/>
      <c r="C90" s="125">
        <v>87</v>
      </c>
      <c r="D90" s="144">
        <v>7795813.4952183487</v>
      </c>
      <c r="E90" s="144">
        <v>4377662.93073403</v>
      </c>
      <c r="F90" s="144">
        <v>0</v>
      </c>
      <c r="G90" s="144">
        <v>0</v>
      </c>
      <c r="H90" s="144">
        <v>975751.00919963513</v>
      </c>
      <c r="I90" s="145">
        <v>6</v>
      </c>
      <c r="J90" s="145">
        <v>5</v>
      </c>
      <c r="K90" s="145">
        <v>11</v>
      </c>
      <c r="L90" s="145">
        <v>10</v>
      </c>
      <c r="M90" s="145">
        <v>7</v>
      </c>
      <c r="N90" s="145">
        <v>6</v>
      </c>
      <c r="O90" s="145">
        <v>10</v>
      </c>
      <c r="P90" s="145">
        <v>0</v>
      </c>
      <c r="Q90" s="145">
        <v>11</v>
      </c>
      <c r="R90" s="145">
        <v>7</v>
      </c>
      <c r="S90" s="145">
        <v>10</v>
      </c>
      <c r="T90" s="145">
        <v>7</v>
      </c>
      <c r="U90" s="145">
        <v>0</v>
      </c>
      <c r="V90" s="145">
        <v>7</v>
      </c>
      <c r="W90" s="145">
        <v>12</v>
      </c>
      <c r="X90" s="145">
        <v>0</v>
      </c>
      <c r="Y90" s="145">
        <v>7</v>
      </c>
      <c r="Z90" s="145">
        <v>7</v>
      </c>
      <c r="AA90" s="145">
        <v>0</v>
      </c>
      <c r="AB90" s="145">
        <v>7</v>
      </c>
      <c r="AC90" s="145">
        <v>6</v>
      </c>
      <c r="AD90" s="145">
        <v>7</v>
      </c>
      <c r="AE90" s="145">
        <v>0</v>
      </c>
      <c r="AF90" s="145">
        <v>5</v>
      </c>
      <c r="AG90" s="145">
        <v>9</v>
      </c>
      <c r="AH90" s="15">
        <f t="shared" si="3"/>
        <v>0</v>
      </c>
      <c r="AI90" s="15">
        <f t="shared" si="4"/>
        <v>0</v>
      </c>
      <c r="AJ90" s="15">
        <f t="shared" si="5"/>
        <v>0</v>
      </c>
    </row>
    <row r="91" spans="2:36">
      <c r="B91" s="124"/>
      <c r="C91" s="125">
        <v>88</v>
      </c>
      <c r="D91" s="144">
        <v>7025715.6504332451</v>
      </c>
      <c r="E91" s="144">
        <v>3949812.9521889146</v>
      </c>
      <c r="F91" s="144">
        <v>0</v>
      </c>
      <c r="G91" s="144">
        <v>0</v>
      </c>
      <c r="H91" s="144">
        <v>975751.00919963513</v>
      </c>
      <c r="I91" s="145">
        <v>6</v>
      </c>
      <c r="J91" s="145">
        <v>5</v>
      </c>
      <c r="K91" s="145">
        <v>11</v>
      </c>
      <c r="L91" s="145">
        <v>10</v>
      </c>
      <c r="M91" s="145">
        <v>7</v>
      </c>
      <c r="N91" s="145">
        <v>6</v>
      </c>
      <c r="O91" s="145">
        <v>0</v>
      </c>
      <c r="P91" s="145">
        <v>0</v>
      </c>
      <c r="Q91" s="145">
        <v>0</v>
      </c>
      <c r="R91" s="145">
        <v>7</v>
      </c>
      <c r="S91" s="145">
        <v>10</v>
      </c>
      <c r="T91" s="145">
        <v>7</v>
      </c>
      <c r="U91" s="145">
        <v>9</v>
      </c>
      <c r="V91" s="145">
        <v>7</v>
      </c>
      <c r="W91" s="145">
        <v>12</v>
      </c>
      <c r="X91" s="145">
        <v>0</v>
      </c>
      <c r="Y91" s="145">
        <v>7</v>
      </c>
      <c r="Z91" s="145">
        <v>7</v>
      </c>
      <c r="AA91" s="145">
        <v>0</v>
      </c>
      <c r="AB91" s="145">
        <v>7</v>
      </c>
      <c r="AC91" s="145">
        <v>6</v>
      </c>
      <c r="AD91" s="145">
        <v>0</v>
      </c>
      <c r="AE91" s="145">
        <v>0</v>
      </c>
      <c r="AF91" s="145">
        <v>5</v>
      </c>
      <c r="AG91" s="145">
        <v>9</v>
      </c>
      <c r="AH91" s="15">
        <f t="shared" si="3"/>
        <v>0</v>
      </c>
      <c r="AI91" s="15">
        <f t="shared" si="4"/>
        <v>0</v>
      </c>
      <c r="AJ91" s="15">
        <f t="shared" si="5"/>
        <v>0</v>
      </c>
    </row>
    <row r="92" spans="2:36">
      <c r="B92" s="124"/>
      <c r="C92" s="125">
        <v>89</v>
      </c>
      <c r="D92" s="144">
        <v>7756514.3544573467</v>
      </c>
      <c r="E92" s="144">
        <v>4407263.9892833978</v>
      </c>
      <c r="F92" s="144">
        <v>0</v>
      </c>
      <c r="G92" s="144">
        <v>0</v>
      </c>
      <c r="H92" s="144">
        <v>975751.00919963513</v>
      </c>
      <c r="I92" s="145">
        <v>6</v>
      </c>
      <c r="J92" s="145">
        <v>5</v>
      </c>
      <c r="K92" s="145">
        <v>0</v>
      </c>
      <c r="L92" s="145">
        <v>10</v>
      </c>
      <c r="M92" s="145">
        <v>7</v>
      </c>
      <c r="N92" s="145">
        <v>6</v>
      </c>
      <c r="O92" s="145">
        <v>0</v>
      </c>
      <c r="P92" s="145">
        <v>9</v>
      </c>
      <c r="Q92" s="145">
        <v>0</v>
      </c>
      <c r="R92" s="145">
        <v>7</v>
      </c>
      <c r="S92" s="145">
        <v>10</v>
      </c>
      <c r="T92" s="145">
        <v>7</v>
      </c>
      <c r="U92" s="145">
        <v>9</v>
      </c>
      <c r="V92" s="145">
        <v>0</v>
      </c>
      <c r="W92" s="145">
        <v>12</v>
      </c>
      <c r="X92" s="145">
        <v>8</v>
      </c>
      <c r="Y92" s="145">
        <v>7</v>
      </c>
      <c r="Z92" s="145">
        <v>0</v>
      </c>
      <c r="AA92" s="145">
        <v>6</v>
      </c>
      <c r="AB92" s="145">
        <v>7</v>
      </c>
      <c r="AC92" s="145">
        <v>0</v>
      </c>
      <c r="AD92" s="145">
        <v>8</v>
      </c>
      <c r="AE92" s="145">
        <v>10</v>
      </c>
      <c r="AF92" s="145">
        <v>0</v>
      </c>
      <c r="AG92" s="145">
        <v>9</v>
      </c>
      <c r="AH92" s="15">
        <f t="shared" si="3"/>
        <v>0</v>
      </c>
      <c r="AI92" s="15">
        <f t="shared" si="4"/>
        <v>0</v>
      </c>
      <c r="AJ92" s="15">
        <f t="shared" si="5"/>
        <v>0</v>
      </c>
    </row>
    <row r="93" spans="2:36">
      <c r="B93" s="124"/>
      <c r="C93" s="125">
        <v>90</v>
      </c>
      <c r="D93" s="144">
        <v>8137259.7193762511</v>
      </c>
      <c r="E93" s="144">
        <v>4674011.2194573069</v>
      </c>
      <c r="F93" s="144">
        <v>0</v>
      </c>
      <c r="G93" s="144">
        <v>0</v>
      </c>
      <c r="H93" s="144">
        <v>975751.00919963513</v>
      </c>
      <c r="I93" s="145">
        <v>6</v>
      </c>
      <c r="J93" s="145">
        <v>5</v>
      </c>
      <c r="K93" s="145">
        <v>12</v>
      </c>
      <c r="L93" s="145">
        <v>10</v>
      </c>
      <c r="M93" s="145">
        <v>7</v>
      </c>
      <c r="N93" s="145">
        <v>6</v>
      </c>
      <c r="O93" s="145">
        <v>0</v>
      </c>
      <c r="P93" s="145">
        <v>9</v>
      </c>
      <c r="Q93" s="145">
        <v>0</v>
      </c>
      <c r="R93" s="145">
        <v>7</v>
      </c>
      <c r="S93" s="145">
        <v>10</v>
      </c>
      <c r="T93" s="145">
        <v>7</v>
      </c>
      <c r="U93" s="145">
        <v>9</v>
      </c>
      <c r="V93" s="145">
        <v>0</v>
      </c>
      <c r="W93" s="145">
        <v>12</v>
      </c>
      <c r="X93" s="145">
        <v>8</v>
      </c>
      <c r="Y93" s="145">
        <v>7</v>
      </c>
      <c r="Z93" s="145">
        <v>0</v>
      </c>
      <c r="AA93" s="145">
        <v>6</v>
      </c>
      <c r="AB93" s="145">
        <v>7</v>
      </c>
      <c r="AC93" s="145">
        <v>0</v>
      </c>
      <c r="AD93" s="145">
        <v>8</v>
      </c>
      <c r="AE93" s="145">
        <v>10</v>
      </c>
      <c r="AF93" s="145">
        <v>0</v>
      </c>
      <c r="AG93" s="145">
        <v>9</v>
      </c>
      <c r="AH93" s="15">
        <f t="shared" si="3"/>
        <v>0</v>
      </c>
      <c r="AI93" s="15">
        <f t="shared" si="4"/>
        <v>0</v>
      </c>
      <c r="AJ93" s="15">
        <f t="shared" si="5"/>
        <v>0</v>
      </c>
    </row>
    <row r="94" spans="2:36">
      <c r="B94" s="124"/>
      <c r="C94" s="125">
        <v>91</v>
      </c>
      <c r="D94" s="144">
        <v>8821909.6495822147</v>
      </c>
      <c r="E94" s="144">
        <v>4961819.2881526705</v>
      </c>
      <c r="F94" s="144">
        <v>0</v>
      </c>
      <c r="G94" s="144">
        <v>0</v>
      </c>
      <c r="H94" s="144">
        <v>975751.00919963513</v>
      </c>
      <c r="I94" s="145">
        <v>6</v>
      </c>
      <c r="J94" s="145">
        <v>0</v>
      </c>
      <c r="K94" s="145">
        <v>12</v>
      </c>
      <c r="L94" s="145">
        <v>10</v>
      </c>
      <c r="M94" s="145">
        <v>7</v>
      </c>
      <c r="N94" s="145">
        <v>6</v>
      </c>
      <c r="O94" s="145">
        <v>11</v>
      </c>
      <c r="P94" s="145">
        <v>0</v>
      </c>
      <c r="Q94" s="145">
        <v>12</v>
      </c>
      <c r="R94" s="145">
        <v>7</v>
      </c>
      <c r="S94" s="145">
        <v>0</v>
      </c>
      <c r="T94" s="145">
        <v>7</v>
      </c>
      <c r="U94" s="145">
        <v>0</v>
      </c>
      <c r="V94" s="145">
        <v>8</v>
      </c>
      <c r="W94" s="145">
        <v>12</v>
      </c>
      <c r="X94" s="145">
        <v>8</v>
      </c>
      <c r="Y94" s="145">
        <v>0</v>
      </c>
      <c r="Z94" s="145">
        <v>8</v>
      </c>
      <c r="AA94" s="145">
        <v>6</v>
      </c>
      <c r="AB94" s="145">
        <v>7</v>
      </c>
      <c r="AC94" s="145">
        <v>7</v>
      </c>
      <c r="AD94" s="145">
        <v>8</v>
      </c>
      <c r="AE94" s="145">
        <v>10</v>
      </c>
      <c r="AF94" s="145">
        <v>6</v>
      </c>
      <c r="AG94" s="145">
        <v>9</v>
      </c>
      <c r="AH94" s="15">
        <f t="shared" si="3"/>
        <v>0</v>
      </c>
      <c r="AI94" s="15">
        <f t="shared" si="4"/>
        <v>0</v>
      </c>
      <c r="AJ94" s="15">
        <f t="shared" si="5"/>
        <v>0</v>
      </c>
    </row>
    <row r="95" spans="2:36">
      <c r="B95" s="124"/>
      <c r="C95" s="125">
        <v>92</v>
      </c>
      <c r="D95" s="144">
        <v>6233274.3364053098</v>
      </c>
      <c r="E95" s="144">
        <v>3566303.2261555204</v>
      </c>
      <c r="F95" s="144">
        <v>0</v>
      </c>
      <c r="G95" s="144">
        <v>0</v>
      </c>
      <c r="H95" s="144">
        <v>975751.00919963513</v>
      </c>
      <c r="I95" s="145">
        <v>6</v>
      </c>
      <c r="J95" s="145">
        <v>0</v>
      </c>
      <c r="K95" s="145">
        <v>0</v>
      </c>
      <c r="L95" s="145">
        <v>0</v>
      </c>
      <c r="M95" s="145">
        <v>0</v>
      </c>
      <c r="N95" s="145">
        <v>6</v>
      </c>
      <c r="O95" s="145">
        <v>11</v>
      </c>
      <c r="P95" s="145">
        <v>0</v>
      </c>
      <c r="Q95" s="145">
        <v>12</v>
      </c>
      <c r="R95" s="145">
        <v>0</v>
      </c>
      <c r="S95" s="145">
        <v>11</v>
      </c>
      <c r="T95" s="145">
        <v>0</v>
      </c>
      <c r="U95" s="145">
        <v>0</v>
      </c>
      <c r="V95" s="145">
        <v>0</v>
      </c>
      <c r="W95" s="145">
        <v>12</v>
      </c>
      <c r="X95" s="145">
        <v>8</v>
      </c>
      <c r="Y95" s="145">
        <v>0</v>
      </c>
      <c r="Z95" s="145">
        <v>8</v>
      </c>
      <c r="AA95" s="145">
        <v>6</v>
      </c>
      <c r="AB95" s="145">
        <v>7</v>
      </c>
      <c r="AC95" s="145">
        <v>7</v>
      </c>
      <c r="AD95" s="145">
        <v>8</v>
      </c>
      <c r="AE95" s="145">
        <v>10</v>
      </c>
      <c r="AF95" s="145">
        <v>0</v>
      </c>
      <c r="AG95" s="145">
        <v>9</v>
      </c>
      <c r="AH95" s="15">
        <f t="shared" si="3"/>
        <v>0</v>
      </c>
      <c r="AI95" s="15">
        <f t="shared" si="4"/>
        <v>0</v>
      </c>
      <c r="AJ95" s="15">
        <f t="shared" si="5"/>
        <v>0</v>
      </c>
    </row>
    <row r="96" spans="2:36">
      <c r="B96" s="124"/>
      <c r="C96" s="125">
        <v>93</v>
      </c>
      <c r="D96" s="144">
        <v>7879854.8292245353</v>
      </c>
      <c r="E96" s="144">
        <v>4492050.7837568279</v>
      </c>
      <c r="F96" s="144">
        <v>0</v>
      </c>
      <c r="G96" s="144">
        <v>0</v>
      </c>
      <c r="H96" s="144">
        <v>975751.00919963513</v>
      </c>
      <c r="I96" s="145">
        <v>6</v>
      </c>
      <c r="J96" s="145">
        <v>0</v>
      </c>
      <c r="K96" s="145">
        <v>0</v>
      </c>
      <c r="L96" s="145">
        <v>11</v>
      </c>
      <c r="M96" s="145">
        <v>8</v>
      </c>
      <c r="N96" s="145">
        <v>0</v>
      </c>
      <c r="O96" s="145">
        <v>11</v>
      </c>
      <c r="P96" s="145">
        <v>10</v>
      </c>
      <c r="Q96" s="145">
        <v>12</v>
      </c>
      <c r="R96" s="145">
        <v>0</v>
      </c>
      <c r="S96" s="145">
        <v>0</v>
      </c>
      <c r="T96" s="145">
        <v>0</v>
      </c>
      <c r="U96" s="145">
        <v>10</v>
      </c>
      <c r="V96" s="145">
        <v>9</v>
      </c>
      <c r="W96" s="145">
        <v>12</v>
      </c>
      <c r="X96" s="145">
        <v>8</v>
      </c>
      <c r="Y96" s="145">
        <v>8</v>
      </c>
      <c r="Z96" s="145">
        <v>8</v>
      </c>
      <c r="AA96" s="145">
        <v>6</v>
      </c>
      <c r="AB96" s="145">
        <v>7</v>
      </c>
      <c r="AC96" s="145">
        <v>7</v>
      </c>
      <c r="AD96" s="145">
        <v>8</v>
      </c>
      <c r="AE96" s="145">
        <v>10</v>
      </c>
      <c r="AF96" s="145">
        <v>7</v>
      </c>
      <c r="AG96" s="145">
        <v>9</v>
      </c>
      <c r="AH96" s="15">
        <f t="shared" si="3"/>
        <v>0</v>
      </c>
      <c r="AI96" s="15">
        <f t="shared" si="4"/>
        <v>0</v>
      </c>
      <c r="AJ96" s="15">
        <f t="shared" si="5"/>
        <v>0</v>
      </c>
    </row>
    <row r="97" spans="2:36">
      <c r="B97" s="124"/>
      <c r="C97" s="125">
        <v>94</v>
      </c>
      <c r="D97" s="144">
        <v>8438355.0608915128</v>
      </c>
      <c r="E97" s="144">
        <v>4714187.6497830506</v>
      </c>
      <c r="F97" s="144">
        <v>0</v>
      </c>
      <c r="G97" s="144">
        <v>0</v>
      </c>
      <c r="H97" s="144">
        <v>975751.00919963513</v>
      </c>
      <c r="I97" s="145">
        <v>6</v>
      </c>
      <c r="J97" s="145">
        <v>6</v>
      </c>
      <c r="K97" s="145">
        <v>0</v>
      </c>
      <c r="L97" s="145">
        <v>11</v>
      </c>
      <c r="M97" s="145">
        <v>8</v>
      </c>
      <c r="N97" s="145">
        <v>0</v>
      </c>
      <c r="O97" s="145">
        <v>11</v>
      </c>
      <c r="P97" s="145">
        <v>10</v>
      </c>
      <c r="Q97" s="145">
        <v>12</v>
      </c>
      <c r="R97" s="145">
        <v>8</v>
      </c>
      <c r="S97" s="145">
        <v>0</v>
      </c>
      <c r="T97" s="145">
        <v>0</v>
      </c>
      <c r="U97" s="145">
        <v>10</v>
      </c>
      <c r="V97" s="145">
        <v>9</v>
      </c>
      <c r="W97" s="145">
        <v>0</v>
      </c>
      <c r="X97" s="145">
        <v>8</v>
      </c>
      <c r="Y97" s="145">
        <v>8</v>
      </c>
      <c r="Z97" s="145">
        <v>8</v>
      </c>
      <c r="AA97" s="145">
        <v>6</v>
      </c>
      <c r="AB97" s="145">
        <v>7</v>
      </c>
      <c r="AC97" s="145">
        <v>7</v>
      </c>
      <c r="AD97" s="145">
        <v>8</v>
      </c>
      <c r="AE97" s="145">
        <v>10</v>
      </c>
      <c r="AF97" s="145">
        <v>7</v>
      </c>
      <c r="AG97" s="145">
        <v>9</v>
      </c>
      <c r="AH97" s="15">
        <f t="shared" si="3"/>
        <v>0</v>
      </c>
      <c r="AI97" s="15">
        <f t="shared" si="4"/>
        <v>0</v>
      </c>
      <c r="AJ97" s="15">
        <f t="shared" si="5"/>
        <v>0</v>
      </c>
    </row>
    <row r="98" spans="2:36">
      <c r="B98" s="124"/>
      <c r="C98" s="125">
        <v>95</v>
      </c>
      <c r="D98" s="144">
        <v>7816612.3960602935</v>
      </c>
      <c r="E98" s="144">
        <v>4404486.5348087177</v>
      </c>
      <c r="F98" s="144">
        <v>0</v>
      </c>
      <c r="G98" s="144">
        <v>0</v>
      </c>
      <c r="H98" s="144">
        <v>975751.00919963513</v>
      </c>
      <c r="I98" s="145">
        <v>6</v>
      </c>
      <c r="J98" s="145">
        <v>6</v>
      </c>
      <c r="K98" s="145">
        <v>13</v>
      </c>
      <c r="L98" s="145">
        <v>11</v>
      </c>
      <c r="M98" s="145">
        <v>8</v>
      </c>
      <c r="N98" s="145">
        <v>7</v>
      </c>
      <c r="O98" s="145">
        <v>11</v>
      </c>
      <c r="P98" s="145">
        <v>10</v>
      </c>
      <c r="Q98" s="145">
        <v>12</v>
      </c>
      <c r="R98" s="145">
        <v>8</v>
      </c>
      <c r="S98" s="145">
        <v>12</v>
      </c>
      <c r="T98" s="145">
        <v>8</v>
      </c>
      <c r="U98" s="145">
        <v>10</v>
      </c>
      <c r="V98" s="145">
        <v>9</v>
      </c>
      <c r="W98" s="145">
        <v>13</v>
      </c>
      <c r="X98" s="145">
        <v>0</v>
      </c>
      <c r="Y98" s="145">
        <v>8</v>
      </c>
      <c r="Z98" s="145">
        <v>0</v>
      </c>
      <c r="AA98" s="145">
        <v>0</v>
      </c>
      <c r="AB98" s="145">
        <v>0</v>
      </c>
      <c r="AC98" s="145">
        <v>7</v>
      </c>
      <c r="AD98" s="145">
        <v>8</v>
      </c>
      <c r="AE98" s="145">
        <v>0</v>
      </c>
      <c r="AF98" s="145">
        <v>7</v>
      </c>
      <c r="AG98" s="145">
        <v>9</v>
      </c>
      <c r="AH98" s="15">
        <f t="shared" si="3"/>
        <v>0</v>
      </c>
      <c r="AI98" s="15">
        <f t="shared" si="4"/>
        <v>0</v>
      </c>
      <c r="AJ98" s="15">
        <f t="shared" si="5"/>
        <v>0</v>
      </c>
    </row>
    <row r="99" spans="2:36">
      <c r="B99" s="124"/>
      <c r="C99" s="125">
        <v>96</v>
      </c>
      <c r="D99" s="144">
        <v>5081027.1405137107</v>
      </c>
      <c r="E99" s="144">
        <v>2848619.0108527811</v>
      </c>
      <c r="F99" s="144">
        <v>0</v>
      </c>
      <c r="G99" s="144">
        <v>0</v>
      </c>
      <c r="H99" s="144">
        <v>975751.00919963513</v>
      </c>
      <c r="I99" s="145">
        <v>6</v>
      </c>
      <c r="J99" s="145">
        <v>0</v>
      </c>
      <c r="K99" s="145">
        <v>13</v>
      </c>
      <c r="L99" s="145">
        <v>11</v>
      </c>
      <c r="M99" s="145">
        <v>8</v>
      </c>
      <c r="N99" s="145">
        <v>0</v>
      </c>
      <c r="O99" s="145">
        <v>0</v>
      </c>
      <c r="P99" s="145">
        <v>10</v>
      </c>
      <c r="Q99" s="145">
        <v>0</v>
      </c>
      <c r="R99" s="145">
        <v>8</v>
      </c>
      <c r="S99" s="145">
        <v>12</v>
      </c>
      <c r="T99" s="145">
        <v>8</v>
      </c>
      <c r="U99" s="145">
        <v>10</v>
      </c>
      <c r="V99" s="145">
        <v>9</v>
      </c>
      <c r="W99" s="145">
        <v>13</v>
      </c>
      <c r="X99" s="145">
        <v>0</v>
      </c>
      <c r="Y99" s="145">
        <v>8</v>
      </c>
      <c r="Z99" s="145">
        <v>0</v>
      </c>
      <c r="AA99" s="145">
        <v>0</v>
      </c>
      <c r="AB99" s="145">
        <v>0</v>
      </c>
      <c r="AC99" s="145">
        <v>0</v>
      </c>
      <c r="AD99" s="145">
        <v>8</v>
      </c>
      <c r="AE99" s="145">
        <v>0</v>
      </c>
      <c r="AF99" s="145">
        <v>7</v>
      </c>
      <c r="AG99" s="145">
        <v>0</v>
      </c>
      <c r="AH99" s="15">
        <f t="shared" si="3"/>
        <v>0</v>
      </c>
      <c r="AI99" s="15">
        <f t="shared" si="4"/>
        <v>0</v>
      </c>
      <c r="AJ99" s="15">
        <f t="shared" si="5"/>
        <v>0</v>
      </c>
    </row>
    <row r="100" spans="2:36">
      <c r="B100" s="124"/>
      <c r="C100" s="125">
        <v>97</v>
      </c>
      <c r="D100" s="144">
        <v>8533861.3502413426</v>
      </c>
      <c r="E100" s="144">
        <v>4794255.3605480045</v>
      </c>
      <c r="F100" s="144">
        <v>0</v>
      </c>
      <c r="G100" s="144">
        <v>0</v>
      </c>
      <c r="H100" s="144">
        <v>975751.00919963513</v>
      </c>
      <c r="I100" s="145">
        <v>0</v>
      </c>
      <c r="J100" s="145">
        <v>7</v>
      </c>
      <c r="K100" s="145">
        <v>13</v>
      </c>
      <c r="L100" s="145">
        <v>11</v>
      </c>
      <c r="M100" s="145">
        <v>8</v>
      </c>
      <c r="N100" s="145">
        <v>0</v>
      </c>
      <c r="O100" s="145">
        <v>0</v>
      </c>
      <c r="P100" s="145">
        <v>10</v>
      </c>
      <c r="Q100" s="145">
        <v>13</v>
      </c>
      <c r="R100" s="145">
        <v>8</v>
      </c>
      <c r="S100" s="145">
        <v>12</v>
      </c>
      <c r="T100" s="145">
        <v>8</v>
      </c>
      <c r="U100" s="145">
        <v>10</v>
      </c>
      <c r="V100" s="145">
        <v>9</v>
      </c>
      <c r="W100" s="145">
        <v>13</v>
      </c>
      <c r="X100" s="145">
        <v>9</v>
      </c>
      <c r="Y100" s="145">
        <v>8</v>
      </c>
      <c r="Z100" s="145">
        <v>9</v>
      </c>
      <c r="AA100" s="145">
        <v>7</v>
      </c>
      <c r="AB100" s="145">
        <v>8</v>
      </c>
      <c r="AC100" s="145">
        <v>8</v>
      </c>
      <c r="AD100" s="145">
        <v>8</v>
      </c>
      <c r="AE100" s="145">
        <v>11</v>
      </c>
      <c r="AF100" s="145">
        <v>7</v>
      </c>
      <c r="AG100" s="145">
        <v>0</v>
      </c>
      <c r="AH100" s="15">
        <f t="shared" si="3"/>
        <v>0</v>
      </c>
      <c r="AI100" s="15">
        <f t="shared" si="4"/>
        <v>0</v>
      </c>
      <c r="AJ100" s="15">
        <f t="shared" si="5"/>
        <v>0</v>
      </c>
    </row>
    <row r="101" spans="2:36">
      <c r="B101" s="124"/>
      <c r="C101" s="125">
        <v>98</v>
      </c>
      <c r="D101" s="144">
        <v>8923236.6326209512</v>
      </c>
      <c r="E101" s="144">
        <v>5012596.9478593236</v>
      </c>
      <c r="F101" s="144">
        <v>0</v>
      </c>
      <c r="G101" s="144">
        <v>0</v>
      </c>
      <c r="H101" s="144">
        <v>975751.00919963513</v>
      </c>
      <c r="I101" s="145">
        <v>7</v>
      </c>
      <c r="J101" s="145">
        <v>7</v>
      </c>
      <c r="K101" s="145">
        <v>13</v>
      </c>
      <c r="L101" s="145">
        <v>11</v>
      </c>
      <c r="M101" s="145">
        <v>8</v>
      </c>
      <c r="N101" s="145">
        <v>0</v>
      </c>
      <c r="O101" s="145">
        <v>12</v>
      </c>
      <c r="P101" s="145">
        <v>10</v>
      </c>
      <c r="Q101" s="145">
        <v>13</v>
      </c>
      <c r="R101" s="145">
        <v>8</v>
      </c>
      <c r="S101" s="145">
        <v>12</v>
      </c>
      <c r="T101" s="145">
        <v>8</v>
      </c>
      <c r="U101" s="145">
        <v>10</v>
      </c>
      <c r="V101" s="145">
        <v>9</v>
      </c>
      <c r="W101" s="145">
        <v>13</v>
      </c>
      <c r="X101" s="145">
        <v>9</v>
      </c>
      <c r="Y101" s="145">
        <v>8</v>
      </c>
      <c r="Z101" s="145">
        <v>9</v>
      </c>
      <c r="AA101" s="145">
        <v>7</v>
      </c>
      <c r="AB101" s="145">
        <v>8</v>
      </c>
      <c r="AC101" s="145">
        <v>0</v>
      </c>
      <c r="AD101" s="145">
        <v>8</v>
      </c>
      <c r="AE101" s="145">
        <v>11</v>
      </c>
      <c r="AF101" s="145">
        <v>7</v>
      </c>
      <c r="AG101" s="145">
        <v>0</v>
      </c>
      <c r="AH101" s="15">
        <f t="shared" si="3"/>
        <v>0</v>
      </c>
      <c r="AI101" s="15">
        <f t="shared" si="4"/>
        <v>0</v>
      </c>
      <c r="AJ101" s="15">
        <f t="shared" si="5"/>
        <v>0</v>
      </c>
    </row>
    <row r="102" spans="2:36">
      <c r="B102" s="124"/>
      <c r="C102" s="125">
        <v>99</v>
      </c>
      <c r="D102" s="144">
        <v>8320854.0908192312</v>
      </c>
      <c r="E102" s="144">
        <v>4711528.9257449508</v>
      </c>
      <c r="F102" s="144">
        <v>0</v>
      </c>
      <c r="G102" s="144">
        <v>0</v>
      </c>
      <c r="H102" s="144">
        <v>975751.00919963513</v>
      </c>
      <c r="I102" s="145">
        <v>7</v>
      </c>
      <c r="J102" s="145">
        <v>7</v>
      </c>
      <c r="K102" s="145">
        <v>13</v>
      </c>
      <c r="L102" s="145">
        <v>0</v>
      </c>
      <c r="M102" s="145">
        <v>8</v>
      </c>
      <c r="N102" s="145">
        <v>8</v>
      </c>
      <c r="O102" s="145">
        <v>0</v>
      </c>
      <c r="P102" s="145">
        <v>10</v>
      </c>
      <c r="Q102" s="145">
        <v>13</v>
      </c>
      <c r="R102" s="145">
        <v>0</v>
      </c>
      <c r="S102" s="145">
        <v>12</v>
      </c>
      <c r="T102" s="145">
        <v>8</v>
      </c>
      <c r="U102" s="145">
        <v>10</v>
      </c>
      <c r="V102" s="145">
        <v>9</v>
      </c>
      <c r="W102" s="145">
        <v>13</v>
      </c>
      <c r="X102" s="145">
        <v>9</v>
      </c>
      <c r="Y102" s="145">
        <v>8</v>
      </c>
      <c r="Z102" s="145">
        <v>9</v>
      </c>
      <c r="AA102" s="145">
        <v>7</v>
      </c>
      <c r="AB102" s="145">
        <v>8</v>
      </c>
      <c r="AC102" s="145">
        <v>0</v>
      </c>
      <c r="AD102" s="145">
        <v>8</v>
      </c>
      <c r="AE102" s="145">
        <v>11</v>
      </c>
      <c r="AF102" s="145">
        <v>0</v>
      </c>
      <c r="AG102" s="145">
        <v>10</v>
      </c>
      <c r="AH102" s="15">
        <f t="shared" si="3"/>
        <v>0</v>
      </c>
      <c r="AI102" s="15">
        <f t="shared" si="4"/>
        <v>0</v>
      </c>
      <c r="AJ102" s="15">
        <f t="shared" si="5"/>
        <v>0</v>
      </c>
    </row>
    <row r="103" spans="2:36">
      <c r="B103" s="124"/>
      <c r="C103" s="125">
        <v>100</v>
      </c>
      <c r="D103" s="144">
        <v>8479645.3241660818</v>
      </c>
      <c r="E103" s="144">
        <v>4884904.1749557406</v>
      </c>
      <c r="F103" s="144">
        <v>0</v>
      </c>
      <c r="G103" s="144">
        <v>0</v>
      </c>
      <c r="H103" s="144">
        <v>975751.00919963513</v>
      </c>
      <c r="I103" s="145">
        <v>7</v>
      </c>
      <c r="J103" s="145">
        <v>0</v>
      </c>
      <c r="K103" s="145">
        <v>13</v>
      </c>
      <c r="L103" s="145">
        <v>0</v>
      </c>
      <c r="M103" s="145">
        <v>8</v>
      </c>
      <c r="N103" s="145">
        <v>8</v>
      </c>
      <c r="O103" s="145">
        <v>0</v>
      </c>
      <c r="P103" s="145">
        <v>10</v>
      </c>
      <c r="Q103" s="145">
        <v>13</v>
      </c>
      <c r="R103" s="145">
        <v>0</v>
      </c>
      <c r="S103" s="145">
        <v>12</v>
      </c>
      <c r="T103" s="145">
        <v>8</v>
      </c>
      <c r="U103" s="145">
        <v>10</v>
      </c>
      <c r="V103" s="145">
        <v>9</v>
      </c>
      <c r="W103" s="145">
        <v>13</v>
      </c>
      <c r="X103" s="145">
        <v>9</v>
      </c>
      <c r="Y103" s="145">
        <v>8</v>
      </c>
      <c r="Z103" s="145">
        <v>9</v>
      </c>
      <c r="AA103" s="145">
        <v>7</v>
      </c>
      <c r="AB103" s="145">
        <v>8</v>
      </c>
      <c r="AC103" s="145">
        <v>9</v>
      </c>
      <c r="AD103" s="145">
        <v>8</v>
      </c>
      <c r="AE103" s="145">
        <v>11</v>
      </c>
      <c r="AF103" s="145">
        <v>8</v>
      </c>
      <c r="AG103" s="145">
        <v>10</v>
      </c>
      <c r="AH103" s="15">
        <f t="shared" si="3"/>
        <v>0</v>
      </c>
      <c r="AI103" s="15">
        <f t="shared" si="4"/>
        <v>0</v>
      </c>
      <c r="AJ103" s="15">
        <f t="shared" si="5"/>
        <v>0</v>
      </c>
    </row>
    <row r="104" spans="2:36">
      <c r="B104" s="124"/>
      <c r="C104" s="125">
        <v>101</v>
      </c>
      <c r="D104" s="144">
        <v>8432562.2296778578</v>
      </c>
      <c r="E104" s="144">
        <v>4759427.8765360508</v>
      </c>
      <c r="F104" s="144">
        <v>0</v>
      </c>
      <c r="G104" s="144">
        <v>0</v>
      </c>
      <c r="H104" s="144">
        <v>975751.00919963513</v>
      </c>
      <c r="I104" s="145">
        <v>7</v>
      </c>
      <c r="J104" s="145">
        <v>0</v>
      </c>
      <c r="K104" s="145">
        <v>0</v>
      </c>
      <c r="L104" s="145">
        <v>12</v>
      </c>
      <c r="M104" s="145">
        <v>8</v>
      </c>
      <c r="N104" s="145">
        <v>8</v>
      </c>
      <c r="O104" s="145">
        <v>13</v>
      </c>
      <c r="P104" s="145">
        <v>10</v>
      </c>
      <c r="Q104" s="145">
        <v>13</v>
      </c>
      <c r="R104" s="145">
        <v>0</v>
      </c>
      <c r="S104" s="145">
        <v>12</v>
      </c>
      <c r="T104" s="145">
        <v>8</v>
      </c>
      <c r="U104" s="145">
        <v>10</v>
      </c>
      <c r="V104" s="145">
        <v>9</v>
      </c>
      <c r="W104" s="145">
        <v>13</v>
      </c>
      <c r="X104" s="145">
        <v>9</v>
      </c>
      <c r="Y104" s="145">
        <v>8</v>
      </c>
      <c r="Z104" s="145">
        <v>9</v>
      </c>
      <c r="AA104" s="145">
        <v>7</v>
      </c>
      <c r="AB104" s="145">
        <v>8</v>
      </c>
      <c r="AC104" s="145">
        <v>9</v>
      </c>
      <c r="AD104" s="145">
        <v>0</v>
      </c>
      <c r="AE104" s="145">
        <v>11</v>
      </c>
      <c r="AF104" s="145">
        <v>8</v>
      </c>
      <c r="AG104" s="145">
        <v>10</v>
      </c>
      <c r="AH104" s="15">
        <f t="shared" si="3"/>
        <v>0</v>
      </c>
      <c r="AI104" s="15">
        <f t="shared" si="4"/>
        <v>0</v>
      </c>
      <c r="AJ104" s="15">
        <f t="shared" si="5"/>
        <v>0</v>
      </c>
    </row>
    <row r="105" spans="2:36">
      <c r="B105" s="124"/>
      <c r="C105" s="125">
        <v>102</v>
      </c>
      <c r="D105" s="144">
        <v>8821662.5694793612</v>
      </c>
      <c r="E105" s="144">
        <v>4995420.0025305403</v>
      </c>
      <c r="F105" s="144">
        <v>0</v>
      </c>
      <c r="G105" s="144">
        <v>0</v>
      </c>
      <c r="H105" s="144">
        <v>975751.00919963513</v>
      </c>
      <c r="I105" s="145">
        <v>7</v>
      </c>
      <c r="J105" s="145">
        <v>0</v>
      </c>
      <c r="K105" s="145">
        <v>14</v>
      </c>
      <c r="L105" s="145">
        <v>12</v>
      </c>
      <c r="M105" s="145">
        <v>8</v>
      </c>
      <c r="N105" s="145">
        <v>8</v>
      </c>
      <c r="O105" s="145">
        <v>0</v>
      </c>
      <c r="P105" s="145">
        <v>10</v>
      </c>
      <c r="Q105" s="145">
        <v>13</v>
      </c>
      <c r="R105" s="145">
        <v>9</v>
      </c>
      <c r="S105" s="145">
        <v>12</v>
      </c>
      <c r="T105" s="145">
        <v>8</v>
      </c>
      <c r="U105" s="145">
        <v>10</v>
      </c>
      <c r="V105" s="145">
        <v>9</v>
      </c>
      <c r="W105" s="145">
        <v>13</v>
      </c>
      <c r="X105" s="145">
        <v>9</v>
      </c>
      <c r="Y105" s="145">
        <v>8</v>
      </c>
      <c r="Z105" s="145">
        <v>9</v>
      </c>
      <c r="AA105" s="145">
        <v>7</v>
      </c>
      <c r="AB105" s="145">
        <v>8</v>
      </c>
      <c r="AC105" s="145">
        <v>9</v>
      </c>
      <c r="AD105" s="145">
        <v>9</v>
      </c>
      <c r="AE105" s="145">
        <v>0</v>
      </c>
      <c r="AF105" s="145">
        <v>8</v>
      </c>
      <c r="AG105" s="145">
        <v>10</v>
      </c>
      <c r="AH105" s="15">
        <f t="shared" si="3"/>
        <v>0</v>
      </c>
      <c r="AI105" s="15">
        <f t="shared" si="4"/>
        <v>0</v>
      </c>
      <c r="AJ105" s="15">
        <f t="shared" si="5"/>
        <v>0</v>
      </c>
    </row>
    <row r="106" spans="2:36">
      <c r="B106" s="124"/>
      <c r="C106" s="125">
        <v>103</v>
      </c>
      <c r="D106" s="144">
        <v>8624659.0604956858</v>
      </c>
      <c r="E106" s="144">
        <v>4929993.6342045655</v>
      </c>
      <c r="F106" s="144">
        <v>0</v>
      </c>
      <c r="G106" s="144">
        <v>0</v>
      </c>
      <c r="H106" s="144">
        <v>975751.00919963513</v>
      </c>
      <c r="I106" s="145">
        <v>0</v>
      </c>
      <c r="J106" s="145">
        <v>8</v>
      </c>
      <c r="K106" s="145">
        <v>14</v>
      </c>
      <c r="L106" s="145">
        <v>12</v>
      </c>
      <c r="M106" s="145">
        <v>8</v>
      </c>
      <c r="N106" s="145">
        <v>8</v>
      </c>
      <c r="O106" s="145">
        <v>0</v>
      </c>
      <c r="P106" s="145">
        <v>10</v>
      </c>
      <c r="Q106" s="145">
        <v>13</v>
      </c>
      <c r="R106" s="145">
        <v>9</v>
      </c>
      <c r="S106" s="145">
        <v>12</v>
      </c>
      <c r="T106" s="145">
        <v>8</v>
      </c>
      <c r="U106" s="145">
        <v>10</v>
      </c>
      <c r="V106" s="145">
        <v>9</v>
      </c>
      <c r="W106" s="145">
        <v>13</v>
      </c>
      <c r="X106" s="145">
        <v>9</v>
      </c>
      <c r="Y106" s="145">
        <v>8</v>
      </c>
      <c r="Z106" s="145">
        <v>9</v>
      </c>
      <c r="AA106" s="145">
        <v>7</v>
      </c>
      <c r="AB106" s="145">
        <v>0</v>
      </c>
      <c r="AC106" s="145">
        <v>9</v>
      </c>
      <c r="AD106" s="145">
        <v>9</v>
      </c>
      <c r="AE106" s="145">
        <v>12</v>
      </c>
      <c r="AF106" s="145">
        <v>8</v>
      </c>
      <c r="AG106" s="145">
        <v>10</v>
      </c>
      <c r="AH106" s="15">
        <f t="shared" si="3"/>
        <v>0</v>
      </c>
      <c r="AI106" s="15">
        <f t="shared" si="4"/>
        <v>0</v>
      </c>
      <c r="AJ106" s="15">
        <f t="shared" si="5"/>
        <v>0</v>
      </c>
    </row>
    <row r="107" spans="2:36">
      <c r="B107" s="124"/>
      <c r="C107" s="125">
        <v>104</v>
      </c>
      <c r="D107" s="144">
        <v>7923715.1107154824</v>
      </c>
      <c r="E107" s="144">
        <v>4479237.5473379958</v>
      </c>
      <c r="F107" s="144">
        <v>0</v>
      </c>
      <c r="G107" s="144">
        <v>0</v>
      </c>
      <c r="H107" s="144">
        <v>975751.00919963513</v>
      </c>
      <c r="I107" s="145">
        <v>0</v>
      </c>
      <c r="J107" s="145">
        <v>8</v>
      </c>
      <c r="K107" s="145">
        <v>14</v>
      </c>
      <c r="L107" s="145">
        <v>12</v>
      </c>
      <c r="M107" s="145">
        <v>8</v>
      </c>
      <c r="N107" s="145">
        <v>0</v>
      </c>
      <c r="O107" s="145">
        <v>14</v>
      </c>
      <c r="P107" s="145">
        <v>10</v>
      </c>
      <c r="Q107" s="145">
        <v>13</v>
      </c>
      <c r="R107" s="145">
        <v>9</v>
      </c>
      <c r="S107" s="145">
        <v>12</v>
      </c>
      <c r="T107" s="145">
        <v>8</v>
      </c>
      <c r="U107" s="145">
        <v>10</v>
      </c>
      <c r="V107" s="145">
        <v>9</v>
      </c>
      <c r="W107" s="145">
        <v>13</v>
      </c>
      <c r="X107" s="145">
        <v>9</v>
      </c>
      <c r="Y107" s="145">
        <v>8</v>
      </c>
      <c r="Z107" s="145">
        <v>9</v>
      </c>
      <c r="AA107" s="145">
        <v>0</v>
      </c>
      <c r="AB107" s="145">
        <v>0</v>
      </c>
      <c r="AC107" s="145">
        <v>9</v>
      </c>
      <c r="AD107" s="145">
        <v>9</v>
      </c>
      <c r="AE107" s="145">
        <v>12</v>
      </c>
      <c r="AF107" s="145">
        <v>8</v>
      </c>
      <c r="AG107" s="145">
        <v>10</v>
      </c>
      <c r="AH107" s="15">
        <f t="shared" si="3"/>
        <v>0</v>
      </c>
      <c r="AI107" s="15">
        <f t="shared" si="4"/>
        <v>0</v>
      </c>
      <c r="AJ107" s="15">
        <f t="shared" si="5"/>
        <v>0</v>
      </c>
    </row>
    <row r="108" spans="2:36">
      <c r="B108" s="124"/>
      <c r="C108" s="125">
        <v>105</v>
      </c>
      <c r="D108" s="144">
        <v>7417545.9500471205</v>
      </c>
      <c r="E108" s="144">
        <v>4156516.153905943</v>
      </c>
      <c r="F108" s="144">
        <v>0</v>
      </c>
      <c r="G108" s="144">
        <v>0</v>
      </c>
      <c r="H108" s="144">
        <v>975751.00919963513</v>
      </c>
      <c r="I108" s="145">
        <v>8</v>
      </c>
      <c r="J108" s="145">
        <v>8</v>
      </c>
      <c r="K108" s="145">
        <v>14</v>
      </c>
      <c r="L108" s="145">
        <v>12</v>
      </c>
      <c r="M108" s="145">
        <v>0</v>
      </c>
      <c r="N108" s="145">
        <v>0</v>
      </c>
      <c r="O108" s="145">
        <v>14</v>
      </c>
      <c r="P108" s="145">
        <v>0</v>
      </c>
      <c r="Q108" s="145">
        <v>0</v>
      </c>
      <c r="R108" s="145">
        <v>9</v>
      </c>
      <c r="S108" s="145">
        <v>12</v>
      </c>
      <c r="T108" s="145">
        <v>8</v>
      </c>
      <c r="U108" s="145">
        <v>0</v>
      </c>
      <c r="V108" s="145">
        <v>9</v>
      </c>
      <c r="W108" s="145">
        <v>13</v>
      </c>
      <c r="X108" s="145">
        <v>9</v>
      </c>
      <c r="Y108" s="145">
        <v>0</v>
      </c>
      <c r="Z108" s="145">
        <v>9</v>
      </c>
      <c r="AA108" s="145">
        <v>0</v>
      </c>
      <c r="AB108" s="145">
        <v>9</v>
      </c>
      <c r="AC108" s="145">
        <v>9</v>
      </c>
      <c r="AD108" s="145">
        <v>9</v>
      </c>
      <c r="AE108" s="145">
        <v>12</v>
      </c>
      <c r="AF108" s="145">
        <v>8</v>
      </c>
      <c r="AG108" s="145">
        <v>10</v>
      </c>
      <c r="AH108" s="15">
        <f t="shared" si="3"/>
        <v>0</v>
      </c>
      <c r="AI108" s="15">
        <f t="shared" si="4"/>
        <v>0</v>
      </c>
      <c r="AJ108" s="15">
        <f t="shared" si="5"/>
        <v>0</v>
      </c>
    </row>
    <row r="109" spans="2:36">
      <c r="B109" s="124"/>
      <c r="C109" s="125">
        <v>106</v>
      </c>
      <c r="D109" s="144">
        <v>6614258.8575380221</v>
      </c>
      <c r="E109" s="144">
        <v>3764456.1507356171</v>
      </c>
      <c r="F109" s="144">
        <v>0</v>
      </c>
      <c r="G109" s="144">
        <v>0</v>
      </c>
      <c r="H109" s="144">
        <v>975751.00919963513</v>
      </c>
      <c r="I109" s="145">
        <v>8</v>
      </c>
      <c r="J109" s="145">
        <v>8</v>
      </c>
      <c r="K109" s="145">
        <v>14</v>
      </c>
      <c r="L109" s="145">
        <v>12</v>
      </c>
      <c r="M109" s="145">
        <v>0</v>
      </c>
      <c r="N109" s="145">
        <v>0</v>
      </c>
      <c r="O109" s="145">
        <v>14</v>
      </c>
      <c r="P109" s="145">
        <v>0</v>
      </c>
      <c r="Q109" s="145">
        <v>0</v>
      </c>
      <c r="R109" s="145">
        <v>9</v>
      </c>
      <c r="S109" s="145">
        <v>12</v>
      </c>
      <c r="T109" s="145">
        <v>8</v>
      </c>
      <c r="U109" s="145">
        <v>0</v>
      </c>
      <c r="V109" s="145">
        <v>0</v>
      </c>
      <c r="W109" s="145">
        <v>13</v>
      </c>
      <c r="X109" s="145">
        <v>0</v>
      </c>
      <c r="Y109" s="145">
        <v>0</v>
      </c>
      <c r="Z109" s="145">
        <v>9</v>
      </c>
      <c r="AA109" s="145">
        <v>0</v>
      </c>
      <c r="AB109" s="145">
        <v>9</v>
      </c>
      <c r="AC109" s="145">
        <v>9</v>
      </c>
      <c r="AD109" s="145">
        <v>9</v>
      </c>
      <c r="AE109" s="145">
        <v>12</v>
      </c>
      <c r="AF109" s="145">
        <v>8</v>
      </c>
      <c r="AG109" s="145">
        <v>10</v>
      </c>
      <c r="AH109" s="15">
        <f t="shared" si="3"/>
        <v>0</v>
      </c>
      <c r="AI109" s="15">
        <f t="shared" si="4"/>
        <v>0</v>
      </c>
      <c r="AJ109" s="15">
        <f t="shared" si="5"/>
        <v>0</v>
      </c>
    </row>
    <row r="110" spans="2:36">
      <c r="B110" s="124"/>
      <c r="C110" s="125">
        <v>107</v>
      </c>
      <c r="D110" s="144">
        <v>6376940.5146123068</v>
      </c>
      <c r="E110" s="144">
        <v>3606702.4139276887</v>
      </c>
      <c r="F110" s="144">
        <v>0</v>
      </c>
      <c r="G110" s="144">
        <v>0</v>
      </c>
      <c r="H110" s="144">
        <v>975751.00919963513</v>
      </c>
      <c r="I110" s="145">
        <v>8</v>
      </c>
      <c r="J110" s="145">
        <v>8</v>
      </c>
      <c r="K110" s="145">
        <v>14</v>
      </c>
      <c r="L110" s="145">
        <v>0</v>
      </c>
      <c r="M110" s="145">
        <v>9</v>
      </c>
      <c r="N110" s="145">
        <v>9</v>
      </c>
      <c r="O110" s="145">
        <v>14</v>
      </c>
      <c r="P110" s="145">
        <v>0</v>
      </c>
      <c r="Q110" s="145">
        <v>14</v>
      </c>
      <c r="R110" s="145">
        <v>9</v>
      </c>
      <c r="S110" s="145">
        <v>0</v>
      </c>
      <c r="T110" s="145">
        <v>0</v>
      </c>
      <c r="U110" s="145">
        <v>11</v>
      </c>
      <c r="V110" s="145">
        <v>0</v>
      </c>
      <c r="W110" s="145">
        <v>0</v>
      </c>
      <c r="X110" s="145">
        <v>0</v>
      </c>
      <c r="Y110" s="145">
        <v>0</v>
      </c>
      <c r="Z110" s="145">
        <v>9</v>
      </c>
      <c r="AA110" s="145">
        <v>8</v>
      </c>
      <c r="AB110" s="145">
        <v>9</v>
      </c>
      <c r="AC110" s="145">
        <v>9</v>
      </c>
      <c r="AD110" s="145">
        <v>9</v>
      </c>
      <c r="AE110" s="145">
        <v>0</v>
      </c>
      <c r="AF110" s="145">
        <v>8</v>
      </c>
      <c r="AG110" s="145">
        <v>0</v>
      </c>
      <c r="AH110" s="15">
        <f t="shared" si="3"/>
        <v>0</v>
      </c>
      <c r="AI110" s="15">
        <f t="shared" si="4"/>
        <v>0</v>
      </c>
      <c r="AJ110" s="15">
        <f t="shared" si="5"/>
        <v>0</v>
      </c>
    </row>
    <row r="111" spans="2:36">
      <c r="B111" s="124"/>
      <c r="C111" s="125">
        <v>108</v>
      </c>
      <c r="D111" s="144">
        <v>7606534.7059206702</v>
      </c>
      <c r="E111" s="144">
        <v>4396534.1575395772</v>
      </c>
      <c r="F111" s="144">
        <v>0</v>
      </c>
      <c r="G111" s="144">
        <v>0</v>
      </c>
      <c r="H111" s="144">
        <v>975751.00919963513</v>
      </c>
      <c r="I111" s="145">
        <v>8</v>
      </c>
      <c r="J111" s="145">
        <v>8</v>
      </c>
      <c r="K111" s="145">
        <v>14</v>
      </c>
      <c r="L111" s="145">
        <v>0</v>
      </c>
      <c r="M111" s="145">
        <v>9</v>
      </c>
      <c r="N111" s="145">
        <v>9</v>
      </c>
      <c r="O111" s="145">
        <v>14</v>
      </c>
      <c r="P111" s="145">
        <v>11</v>
      </c>
      <c r="Q111" s="145">
        <v>14</v>
      </c>
      <c r="R111" s="145">
        <v>9</v>
      </c>
      <c r="S111" s="145">
        <v>0</v>
      </c>
      <c r="T111" s="145">
        <v>0</v>
      </c>
      <c r="U111" s="145">
        <v>11</v>
      </c>
      <c r="V111" s="145">
        <v>10</v>
      </c>
      <c r="W111" s="145">
        <v>0</v>
      </c>
      <c r="X111" s="145">
        <v>10</v>
      </c>
      <c r="Y111" s="145">
        <v>9</v>
      </c>
      <c r="Z111" s="145">
        <v>9</v>
      </c>
      <c r="AA111" s="145">
        <v>8</v>
      </c>
      <c r="AB111" s="145">
        <v>9</v>
      </c>
      <c r="AC111" s="145">
        <v>9</v>
      </c>
      <c r="AD111" s="145">
        <v>0</v>
      </c>
      <c r="AE111" s="145">
        <v>0</v>
      </c>
      <c r="AF111" s="145">
        <v>8</v>
      </c>
      <c r="AG111" s="145">
        <v>0</v>
      </c>
      <c r="AH111" s="15">
        <f t="shared" si="3"/>
        <v>0</v>
      </c>
      <c r="AI111" s="15">
        <f t="shared" si="4"/>
        <v>0</v>
      </c>
      <c r="AJ111" s="15">
        <f t="shared" si="5"/>
        <v>0</v>
      </c>
    </row>
    <row r="112" spans="2:36">
      <c r="B112" s="124"/>
      <c r="C112" s="125">
        <v>109</v>
      </c>
      <c r="D112" s="144">
        <v>9095445.8908645231</v>
      </c>
      <c r="E112" s="144">
        <v>5192037.6480158344</v>
      </c>
      <c r="F112" s="144">
        <v>0</v>
      </c>
      <c r="G112" s="144">
        <v>0</v>
      </c>
      <c r="H112" s="144">
        <v>975751.00919963513</v>
      </c>
      <c r="I112" s="145">
        <v>8</v>
      </c>
      <c r="J112" s="145">
        <v>8</v>
      </c>
      <c r="K112" s="145">
        <v>14</v>
      </c>
      <c r="L112" s="145">
        <v>13</v>
      </c>
      <c r="M112" s="145">
        <v>9</v>
      </c>
      <c r="N112" s="145">
        <v>9</v>
      </c>
      <c r="O112" s="145">
        <v>14</v>
      </c>
      <c r="P112" s="145">
        <v>11</v>
      </c>
      <c r="Q112" s="145">
        <v>14</v>
      </c>
      <c r="R112" s="145">
        <v>9</v>
      </c>
      <c r="S112" s="145">
        <v>13</v>
      </c>
      <c r="T112" s="145">
        <v>9</v>
      </c>
      <c r="U112" s="145">
        <v>11</v>
      </c>
      <c r="V112" s="145">
        <v>10</v>
      </c>
      <c r="W112" s="145">
        <v>14</v>
      </c>
      <c r="X112" s="145">
        <v>0</v>
      </c>
      <c r="Y112" s="145">
        <v>9</v>
      </c>
      <c r="Z112" s="145">
        <v>0</v>
      </c>
      <c r="AA112" s="145">
        <v>8</v>
      </c>
      <c r="AB112" s="145">
        <v>9</v>
      </c>
      <c r="AC112" s="145">
        <v>9</v>
      </c>
      <c r="AD112" s="145">
        <v>0</v>
      </c>
      <c r="AE112" s="145">
        <v>0</v>
      </c>
      <c r="AF112" s="145">
        <v>8</v>
      </c>
      <c r="AG112" s="145">
        <v>11</v>
      </c>
      <c r="AH112" s="15">
        <f t="shared" si="3"/>
        <v>0</v>
      </c>
      <c r="AI112" s="15">
        <f t="shared" si="4"/>
        <v>0</v>
      </c>
      <c r="AJ112" s="15">
        <f t="shared" si="5"/>
        <v>0</v>
      </c>
    </row>
    <row r="113" spans="2:36">
      <c r="B113" s="124"/>
      <c r="C113" s="125">
        <v>110</v>
      </c>
      <c r="D113" s="144">
        <v>8791691.6582676247</v>
      </c>
      <c r="E113" s="144">
        <v>5085636.7271287004</v>
      </c>
      <c r="F113" s="144">
        <v>0</v>
      </c>
      <c r="G113" s="144">
        <v>0</v>
      </c>
      <c r="H113" s="144">
        <v>975751.00919963513</v>
      </c>
      <c r="I113" s="145">
        <v>8</v>
      </c>
      <c r="J113" s="145">
        <v>8</v>
      </c>
      <c r="K113" s="145">
        <v>14</v>
      </c>
      <c r="L113" s="145">
        <v>13</v>
      </c>
      <c r="M113" s="145">
        <v>9</v>
      </c>
      <c r="N113" s="145">
        <v>9</v>
      </c>
      <c r="O113" s="145">
        <v>14</v>
      </c>
      <c r="P113" s="145">
        <v>11</v>
      </c>
      <c r="Q113" s="145">
        <v>14</v>
      </c>
      <c r="R113" s="145">
        <v>9</v>
      </c>
      <c r="S113" s="145">
        <v>13</v>
      </c>
      <c r="T113" s="145">
        <v>0</v>
      </c>
      <c r="U113" s="145">
        <v>11</v>
      </c>
      <c r="V113" s="145">
        <v>10</v>
      </c>
      <c r="W113" s="145">
        <v>14</v>
      </c>
      <c r="X113" s="145">
        <v>0</v>
      </c>
      <c r="Y113" s="145">
        <v>9</v>
      </c>
      <c r="Z113" s="145">
        <v>0</v>
      </c>
      <c r="AA113" s="145">
        <v>8</v>
      </c>
      <c r="AB113" s="145">
        <v>9</v>
      </c>
      <c r="AC113" s="145">
        <v>0</v>
      </c>
      <c r="AD113" s="145">
        <v>0</v>
      </c>
      <c r="AE113" s="145">
        <v>13</v>
      </c>
      <c r="AF113" s="145">
        <v>8</v>
      </c>
      <c r="AG113" s="145">
        <v>11</v>
      </c>
      <c r="AH113" s="15">
        <f t="shared" si="3"/>
        <v>0</v>
      </c>
      <c r="AI113" s="15">
        <f t="shared" si="4"/>
        <v>0</v>
      </c>
      <c r="AJ113" s="15">
        <f t="shared" si="5"/>
        <v>0</v>
      </c>
    </row>
    <row r="114" spans="2:36">
      <c r="B114" s="124"/>
      <c r="C114" s="125">
        <v>111</v>
      </c>
      <c r="D114" s="144">
        <v>10127119.052100085</v>
      </c>
      <c r="E114" s="144">
        <v>5724662.3235807056</v>
      </c>
      <c r="F114" s="144">
        <v>0</v>
      </c>
      <c r="G114" s="144">
        <v>0</v>
      </c>
      <c r="H114" s="144">
        <v>975751.00919963513</v>
      </c>
      <c r="I114" s="145">
        <v>8</v>
      </c>
      <c r="J114" s="145">
        <v>8</v>
      </c>
      <c r="K114" s="145">
        <v>0</v>
      </c>
      <c r="L114" s="145">
        <v>13</v>
      </c>
      <c r="M114" s="145">
        <v>9</v>
      </c>
      <c r="N114" s="145">
        <v>9</v>
      </c>
      <c r="O114" s="145">
        <v>14</v>
      </c>
      <c r="P114" s="145">
        <v>11</v>
      </c>
      <c r="Q114" s="145">
        <v>14</v>
      </c>
      <c r="R114" s="145">
        <v>9</v>
      </c>
      <c r="S114" s="145">
        <v>13</v>
      </c>
      <c r="T114" s="145">
        <v>0</v>
      </c>
      <c r="U114" s="145">
        <v>11</v>
      </c>
      <c r="V114" s="145">
        <v>10</v>
      </c>
      <c r="W114" s="145">
        <v>14</v>
      </c>
      <c r="X114" s="145">
        <v>11</v>
      </c>
      <c r="Y114" s="145">
        <v>9</v>
      </c>
      <c r="Z114" s="145">
        <v>10</v>
      </c>
      <c r="AA114" s="145">
        <v>8</v>
      </c>
      <c r="AB114" s="145">
        <v>9</v>
      </c>
      <c r="AC114" s="145">
        <v>10</v>
      </c>
      <c r="AD114" s="145">
        <v>10</v>
      </c>
      <c r="AE114" s="145">
        <v>13</v>
      </c>
      <c r="AF114" s="145">
        <v>8</v>
      </c>
      <c r="AG114" s="145">
        <v>11</v>
      </c>
      <c r="AH114" s="15">
        <f t="shared" si="3"/>
        <v>0</v>
      </c>
      <c r="AI114" s="15">
        <f t="shared" si="4"/>
        <v>0</v>
      </c>
      <c r="AJ114" s="15">
        <f t="shared" si="5"/>
        <v>0</v>
      </c>
    </row>
    <row r="115" spans="2:36">
      <c r="B115" s="124"/>
      <c r="C115" s="125">
        <v>112</v>
      </c>
      <c r="D115" s="144">
        <v>9354265.7839387786</v>
      </c>
      <c r="E115" s="144">
        <v>5357801.141994928</v>
      </c>
      <c r="F115" s="144">
        <v>0</v>
      </c>
      <c r="G115" s="144">
        <v>0</v>
      </c>
      <c r="H115" s="144">
        <v>975751.00919963513</v>
      </c>
      <c r="I115" s="145">
        <v>8</v>
      </c>
      <c r="J115" s="145">
        <v>8</v>
      </c>
      <c r="K115" s="145">
        <v>0</v>
      </c>
      <c r="L115" s="145">
        <v>13</v>
      </c>
      <c r="M115" s="145">
        <v>9</v>
      </c>
      <c r="N115" s="145">
        <v>9</v>
      </c>
      <c r="O115" s="145">
        <v>14</v>
      </c>
      <c r="P115" s="145">
        <v>11</v>
      </c>
      <c r="Q115" s="145">
        <v>14</v>
      </c>
      <c r="R115" s="145">
        <v>0</v>
      </c>
      <c r="S115" s="145">
        <v>13</v>
      </c>
      <c r="T115" s="145">
        <v>10</v>
      </c>
      <c r="U115" s="145">
        <v>11</v>
      </c>
      <c r="V115" s="145">
        <v>10</v>
      </c>
      <c r="W115" s="145">
        <v>14</v>
      </c>
      <c r="X115" s="145">
        <v>11</v>
      </c>
      <c r="Y115" s="145">
        <v>9</v>
      </c>
      <c r="Z115" s="145">
        <v>0</v>
      </c>
      <c r="AA115" s="145">
        <v>8</v>
      </c>
      <c r="AB115" s="145">
        <v>9</v>
      </c>
      <c r="AC115" s="145">
        <v>10</v>
      </c>
      <c r="AD115" s="145">
        <v>10</v>
      </c>
      <c r="AE115" s="145">
        <v>13</v>
      </c>
      <c r="AF115" s="145">
        <v>0</v>
      </c>
      <c r="AG115" s="145">
        <v>11</v>
      </c>
      <c r="AH115" s="15">
        <f t="shared" si="3"/>
        <v>0</v>
      </c>
      <c r="AI115" s="15">
        <f t="shared" si="4"/>
        <v>0</v>
      </c>
      <c r="AJ115" s="15">
        <f t="shared" si="5"/>
        <v>0</v>
      </c>
    </row>
    <row r="116" spans="2:36">
      <c r="B116" s="124"/>
      <c r="C116" s="125">
        <v>113</v>
      </c>
      <c r="D116" s="144">
        <v>8255472.5899524968</v>
      </c>
      <c r="E116" s="144">
        <v>4883374.9863900859</v>
      </c>
      <c r="F116" s="144">
        <v>0</v>
      </c>
      <c r="G116" s="144">
        <v>0</v>
      </c>
      <c r="H116" s="144">
        <v>975751.00919963513</v>
      </c>
      <c r="I116" s="145">
        <v>8</v>
      </c>
      <c r="J116" s="145">
        <v>8</v>
      </c>
      <c r="K116" s="145">
        <v>15</v>
      </c>
      <c r="L116" s="145">
        <v>13</v>
      </c>
      <c r="M116" s="145">
        <v>0</v>
      </c>
      <c r="N116" s="145">
        <v>9</v>
      </c>
      <c r="O116" s="145">
        <v>14</v>
      </c>
      <c r="P116" s="145">
        <v>11</v>
      </c>
      <c r="Q116" s="145">
        <v>14</v>
      </c>
      <c r="R116" s="145">
        <v>0</v>
      </c>
      <c r="S116" s="145">
        <v>13</v>
      </c>
      <c r="T116" s="145">
        <v>10</v>
      </c>
      <c r="U116" s="145">
        <v>11</v>
      </c>
      <c r="V116" s="145">
        <v>10</v>
      </c>
      <c r="W116" s="145">
        <v>14</v>
      </c>
      <c r="X116" s="145">
        <v>11</v>
      </c>
      <c r="Y116" s="145">
        <v>9</v>
      </c>
      <c r="Z116" s="145">
        <v>0</v>
      </c>
      <c r="AA116" s="145">
        <v>0</v>
      </c>
      <c r="AB116" s="145">
        <v>0</v>
      </c>
      <c r="AC116" s="145">
        <v>10</v>
      </c>
      <c r="AD116" s="145">
        <v>10</v>
      </c>
      <c r="AE116" s="145">
        <v>13</v>
      </c>
      <c r="AF116" s="145">
        <v>0</v>
      </c>
      <c r="AG116" s="145">
        <v>11</v>
      </c>
      <c r="AH116" s="15">
        <f t="shared" si="3"/>
        <v>0</v>
      </c>
      <c r="AI116" s="15">
        <f t="shared" si="4"/>
        <v>0</v>
      </c>
      <c r="AJ116" s="15">
        <f t="shared" si="5"/>
        <v>0</v>
      </c>
    </row>
    <row r="117" spans="2:36">
      <c r="B117" s="124"/>
      <c r="C117" s="125">
        <v>114</v>
      </c>
      <c r="D117" s="144">
        <v>8118341.6595518263</v>
      </c>
      <c r="E117" s="144">
        <v>4695381.2527551726</v>
      </c>
      <c r="F117" s="144">
        <v>0</v>
      </c>
      <c r="G117" s="144">
        <v>0</v>
      </c>
      <c r="H117" s="144">
        <v>975751.00919963513</v>
      </c>
      <c r="I117" s="145">
        <v>0</v>
      </c>
      <c r="J117" s="145">
        <v>8</v>
      </c>
      <c r="K117" s="145">
        <v>15</v>
      </c>
      <c r="L117" s="145">
        <v>13</v>
      </c>
      <c r="M117" s="145">
        <v>0</v>
      </c>
      <c r="N117" s="145">
        <v>9</v>
      </c>
      <c r="O117" s="145">
        <v>14</v>
      </c>
      <c r="P117" s="145">
        <v>11</v>
      </c>
      <c r="Q117" s="145">
        <v>14</v>
      </c>
      <c r="R117" s="145">
        <v>10</v>
      </c>
      <c r="S117" s="145">
        <v>13</v>
      </c>
      <c r="T117" s="145">
        <v>10</v>
      </c>
      <c r="U117" s="145">
        <v>11</v>
      </c>
      <c r="V117" s="145">
        <v>10</v>
      </c>
      <c r="W117" s="145">
        <v>14</v>
      </c>
      <c r="X117" s="145">
        <v>11</v>
      </c>
      <c r="Y117" s="145">
        <v>9</v>
      </c>
      <c r="Z117" s="145">
        <v>0</v>
      </c>
      <c r="AA117" s="145">
        <v>0</v>
      </c>
      <c r="AB117" s="145">
        <v>0</v>
      </c>
      <c r="AC117" s="145">
        <v>10</v>
      </c>
      <c r="AD117" s="145">
        <v>0</v>
      </c>
      <c r="AE117" s="145">
        <v>13</v>
      </c>
      <c r="AF117" s="145">
        <v>9</v>
      </c>
      <c r="AG117" s="145">
        <v>11</v>
      </c>
      <c r="AH117" s="15">
        <f t="shared" si="3"/>
        <v>0</v>
      </c>
      <c r="AI117" s="15">
        <f t="shared" si="4"/>
        <v>0</v>
      </c>
      <c r="AJ117" s="15">
        <f t="shared" si="5"/>
        <v>0</v>
      </c>
    </row>
    <row r="118" spans="2:36">
      <c r="B118" s="124"/>
      <c r="C118" s="125">
        <v>115</v>
      </c>
      <c r="D118" s="144">
        <v>7625365.7555554537</v>
      </c>
      <c r="E118" s="144">
        <v>4350922.8466403661</v>
      </c>
      <c r="F118" s="144">
        <v>0</v>
      </c>
      <c r="G118" s="144">
        <v>0</v>
      </c>
      <c r="H118" s="144">
        <v>975751.00919963513</v>
      </c>
      <c r="I118" s="145">
        <v>0</v>
      </c>
      <c r="J118" s="145">
        <v>0</v>
      </c>
      <c r="K118" s="145">
        <v>15</v>
      </c>
      <c r="L118" s="145">
        <v>0</v>
      </c>
      <c r="M118" s="145">
        <v>0</v>
      </c>
      <c r="N118" s="145">
        <v>9</v>
      </c>
      <c r="O118" s="145">
        <v>14</v>
      </c>
      <c r="P118" s="145">
        <v>11</v>
      </c>
      <c r="Q118" s="145">
        <v>14</v>
      </c>
      <c r="R118" s="145">
        <v>10</v>
      </c>
      <c r="S118" s="145">
        <v>0</v>
      </c>
      <c r="T118" s="145">
        <v>10</v>
      </c>
      <c r="U118" s="145">
        <v>11</v>
      </c>
      <c r="V118" s="145">
        <v>10</v>
      </c>
      <c r="W118" s="145">
        <v>14</v>
      </c>
      <c r="X118" s="145">
        <v>11</v>
      </c>
      <c r="Y118" s="145">
        <v>9</v>
      </c>
      <c r="Z118" s="145">
        <v>11</v>
      </c>
      <c r="AA118" s="145">
        <v>9</v>
      </c>
      <c r="AB118" s="145">
        <v>0</v>
      </c>
      <c r="AC118" s="145">
        <v>10</v>
      </c>
      <c r="AD118" s="145">
        <v>0</v>
      </c>
      <c r="AE118" s="145">
        <v>13</v>
      </c>
      <c r="AF118" s="145">
        <v>9</v>
      </c>
      <c r="AG118" s="145">
        <v>11</v>
      </c>
      <c r="AH118" s="15">
        <f t="shared" si="3"/>
        <v>0</v>
      </c>
      <c r="AI118" s="15">
        <f t="shared" si="4"/>
        <v>0</v>
      </c>
      <c r="AJ118" s="15">
        <f t="shared" si="5"/>
        <v>0</v>
      </c>
    </row>
    <row r="119" spans="2:36">
      <c r="B119" s="124"/>
      <c r="C119" s="125">
        <v>116</v>
      </c>
      <c r="D119" s="144">
        <v>8405941.1822336391</v>
      </c>
      <c r="E119" s="144">
        <v>4782664.7456157124</v>
      </c>
      <c r="F119" s="144">
        <v>0</v>
      </c>
      <c r="G119" s="144">
        <v>0</v>
      </c>
      <c r="H119" s="144">
        <v>975751.00919963513</v>
      </c>
      <c r="I119" s="145">
        <v>9</v>
      </c>
      <c r="J119" s="145">
        <v>0</v>
      </c>
      <c r="K119" s="145">
        <v>15</v>
      </c>
      <c r="L119" s="145">
        <v>14</v>
      </c>
      <c r="M119" s="145">
        <v>10</v>
      </c>
      <c r="N119" s="145">
        <v>9</v>
      </c>
      <c r="O119" s="145">
        <v>0</v>
      </c>
      <c r="P119" s="145">
        <v>11</v>
      </c>
      <c r="Q119" s="145">
        <v>14</v>
      </c>
      <c r="R119" s="145">
        <v>10</v>
      </c>
      <c r="S119" s="145">
        <v>0</v>
      </c>
      <c r="T119" s="145">
        <v>10</v>
      </c>
      <c r="U119" s="145">
        <v>11</v>
      </c>
      <c r="V119" s="145">
        <v>10</v>
      </c>
      <c r="W119" s="145">
        <v>0</v>
      </c>
      <c r="X119" s="145">
        <v>11</v>
      </c>
      <c r="Y119" s="145">
        <v>9</v>
      </c>
      <c r="Z119" s="145">
        <v>0</v>
      </c>
      <c r="AA119" s="145">
        <v>9</v>
      </c>
      <c r="AB119" s="145">
        <v>10</v>
      </c>
      <c r="AC119" s="145">
        <v>10</v>
      </c>
      <c r="AD119" s="145">
        <v>11</v>
      </c>
      <c r="AE119" s="145">
        <v>0</v>
      </c>
      <c r="AF119" s="145">
        <v>9</v>
      </c>
      <c r="AG119" s="145">
        <v>11</v>
      </c>
      <c r="AH119" s="15">
        <f t="shared" si="3"/>
        <v>0</v>
      </c>
      <c r="AI119" s="15">
        <f t="shared" si="4"/>
        <v>0</v>
      </c>
      <c r="AJ119" s="15">
        <f t="shared" si="5"/>
        <v>0</v>
      </c>
    </row>
    <row r="120" spans="2:36">
      <c r="B120" s="124"/>
      <c r="C120" s="125">
        <v>117</v>
      </c>
      <c r="D120" s="144">
        <v>8409276.5936623365</v>
      </c>
      <c r="E120" s="144">
        <v>4772909.0908532897</v>
      </c>
      <c r="F120" s="144">
        <v>0</v>
      </c>
      <c r="G120" s="144">
        <v>0</v>
      </c>
      <c r="H120" s="144">
        <v>975751.00919963513</v>
      </c>
      <c r="I120" s="145">
        <v>9</v>
      </c>
      <c r="J120" s="145">
        <v>9</v>
      </c>
      <c r="K120" s="145">
        <v>15</v>
      </c>
      <c r="L120" s="145">
        <v>14</v>
      </c>
      <c r="M120" s="145">
        <v>10</v>
      </c>
      <c r="N120" s="145">
        <v>9</v>
      </c>
      <c r="O120" s="145">
        <v>15</v>
      </c>
      <c r="P120" s="145">
        <v>11</v>
      </c>
      <c r="Q120" s="145">
        <v>14</v>
      </c>
      <c r="R120" s="145">
        <v>10</v>
      </c>
      <c r="S120" s="145">
        <v>0</v>
      </c>
      <c r="T120" s="145">
        <v>10</v>
      </c>
      <c r="U120" s="145">
        <v>0</v>
      </c>
      <c r="V120" s="145">
        <v>10</v>
      </c>
      <c r="W120" s="145">
        <v>0</v>
      </c>
      <c r="X120" s="145">
        <v>11</v>
      </c>
      <c r="Y120" s="145">
        <v>9</v>
      </c>
      <c r="Z120" s="145">
        <v>0</v>
      </c>
      <c r="AA120" s="145">
        <v>9</v>
      </c>
      <c r="AB120" s="145">
        <v>10</v>
      </c>
      <c r="AC120" s="145">
        <v>10</v>
      </c>
      <c r="AD120" s="145">
        <v>11</v>
      </c>
      <c r="AE120" s="145">
        <v>0</v>
      </c>
      <c r="AF120" s="145">
        <v>0</v>
      </c>
      <c r="AG120" s="145">
        <v>11</v>
      </c>
      <c r="AH120" s="15">
        <f t="shared" si="3"/>
        <v>0</v>
      </c>
      <c r="AI120" s="15">
        <f t="shared" si="4"/>
        <v>0</v>
      </c>
      <c r="AJ120" s="15">
        <f t="shared" si="5"/>
        <v>0</v>
      </c>
    </row>
    <row r="121" spans="2:36">
      <c r="B121" s="124"/>
      <c r="C121" s="125">
        <v>118</v>
      </c>
      <c r="D121" s="144">
        <v>10355027.823893771</v>
      </c>
      <c r="E121" s="144">
        <v>5895821.8801057832</v>
      </c>
      <c r="F121" s="144">
        <v>0</v>
      </c>
      <c r="G121" s="144">
        <v>0</v>
      </c>
      <c r="H121" s="144">
        <v>975751.00919963513</v>
      </c>
      <c r="I121" s="145">
        <v>9</v>
      </c>
      <c r="J121" s="145">
        <v>9</v>
      </c>
      <c r="K121" s="145">
        <v>15</v>
      </c>
      <c r="L121" s="145">
        <v>14</v>
      </c>
      <c r="M121" s="145">
        <v>10</v>
      </c>
      <c r="N121" s="145">
        <v>9</v>
      </c>
      <c r="O121" s="145">
        <v>15</v>
      </c>
      <c r="P121" s="145">
        <v>11</v>
      </c>
      <c r="Q121" s="145">
        <v>14</v>
      </c>
      <c r="R121" s="145">
        <v>10</v>
      </c>
      <c r="S121" s="145">
        <v>14</v>
      </c>
      <c r="T121" s="145">
        <v>10</v>
      </c>
      <c r="U121" s="145">
        <v>0</v>
      </c>
      <c r="V121" s="145">
        <v>10</v>
      </c>
      <c r="W121" s="145">
        <v>15</v>
      </c>
      <c r="X121" s="145">
        <v>11</v>
      </c>
      <c r="Y121" s="145">
        <v>9</v>
      </c>
      <c r="Z121" s="145">
        <v>12</v>
      </c>
      <c r="AA121" s="145">
        <v>9</v>
      </c>
      <c r="AB121" s="145">
        <v>10</v>
      </c>
      <c r="AC121" s="145">
        <v>10</v>
      </c>
      <c r="AD121" s="145">
        <v>11</v>
      </c>
      <c r="AE121" s="145">
        <v>14</v>
      </c>
      <c r="AF121" s="145">
        <v>0</v>
      </c>
      <c r="AG121" s="145">
        <v>11</v>
      </c>
      <c r="AH121" s="15">
        <f t="shared" si="3"/>
        <v>0</v>
      </c>
      <c r="AI121" s="15">
        <f t="shared" si="4"/>
        <v>0</v>
      </c>
      <c r="AJ121" s="15">
        <f t="shared" si="5"/>
        <v>0</v>
      </c>
    </row>
    <row r="122" spans="2:36">
      <c r="B122" s="124"/>
      <c r="C122" s="125">
        <v>119</v>
      </c>
      <c r="D122" s="144">
        <v>8798420.1287889071</v>
      </c>
      <c r="E122" s="144">
        <v>4994791.3515908187</v>
      </c>
      <c r="F122" s="144">
        <v>0</v>
      </c>
      <c r="G122" s="144">
        <v>0</v>
      </c>
      <c r="H122" s="144">
        <v>975751.00919963513</v>
      </c>
      <c r="I122" s="145">
        <v>9</v>
      </c>
      <c r="J122" s="145">
        <v>9</v>
      </c>
      <c r="K122" s="145">
        <v>0</v>
      </c>
      <c r="L122" s="145">
        <v>14</v>
      </c>
      <c r="M122" s="145">
        <v>10</v>
      </c>
      <c r="N122" s="145">
        <v>0</v>
      </c>
      <c r="O122" s="145">
        <v>15</v>
      </c>
      <c r="P122" s="145">
        <v>11</v>
      </c>
      <c r="Q122" s="145">
        <v>0</v>
      </c>
      <c r="R122" s="145">
        <v>10</v>
      </c>
      <c r="S122" s="145">
        <v>14</v>
      </c>
      <c r="T122" s="145">
        <v>10</v>
      </c>
      <c r="U122" s="145">
        <v>12</v>
      </c>
      <c r="V122" s="145">
        <v>10</v>
      </c>
      <c r="W122" s="145">
        <v>15</v>
      </c>
      <c r="X122" s="145">
        <v>11</v>
      </c>
      <c r="Y122" s="145">
        <v>9</v>
      </c>
      <c r="Z122" s="145">
        <v>0</v>
      </c>
      <c r="AA122" s="145">
        <v>9</v>
      </c>
      <c r="AB122" s="145">
        <v>0</v>
      </c>
      <c r="AC122" s="145">
        <v>10</v>
      </c>
      <c r="AD122" s="145">
        <v>11</v>
      </c>
      <c r="AE122" s="145">
        <v>14</v>
      </c>
      <c r="AF122" s="145">
        <v>10</v>
      </c>
      <c r="AG122" s="145">
        <v>11</v>
      </c>
      <c r="AH122" s="15">
        <f t="shared" si="3"/>
        <v>0</v>
      </c>
      <c r="AI122" s="15">
        <f t="shared" si="4"/>
        <v>0</v>
      </c>
      <c r="AJ122" s="15">
        <f t="shared" si="5"/>
        <v>0</v>
      </c>
    </row>
    <row r="123" spans="2:36">
      <c r="B123" s="124"/>
      <c r="C123" s="125">
        <v>120</v>
      </c>
      <c r="D123" s="144">
        <v>8304655.3621269474</v>
      </c>
      <c r="E123" s="144">
        <v>4662090.9146134257</v>
      </c>
      <c r="F123" s="144">
        <v>0</v>
      </c>
      <c r="G123" s="144">
        <v>0</v>
      </c>
      <c r="H123" s="144">
        <v>975751.00919963513</v>
      </c>
      <c r="I123" s="145">
        <v>9</v>
      </c>
      <c r="J123" s="145">
        <v>0</v>
      </c>
      <c r="K123" s="145">
        <v>0</v>
      </c>
      <c r="L123" s="145">
        <v>14</v>
      </c>
      <c r="M123" s="145">
        <v>10</v>
      </c>
      <c r="N123" s="145">
        <v>0</v>
      </c>
      <c r="O123" s="145">
        <v>15</v>
      </c>
      <c r="P123" s="145">
        <v>0</v>
      </c>
      <c r="Q123" s="145">
        <v>15</v>
      </c>
      <c r="R123" s="145">
        <v>10</v>
      </c>
      <c r="S123" s="145">
        <v>14</v>
      </c>
      <c r="T123" s="145">
        <v>10</v>
      </c>
      <c r="U123" s="145">
        <v>12</v>
      </c>
      <c r="V123" s="145">
        <v>10</v>
      </c>
      <c r="W123" s="145">
        <v>15</v>
      </c>
      <c r="X123" s="145">
        <v>11</v>
      </c>
      <c r="Y123" s="145">
        <v>9</v>
      </c>
      <c r="Z123" s="145">
        <v>0</v>
      </c>
      <c r="AA123" s="145">
        <v>9</v>
      </c>
      <c r="AB123" s="145">
        <v>0</v>
      </c>
      <c r="AC123" s="145">
        <v>10</v>
      </c>
      <c r="AD123" s="145">
        <v>11</v>
      </c>
      <c r="AE123" s="145">
        <v>14</v>
      </c>
      <c r="AF123" s="145">
        <v>10</v>
      </c>
      <c r="AG123" s="145">
        <v>11</v>
      </c>
      <c r="AH123" s="15">
        <f t="shared" si="3"/>
        <v>0</v>
      </c>
      <c r="AI123" s="15">
        <f t="shared" si="4"/>
        <v>0</v>
      </c>
      <c r="AJ123" s="15">
        <f t="shared" si="5"/>
        <v>0</v>
      </c>
    </row>
    <row r="124" spans="2:36">
      <c r="B124" s="124"/>
      <c r="C124" s="125">
        <v>121</v>
      </c>
      <c r="D124" s="144">
        <v>8054831.9431108423</v>
      </c>
      <c r="E124" s="144">
        <v>4664404.6624772921</v>
      </c>
      <c r="F124" s="144">
        <v>0</v>
      </c>
      <c r="G124" s="144">
        <v>0</v>
      </c>
      <c r="H124" s="144">
        <v>975751.00919963513</v>
      </c>
      <c r="I124" s="145">
        <v>9</v>
      </c>
      <c r="J124" s="145">
        <v>0</v>
      </c>
      <c r="K124" s="145">
        <v>16</v>
      </c>
      <c r="L124" s="145">
        <v>0</v>
      </c>
      <c r="M124" s="145">
        <v>10</v>
      </c>
      <c r="N124" s="145">
        <v>10</v>
      </c>
      <c r="O124" s="145">
        <v>15</v>
      </c>
      <c r="P124" s="145">
        <v>0</v>
      </c>
      <c r="Q124" s="145">
        <v>15</v>
      </c>
      <c r="R124" s="145">
        <v>0</v>
      </c>
      <c r="S124" s="145">
        <v>14</v>
      </c>
      <c r="T124" s="145">
        <v>10</v>
      </c>
      <c r="U124" s="145">
        <v>12</v>
      </c>
      <c r="V124" s="145">
        <v>0</v>
      </c>
      <c r="W124" s="145">
        <v>15</v>
      </c>
      <c r="X124" s="145">
        <v>11</v>
      </c>
      <c r="Y124" s="145">
        <v>0</v>
      </c>
      <c r="Z124" s="145">
        <v>13</v>
      </c>
      <c r="AA124" s="145">
        <v>9</v>
      </c>
      <c r="AB124" s="145">
        <v>11</v>
      </c>
      <c r="AC124" s="145">
        <v>10</v>
      </c>
      <c r="AD124" s="145">
        <v>11</v>
      </c>
      <c r="AE124" s="145">
        <v>14</v>
      </c>
      <c r="AF124" s="145">
        <v>10</v>
      </c>
      <c r="AG124" s="145">
        <v>0</v>
      </c>
      <c r="AH124" s="15">
        <f t="shared" si="3"/>
        <v>0</v>
      </c>
      <c r="AI124" s="15">
        <f t="shared" si="4"/>
        <v>0</v>
      </c>
      <c r="AJ124" s="15">
        <f t="shared" si="5"/>
        <v>0</v>
      </c>
    </row>
    <row r="125" spans="2:36">
      <c r="B125" s="124"/>
      <c r="C125" s="125">
        <v>122</v>
      </c>
      <c r="D125" s="144">
        <v>9674823.7894932125</v>
      </c>
      <c r="E125" s="144">
        <v>5602529.3849463752</v>
      </c>
      <c r="F125" s="144">
        <v>0</v>
      </c>
      <c r="G125" s="144">
        <v>0</v>
      </c>
      <c r="H125" s="144">
        <v>975751.00919963513</v>
      </c>
      <c r="I125" s="145">
        <v>9</v>
      </c>
      <c r="J125" s="145">
        <v>0</v>
      </c>
      <c r="K125" s="145">
        <v>16</v>
      </c>
      <c r="L125" s="145">
        <v>0</v>
      </c>
      <c r="M125" s="145">
        <v>10</v>
      </c>
      <c r="N125" s="145">
        <v>10</v>
      </c>
      <c r="O125" s="145">
        <v>15</v>
      </c>
      <c r="P125" s="145">
        <v>12</v>
      </c>
      <c r="Q125" s="145">
        <v>15</v>
      </c>
      <c r="R125" s="145">
        <v>11</v>
      </c>
      <c r="S125" s="145">
        <v>14</v>
      </c>
      <c r="T125" s="145">
        <v>10</v>
      </c>
      <c r="U125" s="145">
        <v>0</v>
      </c>
      <c r="V125" s="145">
        <v>0</v>
      </c>
      <c r="W125" s="145">
        <v>15</v>
      </c>
      <c r="X125" s="145">
        <v>11</v>
      </c>
      <c r="Y125" s="145">
        <v>10</v>
      </c>
      <c r="Z125" s="145">
        <v>13</v>
      </c>
      <c r="AA125" s="145">
        <v>9</v>
      </c>
      <c r="AB125" s="145">
        <v>11</v>
      </c>
      <c r="AC125" s="145">
        <v>10</v>
      </c>
      <c r="AD125" s="145">
        <v>11</v>
      </c>
      <c r="AE125" s="145">
        <v>0</v>
      </c>
      <c r="AF125" s="145">
        <v>10</v>
      </c>
      <c r="AG125" s="145">
        <v>12</v>
      </c>
      <c r="AH125" s="15">
        <f t="shared" si="3"/>
        <v>0</v>
      </c>
      <c r="AI125" s="15">
        <f t="shared" si="4"/>
        <v>0</v>
      </c>
      <c r="AJ125" s="15">
        <f t="shared" si="5"/>
        <v>0</v>
      </c>
    </row>
    <row r="126" spans="2:36">
      <c r="B126" s="124"/>
      <c r="C126" s="125">
        <v>123</v>
      </c>
      <c r="D126" s="144">
        <v>9285848.4649799094</v>
      </c>
      <c r="E126" s="144">
        <v>5350527.0055320552</v>
      </c>
      <c r="F126" s="144">
        <v>0</v>
      </c>
      <c r="G126" s="144">
        <v>0</v>
      </c>
      <c r="H126" s="144">
        <v>975751.00919963513</v>
      </c>
      <c r="I126" s="145">
        <v>0</v>
      </c>
      <c r="J126" s="145">
        <v>10</v>
      </c>
      <c r="K126" s="145">
        <v>16</v>
      </c>
      <c r="L126" s="145">
        <v>0</v>
      </c>
      <c r="M126" s="145">
        <v>10</v>
      </c>
      <c r="N126" s="145">
        <v>10</v>
      </c>
      <c r="O126" s="145">
        <v>15</v>
      </c>
      <c r="P126" s="145">
        <v>12</v>
      </c>
      <c r="Q126" s="145">
        <v>15</v>
      </c>
      <c r="R126" s="145">
        <v>11</v>
      </c>
      <c r="S126" s="145">
        <v>14</v>
      </c>
      <c r="T126" s="145">
        <v>10</v>
      </c>
      <c r="U126" s="145">
        <v>0</v>
      </c>
      <c r="V126" s="145">
        <v>11</v>
      </c>
      <c r="W126" s="145">
        <v>15</v>
      </c>
      <c r="X126" s="145">
        <v>0</v>
      </c>
      <c r="Y126" s="145">
        <v>10</v>
      </c>
      <c r="Z126" s="145">
        <v>13</v>
      </c>
      <c r="AA126" s="145">
        <v>9</v>
      </c>
      <c r="AB126" s="145">
        <v>11</v>
      </c>
      <c r="AC126" s="145">
        <v>10</v>
      </c>
      <c r="AD126" s="145">
        <v>0</v>
      </c>
      <c r="AE126" s="145">
        <v>0</v>
      </c>
      <c r="AF126" s="145">
        <v>10</v>
      </c>
      <c r="AG126" s="145">
        <v>12</v>
      </c>
      <c r="AH126" s="15">
        <f t="shared" si="3"/>
        <v>0</v>
      </c>
      <c r="AI126" s="15">
        <f t="shared" si="4"/>
        <v>0</v>
      </c>
      <c r="AJ126" s="15">
        <f t="shared" si="5"/>
        <v>0</v>
      </c>
    </row>
    <row r="127" spans="2:36">
      <c r="B127" s="124"/>
      <c r="C127" s="125">
        <v>124</v>
      </c>
      <c r="D127" s="144">
        <v>8853461.405880494</v>
      </c>
      <c r="E127" s="144">
        <v>5040983.8677397603</v>
      </c>
      <c r="F127" s="144">
        <v>0</v>
      </c>
      <c r="G127" s="144">
        <v>0</v>
      </c>
      <c r="H127" s="144">
        <v>975751.00919963513</v>
      </c>
      <c r="I127" s="145">
        <v>0</v>
      </c>
      <c r="J127" s="145">
        <v>10</v>
      </c>
      <c r="K127" s="145">
        <v>16</v>
      </c>
      <c r="L127" s="145">
        <v>15</v>
      </c>
      <c r="M127" s="145">
        <v>10</v>
      </c>
      <c r="N127" s="145">
        <v>10</v>
      </c>
      <c r="O127" s="145">
        <v>0</v>
      </c>
      <c r="P127" s="145">
        <v>12</v>
      </c>
      <c r="Q127" s="145">
        <v>0</v>
      </c>
      <c r="R127" s="145">
        <v>11</v>
      </c>
      <c r="S127" s="145">
        <v>14</v>
      </c>
      <c r="T127" s="145">
        <v>0</v>
      </c>
      <c r="U127" s="145">
        <v>13</v>
      </c>
      <c r="V127" s="145">
        <v>11</v>
      </c>
      <c r="W127" s="145">
        <v>15</v>
      </c>
      <c r="X127" s="145">
        <v>0</v>
      </c>
      <c r="Y127" s="145">
        <v>10</v>
      </c>
      <c r="Z127" s="145">
        <v>13</v>
      </c>
      <c r="AA127" s="145">
        <v>9</v>
      </c>
      <c r="AB127" s="145">
        <v>11</v>
      </c>
      <c r="AC127" s="145">
        <v>0</v>
      </c>
      <c r="AD127" s="145">
        <v>0</v>
      </c>
      <c r="AE127" s="145">
        <v>15</v>
      </c>
      <c r="AF127" s="145">
        <v>10</v>
      </c>
      <c r="AG127" s="145">
        <v>12</v>
      </c>
      <c r="AH127" s="15">
        <f t="shared" si="3"/>
        <v>0</v>
      </c>
      <c r="AI127" s="15">
        <f t="shared" si="4"/>
        <v>0</v>
      </c>
      <c r="AJ127" s="15">
        <f t="shared" si="5"/>
        <v>0</v>
      </c>
    </row>
    <row r="128" spans="2:36">
      <c r="B128" s="124"/>
      <c r="C128" s="125">
        <v>125</v>
      </c>
      <c r="D128" s="144">
        <v>10771073.428076278</v>
      </c>
      <c r="E128" s="144">
        <v>6126944.6704263519</v>
      </c>
      <c r="F128" s="144">
        <v>0</v>
      </c>
      <c r="G128" s="144">
        <v>0</v>
      </c>
      <c r="H128" s="144">
        <v>975751.00919963513</v>
      </c>
      <c r="I128" s="145">
        <v>10</v>
      </c>
      <c r="J128" s="145">
        <v>10</v>
      </c>
      <c r="K128" s="145">
        <v>16</v>
      </c>
      <c r="L128" s="145">
        <v>15</v>
      </c>
      <c r="M128" s="145">
        <v>10</v>
      </c>
      <c r="N128" s="145">
        <v>10</v>
      </c>
      <c r="O128" s="145">
        <v>0</v>
      </c>
      <c r="P128" s="145">
        <v>12</v>
      </c>
      <c r="Q128" s="145">
        <v>0</v>
      </c>
      <c r="R128" s="145">
        <v>11</v>
      </c>
      <c r="S128" s="145">
        <v>14</v>
      </c>
      <c r="T128" s="145">
        <v>11</v>
      </c>
      <c r="U128" s="145">
        <v>13</v>
      </c>
      <c r="V128" s="145">
        <v>11</v>
      </c>
      <c r="W128" s="145">
        <v>0</v>
      </c>
      <c r="X128" s="145">
        <v>12</v>
      </c>
      <c r="Y128" s="145">
        <v>10</v>
      </c>
      <c r="Z128" s="145">
        <v>13</v>
      </c>
      <c r="AA128" s="145">
        <v>9</v>
      </c>
      <c r="AB128" s="145">
        <v>11</v>
      </c>
      <c r="AC128" s="145">
        <v>11</v>
      </c>
      <c r="AD128" s="145">
        <v>0</v>
      </c>
      <c r="AE128" s="145">
        <v>15</v>
      </c>
      <c r="AF128" s="145">
        <v>10</v>
      </c>
      <c r="AG128" s="145">
        <v>12</v>
      </c>
      <c r="AH128" s="15">
        <f t="shared" si="3"/>
        <v>0</v>
      </c>
      <c r="AI128" s="15">
        <f t="shared" si="4"/>
        <v>0</v>
      </c>
      <c r="AJ128" s="15">
        <f t="shared" si="5"/>
        <v>0</v>
      </c>
    </row>
    <row r="129" spans="2:36">
      <c r="B129" s="124"/>
      <c r="C129" s="125">
        <v>126</v>
      </c>
      <c r="D129" s="144">
        <v>9721087.2876132205</v>
      </c>
      <c r="E129" s="144">
        <v>5524741.0616099657</v>
      </c>
      <c r="F129" s="144">
        <v>0</v>
      </c>
      <c r="G129" s="144">
        <v>0</v>
      </c>
      <c r="H129" s="144">
        <v>975751.00919963513</v>
      </c>
      <c r="I129" s="145">
        <v>10</v>
      </c>
      <c r="J129" s="145">
        <v>10</v>
      </c>
      <c r="K129" s="145">
        <v>16</v>
      </c>
      <c r="L129" s="145">
        <v>15</v>
      </c>
      <c r="M129" s="145">
        <v>0</v>
      </c>
      <c r="N129" s="145">
        <v>10</v>
      </c>
      <c r="O129" s="145">
        <v>0</v>
      </c>
      <c r="P129" s="145">
        <v>0</v>
      </c>
      <c r="Q129" s="145">
        <v>0</v>
      </c>
      <c r="R129" s="145">
        <v>11</v>
      </c>
      <c r="S129" s="145">
        <v>0</v>
      </c>
      <c r="T129" s="145">
        <v>11</v>
      </c>
      <c r="U129" s="145">
        <v>13</v>
      </c>
      <c r="V129" s="145">
        <v>11</v>
      </c>
      <c r="W129" s="145">
        <v>16</v>
      </c>
      <c r="X129" s="145">
        <v>12</v>
      </c>
      <c r="Y129" s="145">
        <v>10</v>
      </c>
      <c r="Z129" s="145">
        <v>13</v>
      </c>
      <c r="AA129" s="145">
        <v>9</v>
      </c>
      <c r="AB129" s="145">
        <v>11</v>
      </c>
      <c r="AC129" s="145">
        <v>11</v>
      </c>
      <c r="AD129" s="145">
        <v>12</v>
      </c>
      <c r="AE129" s="145">
        <v>0</v>
      </c>
      <c r="AF129" s="145">
        <v>10</v>
      </c>
      <c r="AG129" s="145">
        <v>12</v>
      </c>
      <c r="AH129" s="15">
        <f t="shared" si="3"/>
        <v>0</v>
      </c>
      <c r="AI129" s="15">
        <f t="shared" si="4"/>
        <v>0</v>
      </c>
      <c r="AJ129" s="15">
        <f t="shared" si="5"/>
        <v>0</v>
      </c>
    </row>
    <row r="130" spans="2:36">
      <c r="B130" s="124"/>
      <c r="C130" s="125">
        <v>127</v>
      </c>
      <c r="D130" s="144">
        <v>10470252.221521288</v>
      </c>
      <c r="E130" s="144">
        <v>5847573.8277093349</v>
      </c>
      <c r="F130" s="144">
        <v>0</v>
      </c>
      <c r="G130" s="144">
        <v>0</v>
      </c>
      <c r="H130" s="144">
        <v>975751.00919963513</v>
      </c>
      <c r="I130" s="145">
        <v>10</v>
      </c>
      <c r="J130" s="145">
        <v>10</v>
      </c>
      <c r="K130" s="145">
        <v>16</v>
      </c>
      <c r="L130" s="145">
        <v>15</v>
      </c>
      <c r="M130" s="145">
        <v>0</v>
      </c>
      <c r="N130" s="145">
        <v>10</v>
      </c>
      <c r="O130" s="145">
        <v>16</v>
      </c>
      <c r="P130" s="145">
        <v>13</v>
      </c>
      <c r="Q130" s="145">
        <v>16</v>
      </c>
      <c r="R130" s="145">
        <v>11</v>
      </c>
      <c r="S130" s="145">
        <v>0</v>
      </c>
      <c r="T130" s="145">
        <v>11</v>
      </c>
      <c r="U130" s="145">
        <v>13</v>
      </c>
      <c r="V130" s="145">
        <v>11</v>
      </c>
      <c r="W130" s="145">
        <v>16</v>
      </c>
      <c r="X130" s="145">
        <v>12</v>
      </c>
      <c r="Y130" s="145">
        <v>10</v>
      </c>
      <c r="Z130" s="145">
        <v>13</v>
      </c>
      <c r="AA130" s="145">
        <v>9</v>
      </c>
      <c r="AB130" s="145">
        <v>0</v>
      </c>
      <c r="AC130" s="145">
        <v>11</v>
      </c>
      <c r="AD130" s="145">
        <v>12</v>
      </c>
      <c r="AE130" s="145">
        <v>0</v>
      </c>
      <c r="AF130" s="145">
        <v>10</v>
      </c>
      <c r="AG130" s="145">
        <v>12</v>
      </c>
      <c r="AH130" s="15">
        <f t="shared" si="3"/>
        <v>0</v>
      </c>
      <c r="AI130" s="15">
        <f t="shared" si="4"/>
        <v>0</v>
      </c>
      <c r="AJ130" s="15">
        <f t="shared" si="5"/>
        <v>0</v>
      </c>
    </row>
    <row r="131" spans="2:36">
      <c r="B131" s="124"/>
      <c r="C131" s="125">
        <v>128</v>
      </c>
      <c r="D131" s="144">
        <v>10153674.856786886</v>
      </c>
      <c r="E131" s="144">
        <v>5788964.8677602625</v>
      </c>
      <c r="F131" s="144">
        <v>0</v>
      </c>
      <c r="G131" s="144">
        <v>0</v>
      </c>
      <c r="H131" s="144">
        <v>975751.00919963513</v>
      </c>
      <c r="I131" s="145">
        <v>10</v>
      </c>
      <c r="J131" s="145">
        <v>10</v>
      </c>
      <c r="K131" s="145">
        <v>0</v>
      </c>
      <c r="L131" s="145">
        <v>15</v>
      </c>
      <c r="M131" s="145">
        <v>0</v>
      </c>
      <c r="N131" s="145">
        <v>10</v>
      </c>
      <c r="O131" s="145">
        <v>16</v>
      </c>
      <c r="P131" s="145">
        <v>13</v>
      </c>
      <c r="Q131" s="145">
        <v>16</v>
      </c>
      <c r="R131" s="145">
        <v>0</v>
      </c>
      <c r="S131" s="145">
        <v>15</v>
      </c>
      <c r="T131" s="145">
        <v>11</v>
      </c>
      <c r="U131" s="145">
        <v>13</v>
      </c>
      <c r="V131" s="145">
        <v>11</v>
      </c>
      <c r="W131" s="145">
        <v>16</v>
      </c>
      <c r="X131" s="145">
        <v>12</v>
      </c>
      <c r="Y131" s="145">
        <v>10</v>
      </c>
      <c r="Z131" s="145">
        <v>13</v>
      </c>
      <c r="AA131" s="145">
        <v>0</v>
      </c>
      <c r="AB131" s="145">
        <v>0</v>
      </c>
      <c r="AC131" s="145">
        <v>11</v>
      </c>
      <c r="AD131" s="145">
        <v>12</v>
      </c>
      <c r="AE131" s="145">
        <v>16</v>
      </c>
      <c r="AF131" s="145">
        <v>10</v>
      </c>
      <c r="AG131" s="145">
        <v>12</v>
      </c>
      <c r="AH131" s="15">
        <f t="shared" si="3"/>
        <v>0</v>
      </c>
      <c r="AI131" s="15">
        <f t="shared" si="4"/>
        <v>0</v>
      </c>
      <c r="AJ131" s="15">
        <f t="shared" si="5"/>
        <v>0</v>
      </c>
    </row>
    <row r="132" spans="2:36">
      <c r="B132" s="124"/>
      <c r="C132" s="125">
        <v>129</v>
      </c>
      <c r="D132" s="144">
        <v>9689396.4699774887</v>
      </c>
      <c r="E132" s="144">
        <v>5557101.8272883259</v>
      </c>
      <c r="F132" s="144">
        <v>0</v>
      </c>
      <c r="G132" s="144">
        <v>0</v>
      </c>
      <c r="H132" s="144">
        <v>975751.00919963513</v>
      </c>
      <c r="I132" s="145">
        <v>10</v>
      </c>
      <c r="J132" s="145">
        <v>10</v>
      </c>
      <c r="K132" s="145">
        <v>17</v>
      </c>
      <c r="L132" s="145">
        <v>15</v>
      </c>
      <c r="M132" s="145">
        <v>11</v>
      </c>
      <c r="N132" s="145">
        <v>10</v>
      </c>
      <c r="O132" s="145">
        <v>16</v>
      </c>
      <c r="P132" s="145">
        <v>13</v>
      </c>
      <c r="Q132" s="145">
        <v>0</v>
      </c>
      <c r="R132" s="145">
        <v>0</v>
      </c>
      <c r="S132" s="145">
        <v>15</v>
      </c>
      <c r="T132" s="145">
        <v>11</v>
      </c>
      <c r="U132" s="145">
        <v>13</v>
      </c>
      <c r="V132" s="145">
        <v>11</v>
      </c>
      <c r="W132" s="145">
        <v>16</v>
      </c>
      <c r="X132" s="145">
        <v>0</v>
      </c>
      <c r="Y132" s="145">
        <v>10</v>
      </c>
      <c r="Z132" s="145">
        <v>13</v>
      </c>
      <c r="AA132" s="145">
        <v>0</v>
      </c>
      <c r="AB132" s="145">
        <v>0</v>
      </c>
      <c r="AC132" s="145">
        <v>11</v>
      </c>
      <c r="AD132" s="145">
        <v>12</v>
      </c>
      <c r="AE132" s="145">
        <v>16</v>
      </c>
      <c r="AF132" s="145">
        <v>10</v>
      </c>
      <c r="AG132" s="145">
        <v>0</v>
      </c>
      <c r="AH132" s="15">
        <f t="shared" ref="AH132:AH195" si="6">FREQUENCY(I132:AG132,-1)</f>
        <v>0</v>
      </c>
      <c r="AI132" s="15">
        <f t="shared" si="4"/>
        <v>0</v>
      </c>
      <c r="AJ132" s="15">
        <f t="shared" si="5"/>
        <v>0</v>
      </c>
    </row>
    <row r="133" spans="2:36">
      <c r="B133" s="124"/>
      <c r="C133" s="125">
        <v>130</v>
      </c>
      <c r="D133" s="144">
        <v>9107838.4251641165</v>
      </c>
      <c r="E133" s="144">
        <v>5229311.6475060498</v>
      </c>
      <c r="F133" s="144">
        <v>0</v>
      </c>
      <c r="G133" s="144">
        <v>0</v>
      </c>
      <c r="H133" s="144">
        <v>975751.00919963513</v>
      </c>
      <c r="I133" s="145">
        <v>10</v>
      </c>
      <c r="J133" s="145">
        <v>10</v>
      </c>
      <c r="K133" s="145">
        <v>17</v>
      </c>
      <c r="L133" s="145">
        <v>0</v>
      </c>
      <c r="M133" s="145">
        <v>11</v>
      </c>
      <c r="N133" s="145">
        <v>10</v>
      </c>
      <c r="O133" s="145">
        <v>16</v>
      </c>
      <c r="P133" s="145">
        <v>13</v>
      </c>
      <c r="Q133" s="145">
        <v>0</v>
      </c>
      <c r="R133" s="145">
        <v>12</v>
      </c>
      <c r="S133" s="145">
        <v>15</v>
      </c>
      <c r="T133" s="145">
        <v>11</v>
      </c>
      <c r="U133" s="145">
        <v>13</v>
      </c>
      <c r="V133" s="145">
        <v>11</v>
      </c>
      <c r="W133" s="145">
        <v>16</v>
      </c>
      <c r="X133" s="145">
        <v>0</v>
      </c>
      <c r="Y133" s="145">
        <v>0</v>
      </c>
      <c r="Z133" s="145">
        <v>0</v>
      </c>
      <c r="AA133" s="145">
        <v>0</v>
      </c>
      <c r="AB133" s="145">
        <v>12</v>
      </c>
      <c r="AC133" s="145">
        <v>11</v>
      </c>
      <c r="AD133" s="145">
        <v>12</v>
      </c>
      <c r="AE133" s="145">
        <v>16</v>
      </c>
      <c r="AF133" s="145">
        <v>10</v>
      </c>
      <c r="AG133" s="145">
        <v>0</v>
      </c>
      <c r="AH133" s="15">
        <f t="shared" si="6"/>
        <v>0</v>
      </c>
      <c r="AI133" s="15">
        <f t="shared" ref="AI133:AI196" si="7">COUNTBLANK(I133:AG133)</f>
        <v>0</v>
      </c>
      <c r="AJ133" s="15">
        <f t="shared" ref="AJ133:AJ196" si="8">SUM(AH133:AI133)</f>
        <v>0</v>
      </c>
    </row>
    <row r="134" spans="2:36">
      <c r="B134" s="124"/>
      <c r="C134" s="125">
        <v>131</v>
      </c>
      <c r="D134" s="144">
        <v>9216606.7297039479</v>
      </c>
      <c r="E134" s="144">
        <v>5267963.3902169038</v>
      </c>
      <c r="F134" s="144">
        <v>0</v>
      </c>
      <c r="G134" s="144">
        <v>0</v>
      </c>
      <c r="H134" s="144">
        <v>975751.00919963513</v>
      </c>
      <c r="I134" s="145">
        <v>10</v>
      </c>
      <c r="J134" s="145">
        <v>10</v>
      </c>
      <c r="K134" s="145">
        <v>17</v>
      </c>
      <c r="L134" s="145">
        <v>0</v>
      </c>
      <c r="M134" s="145">
        <v>11</v>
      </c>
      <c r="N134" s="145">
        <v>10</v>
      </c>
      <c r="O134" s="145">
        <v>16</v>
      </c>
      <c r="P134" s="145">
        <v>13</v>
      </c>
      <c r="Q134" s="145">
        <v>17</v>
      </c>
      <c r="R134" s="145">
        <v>12</v>
      </c>
      <c r="S134" s="145">
        <v>15</v>
      </c>
      <c r="T134" s="145">
        <v>11</v>
      </c>
      <c r="U134" s="145">
        <v>13</v>
      </c>
      <c r="V134" s="145">
        <v>11</v>
      </c>
      <c r="W134" s="145">
        <v>16</v>
      </c>
      <c r="X134" s="145">
        <v>13</v>
      </c>
      <c r="Y134" s="145">
        <v>0</v>
      </c>
      <c r="Z134" s="145">
        <v>0</v>
      </c>
      <c r="AA134" s="145">
        <v>10</v>
      </c>
      <c r="AB134" s="145">
        <v>12</v>
      </c>
      <c r="AC134" s="145">
        <v>0</v>
      </c>
      <c r="AD134" s="145">
        <v>0</v>
      </c>
      <c r="AE134" s="145">
        <v>16</v>
      </c>
      <c r="AF134" s="145">
        <v>0</v>
      </c>
      <c r="AG134" s="145">
        <v>13</v>
      </c>
      <c r="AH134" s="15">
        <f t="shared" si="6"/>
        <v>0</v>
      </c>
      <c r="AI134" s="15">
        <f t="shared" si="7"/>
        <v>0</v>
      </c>
      <c r="AJ134" s="15">
        <f t="shared" si="8"/>
        <v>0</v>
      </c>
    </row>
    <row r="135" spans="2:36">
      <c r="B135" s="124"/>
      <c r="C135" s="125">
        <v>132</v>
      </c>
      <c r="D135" s="144">
        <v>10373900.690715777</v>
      </c>
      <c r="E135" s="144">
        <v>5998817.5158401383</v>
      </c>
      <c r="F135" s="144">
        <v>0</v>
      </c>
      <c r="G135" s="144">
        <v>0</v>
      </c>
      <c r="H135" s="144">
        <v>975751.00919963513</v>
      </c>
      <c r="I135" s="145">
        <v>10</v>
      </c>
      <c r="J135" s="145">
        <v>10</v>
      </c>
      <c r="K135" s="145">
        <v>17</v>
      </c>
      <c r="L135" s="145">
        <v>16</v>
      </c>
      <c r="M135" s="145">
        <v>11</v>
      </c>
      <c r="N135" s="145">
        <v>10</v>
      </c>
      <c r="O135" s="145">
        <v>16</v>
      </c>
      <c r="P135" s="145">
        <v>13</v>
      </c>
      <c r="Q135" s="145">
        <v>17</v>
      </c>
      <c r="R135" s="145">
        <v>12</v>
      </c>
      <c r="S135" s="145">
        <v>15</v>
      </c>
      <c r="T135" s="145">
        <v>0</v>
      </c>
      <c r="U135" s="145">
        <v>13</v>
      </c>
      <c r="V135" s="145">
        <v>11</v>
      </c>
      <c r="W135" s="145">
        <v>16</v>
      </c>
      <c r="X135" s="145">
        <v>13</v>
      </c>
      <c r="Y135" s="145">
        <v>11</v>
      </c>
      <c r="Z135" s="145">
        <v>0</v>
      </c>
      <c r="AA135" s="145">
        <v>10</v>
      </c>
      <c r="AB135" s="145">
        <v>0</v>
      </c>
      <c r="AC135" s="145">
        <v>12</v>
      </c>
      <c r="AD135" s="145">
        <v>0</v>
      </c>
      <c r="AE135" s="145">
        <v>16</v>
      </c>
      <c r="AF135" s="145">
        <v>11</v>
      </c>
      <c r="AG135" s="145">
        <v>13</v>
      </c>
      <c r="AH135" s="15">
        <f t="shared" si="6"/>
        <v>0</v>
      </c>
      <c r="AI135" s="15">
        <f t="shared" si="7"/>
        <v>0</v>
      </c>
      <c r="AJ135" s="15">
        <f t="shared" si="8"/>
        <v>0</v>
      </c>
    </row>
    <row r="136" spans="2:36">
      <c r="B136" s="124"/>
      <c r="C136" s="125">
        <v>133</v>
      </c>
      <c r="D136" s="144">
        <v>11121220.129572721</v>
      </c>
      <c r="E136" s="144">
        <v>6463094.1566816121</v>
      </c>
      <c r="F136" s="144">
        <v>0</v>
      </c>
      <c r="G136" s="144">
        <v>0</v>
      </c>
      <c r="H136" s="144">
        <v>975751.00919963513</v>
      </c>
      <c r="I136" s="145">
        <v>10</v>
      </c>
      <c r="J136" s="145">
        <v>10</v>
      </c>
      <c r="K136" s="145">
        <v>17</v>
      </c>
      <c r="L136" s="145">
        <v>16</v>
      </c>
      <c r="M136" s="145">
        <v>11</v>
      </c>
      <c r="N136" s="145">
        <v>0</v>
      </c>
      <c r="O136" s="145">
        <v>16</v>
      </c>
      <c r="P136" s="145">
        <v>13</v>
      </c>
      <c r="Q136" s="145">
        <v>17</v>
      </c>
      <c r="R136" s="145">
        <v>12</v>
      </c>
      <c r="S136" s="145">
        <v>15</v>
      </c>
      <c r="T136" s="145">
        <v>0</v>
      </c>
      <c r="U136" s="145">
        <v>13</v>
      </c>
      <c r="V136" s="145">
        <v>11</v>
      </c>
      <c r="W136" s="145">
        <v>16</v>
      </c>
      <c r="X136" s="145">
        <v>13</v>
      </c>
      <c r="Y136" s="145">
        <v>11</v>
      </c>
      <c r="Z136" s="145">
        <v>14</v>
      </c>
      <c r="AA136" s="145">
        <v>10</v>
      </c>
      <c r="AB136" s="145">
        <v>0</v>
      </c>
      <c r="AC136" s="145">
        <v>12</v>
      </c>
      <c r="AD136" s="145">
        <v>13</v>
      </c>
      <c r="AE136" s="145">
        <v>16</v>
      </c>
      <c r="AF136" s="145">
        <v>11</v>
      </c>
      <c r="AG136" s="145">
        <v>13</v>
      </c>
      <c r="AH136" s="15">
        <f t="shared" si="6"/>
        <v>0</v>
      </c>
      <c r="AI136" s="15">
        <f t="shared" si="7"/>
        <v>0</v>
      </c>
      <c r="AJ136" s="15">
        <f t="shared" si="8"/>
        <v>0</v>
      </c>
    </row>
    <row r="137" spans="2:36">
      <c r="B137" s="124"/>
      <c r="C137" s="125">
        <v>134</v>
      </c>
      <c r="D137" s="144">
        <v>10934955.877135279</v>
      </c>
      <c r="E137" s="144">
        <v>6286476.471217826</v>
      </c>
      <c r="F137" s="144">
        <v>0</v>
      </c>
      <c r="G137" s="144">
        <v>0</v>
      </c>
      <c r="H137" s="144">
        <v>975751.00919963513</v>
      </c>
      <c r="I137" s="145">
        <v>10</v>
      </c>
      <c r="J137" s="145">
        <v>10</v>
      </c>
      <c r="K137" s="145">
        <v>17</v>
      </c>
      <c r="L137" s="145">
        <v>0</v>
      </c>
      <c r="M137" s="145">
        <v>11</v>
      </c>
      <c r="N137" s="145">
        <v>0</v>
      </c>
      <c r="O137" s="145">
        <v>16</v>
      </c>
      <c r="P137" s="145">
        <v>13</v>
      </c>
      <c r="Q137" s="145">
        <v>17</v>
      </c>
      <c r="R137" s="145">
        <v>12</v>
      </c>
      <c r="S137" s="145">
        <v>0</v>
      </c>
      <c r="T137" s="145">
        <v>12</v>
      </c>
      <c r="U137" s="145">
        <v>13</v>
      </c>
      <c r="V137" s="145">
        <v>11</v>
      </c>
      <c r="W137" s="145">
        <v>16</v>
      </c>
      <c r="X137" s="145">
        <v>13</v>
      </c>
      <c r="Y137" s="145">
        <v>11</v>
      </c>
      <c r="Z137" s="145">
        <v>14</v>
      </c>
      <c r="AA137" s="145">
        <v>10</v>
      </c>
      <c r="AB137" s="145">
        <v>13</v>
      </c>
      <c r="AC137" s="145">
        <v>12</v>
      </c>
      <c r="AD137" s="145">
        <v>13</v>
      </c>
      <c r="AE137" s="145">
        <v>16</v>
      </c>
      <c r="AF137" s="145">
        <v>11</v>
      </c>
      <c r="AG137" s="145">
        <v>13</v>
      </c>
      <c r="AH137" s="15">
        <f t="shared" si="6"/>
        <v>0</v>
      </c>
      <c r="AI137" s="15">
        <f t="shared" si="7"/>
        <v>0</v>
      </c>
      <c r="AJ137" s="15">
        <f t="shared" si="8"/>
        <v>0</v>
      </c>
    </row>
    <row r="138" spans="2:36">
      <c r="B138" s="124"/>
      <c r="C138" s="125">
        <v>135</v>
      </c>
      <c r="D138" s="144">
        <v>10575199.461378193</v>
      </c>
      <c r="E138" s="144">
        <v>6068215.9789784234</v>
      </c>
      <c r="F138" s="144">
        <v>0</v>
      </c>
      <c r="G138" s="144">
        <v>0</v>
      </c>
      <c r="H138" s="144">
        <v>975751.00919963513</v>
      </c>
      <c r="I138" s="145">
        <v>10</v>
      </c>
      <c r="J138" s="145">
        <v>0</v>
      </c>
      <c r="K138" s="145">
        <v>17</v>
      </c>
      <c r="L138" s="145">
        <v>0</v>
      </c>
      <c r="M138" s="145">
        <v>11</v>
      </c>
      <c r="N138" s="145">
        <v>11</v>
      </c>
      <c r="O138" s="145">
        <v>16</v>
      </c>
      <c r="P138" s="145">
        <v>13</v>
      </c>
      <c r="Q138" s="145">
        <v>17</v>
      </c>
      <c r="R138" s="145">
        <v>12</v>
      </c>
      <c r="S138" s="145">
        <v>0</v>
      </c>
      <c r="T138" s="145">
        <v>12</v>
      </c>
      <c r="U138" s="145">
        <v>13</v>
      </c>
      <c r="V138" s="145">
        <v>0</v>
      </c>
      <c r="W138" s="145">
        <v>16</v>
      </c>
      <c r="X138" s="145">
        <v>13</v>
      </c>
      <c r="Y138" s="145">
        <v>11</v>
      </c>
      <c r="Z138" s="145">
        <v>14</v>
      </c>
      <c r="AA138" s="145">
        <v>10</v>
      </c>
      <c r="AB138" s="145">
        <v>13</v>
      </c>
      <c r="AC138" s="145">
        <v>12</v>
      </c>
      <c r="AD138" s="145">
        <v>13</v>
      </c>
      <c r="AE138" s="145">
        <v>16</v>
      </c>
      <c r="AF138" s="145">
        <v>11</v>
      </c>
      <c r="AG138" s="145">
        <v>13</v>
      </c>
      <c r="AH138" s="15">
        <f t="shared" si="6"/>
        <v>0</v>
      </c>
      <c r="AI138" s="15">
        <f t="shared" si="7"/>
        <v>0</v>
      </c>
      <c r="AJ138" s="15">
        <f t="shared" si="8"/>
        <v>0</v>
      </c>
    </row>
    <row r="139" spans="2:36">
      <c r="B139" s="124"/>
      <c r="C139" s="125">
        <v>136</v>
      </c>
      <c r="D139" s="144">
        <v>11616444.02856628</v>
      </c>
      <c r="E139" s="144">
        <v>6765713.7195704374</v>
      </c>
      <c r="F139" s="144">
        <v>0</v>
      </c>
      <c r="G139" s="144">
        <v>0</v>
      </c>
      <c r="H139" s="144">
        <v>975751.00919963513</v>
      </c>
      <c r="I139" s="145">
        <v>10</v>
      </c>
      <c r="J139" s="145">
        <v>11</v>
      </c>
      <c r="K139" s="145">
        <v>17</v>
      </c>
      <c r="L139" s="145">
        <v>17</v>
      </c>
      <c r="M139" s="145">
        <v>11</v>
      </c>
      <c r="N139" s="145">
        <v>0</v>
      </c>
      <c r="O139" s="145">
        <v>16</v>
      </c>
      <c r="P139" s="145">
        <v>13</v>
      </c>
      <c r="Q139" s="145">
        <v>17</v>
      </c>
      <c r="R139" s="145">
        <v>12</v>
      </c>
      <c r="S139" s="145">
        <v>16</v>
      </c>
      <c r="T139" s="145">
        <v>12</v>
      </c>
      <c r="U139" s="145">
        <v>13</v>
      </c>
      <c r="V139" s="145">
        <v>0</v>
      </c>
      <c r="W139" s="145">
        <v>16</v>
      </c>
      <c r="X139" s="145">
        <v>13</v>
      </c>
      <c r="Y139" s="145">
        <v>11</v>
      </c>
      <c r="Z139" s="145">
        <v>14</v>
      </c>
      <c r="AA139" s="145">
        <v>10</v>
      </c>
      <c r="AB139" s="145">
        <v>13</v>
      </c>
      <c r="AC139" s="145">
        <v>12</v>
      </c>
      <c r="AD139" s="145">
        <v>13</v>
      </c>
      <c r="AE139" s="145">
        <v>16</v>
      </c>
      <c r="AF139" s="145">
        <v>11</v>
      </c>
      <c r="AG139" s="145">
        <v>13</v>
      </c>
      <c r="AH139" s="15">
        <f t="shared" si="6"/>
        <v>0</v>
      </c>
      <c r="AI139" s="15">
        <f t="shared" si="7"/>
        <v>0</v>
      </c>
      <c r="AJ139" s="15">
        <f t="shared" si="8"/>
        <v>0</v>
      </c>
    </row>
    <row r="140" spans="2:36">
      <c r="B140" s="124"/>
      <c r="C140" s="125">
        <v>137</v>
      </c>
      <c r="D140" s="144">
        <v>10714807.269136619</v>
      </c>
      <c r="E140" s="144">
        <v>6248763.2936284123</v>
      </c>
      <c r="F140" s="144">
        <v>0</v>
      </c>
      <c r="G140" s="144">
        <v>0</v>
      </c>
      <c r="H140" s="144">
        <v>975751.00919963513</v>
      </c>
      <c r="I140" s="145">
        <v>0</v>
      </c>
      <c r="J140" s="145">
        <v>11</v>
      </c>
      <c r="K140" s="145">
        <v>17</v>
      </c>
      <c r="L140" s="145">
        <v>17</v>
      </c>
      <c r="M140" s="145">
        <v>11</v>
      </c>
      <c r="N140" s="145">
        <v>12</v>
      </c>
      <c r="O140" s="145">
        <v>0</v>
      </c>
      <c r="P140" s="145">
        <v>13</v>
      </c>
      <c r="Q140" s="145">
        <v>17</v>
      </c>
      <c r="R140" s="145">
        <v>12</v>
      </c>
      <c r="S140" s="145">
        <v>16</v>
      </c>
      <c r="T140" s="145">
        <v>12</v>
      </c>
      <c r="U140" s="145">
        <v>0</v>
      </c>
      <c r="V140" s="145">
        <v>0</v>
      </c>
      <c r="W140" s="145">
        <v>16</v>
      </c>
      <c r="X140" s="145">
        <v>13</v>
      </c>
      <c r="Y140" s="145">
        <v>11</v>
      </c>
      <c r="Z140" s="145">
        <v>14</v>
      </c>
      <c r="AA140" s="145">
        <v>10</v>
      </c>
      <c r="AB140" s="145">
        <v>13</v>
      </c>
      <c r="AC140" s="145">
        <v>12</v>
      </c>
      <c r="AD140" s="145">
        <v>13</v>
      </c>
      <c r="AE140" s="145">
        <v>16</v>
      </c>
      <c r="AF140" s="145">
        <v>11</v>
      </c>
      <c r="AG140" s="145">
        <v>13</v>
      </c>
      <c r="AH140" s="15">
        <f t="shared" si="6"/>
        <v>0</v>
      </c>
      <c r="AI140" s="15">
        <f t="shared" si="7"/>
        <v>0</v>
      </c>
      <c r="AJ140" s="15">
        <f t="shared" si="8"/>
        <v>0</v>
      </c>
    </row>
    <row r="141" spans="2:36">
      <c r="B141" s="124"/>
      <c r="C141" s="125">
        <v>138</v>
      </c>
      <c r="D141" s="144">
        <v>10702312.7544859</v>
      </c>
      <c r="E141" s="144">
        <v>6108233.1604976198</v>
      </c>
      <c r="F141" s="144">
        <v>0</v>
      </c>
      <c r="G141" s="144">
        <v>0</v>
      </c>
      <c r="H141" s="144">
        <v>975751.00919963513</v>
      </c>
      <c r="I141" s="145">
        <v>11</v>
      </c>
      <c r="J141" s="145">
        <v>11</v>
      </c>
      <c r="K141" s="145">
        <v>17</v>
      </c>
      <c r="L141" s="145">
        <v>17</v>
      </c>
      <c r="M141" s="145">
        <v>11</v>
      </c>
      <c r="N141" s="145">
        <v>12</v>
      </c>
      <c r="O141" s="145">
        <v>0</v>
      </c>
      <c r="P141" s="145">
        <v>13</v>
      </c>
      <c r="Q141" s="145">
        <v>17</v>
      </c>
      <c r="R141" s="145">
        <v>12</v>
      </c>
      <c r="S141" s="145">
        <v>16</v>
      </c>
      <c r="T141" s="145">
        <v>12</v>
      </c>
      <c r="U141" s="145">
        <v>14</v>
      </c>
      <c r="V141" s="145">
        <v>12</v>
      </c>
      <c r="W141" s="145">
        <v>0</v>
      </c>
      <c r="X141" s="145">
        <v>13</v>
      </c>
      <c r="Y141" s="145">
        <v>11</v>
      </c>
      <c r="Z141" s="145">
        <v>14</v>
      </c>
      <c r="AA141" s="145">
        <v>10</v>
      </c>
      <c r="AB141" s="145">
        <v>13</v>
      </c>
      <c r="AC141" s="145">
        <v>0</v>
      </c>
      <c r="AD141" s="145">
        <v>13</v>
      </c>
      <c r="AE141" s="145">
        <v>16</v>
      </c>
      <c r="AF141" s="145">
        <v>11</v>
      </c>
      <c r="AG141" s="145">
        <v>13</v>
      </c>
      <c r="AH141" s="15">
        <f t="shared" si="6"/>
        <v>0</v>
      </c>
      <c r="AI141" s="15">
        <f t="shared" si="7"/>
        <v>0</v>
      </c>
      <c r="AJ141" s="15">
        <f t="shared" si="8"/>
        <v>0</v>
      </c>
    </row>
    <row r="142" spans="2:36">
      <c r="B142" s="124"/>
      <c r="C142" s="125">
        <v>139</v>
      </c>
      <c r="D142" s="144">
        <v>10117216.393268004</v>
      </c>
      <c r="E142" s="144">
        <v>5769092.6289475486</v>
      </c>
      <c r="F142" s="144">
        <v>0</v>
      </c>
      <c r="G142" s="144">
        <v>0</v>
      </c>
      <c r="H142" s="144">
        <v>975751.00919963513</v>
      </c>
      <c r="I142" s="145">
        <v>11</v>
      </c>
      <c r="J142" s="145">
        <v>11</v>
      </c>
      <c r="K142" s="145">
        <v>17</v>
      </c>
      <c r="L142" s="145">
        <v>17</v>
      </c>
      <c r="M142" s="145">
        <v>11</v>
      </c>
      <c r="N142" s="145">
        <v>12</v>
      </c>
      <c r="O142" s="145">
        <v>0</v>
      </c>
      <c r="P142" s="145">
        <v>0</v>
      </c>
      <c r="Q142" s="145">
        <v>17</v>
      </c>
      <c r="R142" s="145">
        <v>12</v>
      </c>
      <c r="S142" s="145">
        <v>16</v>
      </c>
      <c r="T142" s="145">
        <v>12</v>
      </c>
      <c r="U142" s="145">
        <v>14</v>
      </c>
      <c r="V142" s="145">
        <v>12</v>
      </c>
      <c r="W142" s="145">
        <v>0</v>
      </c>
      <c r="X142" s="145">
        <v>13</v>
      </c>
      <c r="Y142" s="145">
        <v>11</v>
      </c>
      <c r="Z142" s="145">
        <v>0</v>
      </c>
      <c r="AA142" s="145">
        <v>10</v>
      </c>
      <c r="AB142" s="145">
        <v>13</v>
      </c>
      <c r="AC142" s="145">
        <v>13</v>
      </c>
      <c r="AD142" s="145">
        <v>13</v>
      </c>
      <c r="AE142" s="145">
        <v>16</v>
      </c>
      <c r="AF142" s="145">
        <v>11</v>
      </c>
      <c r="AG142" s="145">
        <v>13</v>
      </c>
      <c r="AH142" s="15">
        <f t="shared" si="6"/>
        <v>0</v>
      </c>
      <c r="AI142" s="15">
        <f t="shared" si="7"/>
        <v>0</v>
      </c>
      <c r="AJ142" s="15">
        <f t="shared" si="8"/>
        <v>0</v>
      </c>
    </row>
    <row r="143" spans="2:36">
      <c r="B143" s="124"/>
      <c r="C143" s="125">
        <v>140</v>
      </c>
      <c r="D143" s="144">
        <v>10435706.789766781</v>
      </c>
      <c r="E143" s="144">
        <v>5947091.073231874</v>
      </c>
      <c r="F143" s="144">
        <v>0</v>
      </c>
      <c r="G143" s="144">
        <v>0</v>
      </c>
      <c r="H143" s="144">
        <v>975751.00919963513</v>
      </c>
      <c r="I143" s="145">
        <v>11</v>
      </c>
      <c r="J143" s="145">
        <v>11</v>
      </c>
      <c r="K143" s="145">
        <v>17</v>
      </c>
      <c r="L143" s="145">
        <v>17</v>
      </c>
      <c r="M143" s="145">
        <v>11</v>
      </c>
      <c r="N143" s="145">
        <v>12</v>
      </c>
      <c r="O143" s="145">
        <v>17</v>
      </c>
      <c r="P143" s="145">
        <v>0</v>
      </c>
      <c r="Q143" s="145">
        <v>17</v>
      </c>
      <c r="R143" s="145">
        <v>0</v>
      </c>
      <c r="S143" s="145">
        <v>16</v>
      </c>
      <c r="T143" s="145">
        <v>0</v>
      </c>
      <c r="U143" s="145">
        <v>14</v>
      </c>
      <c r="V143" s="145">
        <v>12</v>
      </c>
      <c r="W143" s="145">
        <v>17</v>
      </c>
      <c r="X143" s="145">
        <v>13</v>
      </c>
      <c r="Y143" s="145">
        <v>11</v>
      </c>
      <c r="Z143" s="145">
        <v>0</v>
      </c>
      <c r="AA143" s="145">
        <v>10</v>
      </c>
      <c r="AB143" s="145">
        <v>13</v>
      </c>
      <c r="AC143" s="145">
        <v>13</v>
      </c>
      <c r="AD143" s="145">
        <v>13</v>
      </c>
      <c r="AE143" s="145">
        <v>16</v>
      </c>
      <c r="AF143" s="145">
        <v>11</v>
      </c>
      <c r="AG143" s="145">
        <v>13</v>
      </c>
      <c r="AH143" s="15">
        <f t="shared" si="6"/>
        <v>0</v>
      </c>
      <c r="AI143" s="15">
        <f t="shared" si="7"/>
        <v>0</v>
      </c>
      <c r="AJ143" s="15">
        <f t="shared" si="8"/>
        <v>0</v>
      </c>
    </row>
    <row r="144" spans="2:36">
      <c r="B144" s="124"/>
      <c r="C144" s="125">
        <v>141</v>
      </c>
      <c r="D144" s="144">
        <v>8548635.0979880467</v>
      </c>
      <c r="E144" s="144">
        <v>4962566.283919584</v>
      </c>
      <c r="F144" s="144">
        <v>0</v>
      </c>
      <c r="G144" s="144">
        <v>0</v>
      </c>
      <c r="H144" s="144">
        <v>975751.00919963513</v>
      </c>
      <c r="I144" s="145">
        <v>11</v>
      </c>
      <c r="J144" s="145">
        <v>11</v>
      </c>
      <c r="K144" s="145">
        <v>17</v>
      </c>
      <c r="L144" s="145">
        <v>17</v>
      </c>
      <c r="M144" s="145">
        <v>0</v>
      </c>
      <c r="N144" s="145">
        <v>12</v>
      </c>
      <c r="O144" s="145">
        <v>17</v>
      </c>
      <c r="P144" s="145">
        <v>14</v>
      </c>
      <c r="Q144" s="145">
        <v>0</v>
      </c>
      <c r="R144" s="145">
        <v>0</v>
      </c>
      <c r="S144" s="145">
        <v>0</v>
      </c>
      <c r="T144" s="145">
        <v>0</v>
      </c>
      <c r="U144" s="145">
        <v>0</v>
      </c>
      <c r="V144" s="145">
        <v>12</v>
      </c>
      <c r="W144" s="145">
        <v>17</v>
      </c>
      <c r="X144" s="145">
        <v>0</v>
      </c>
      <c r="Y144" s="145">
        <v>11</v>
      </c>
      <c r="Z144" s="145">
        <v>15</v>
      </c>
      <c r="AA144" s="145">
        <v>10</v>
      </c>
      <c r="AB144" s="145">
        <v>13</v>
      </c>
      <c r="AC144" s="145">
        <v>13</v>
      </c>
      <c r="AD144" s="145">
        <v>13</v>
      </c>
      <c r="AE144" s="145">
        <v>0</v>
      </c>
      <c r="AF144" s="145">
        <v>11</v>
      </c>
      <c r="AG144" s="145">
        <v>13</v>
      </c>
      <c r="AH144" s="15">
        <f t="shared" si="6"/>
        <v>0</v>
      </c>
      <c r="AI144" s="15">
        <f t="shared" si="7"/>
        <v>0</v>
      </c>
      <c r="AJ144" s="15">
        <f t="shared" si="8"/>
        <v>0</v>
      </c>
    </row>
    <row r="145" spans="2:36">
      <c r="B145" s="124"/>
      <c r="C145" s="125">
        <v>142</v>
      </c>
      <c r="D145" s="144">
        <v>9642058.6096558906</v>
      </c>
      <c r="E145" s="144">
        <v>5653485.3825581456</v>
      </c>
      <c r="F145" s="144">
        <v>0</v>
      </c>
      <c r="G145" s="144">
        <v>0</v>
      </c>
      <c r="H145" s="144">
        <v>975751.00919963513</v>
      </c>
      <c r="I145" s="145">
        <v>11</v>
      </c>
      <c r="J145" s="145">
        <v>11</v>
      </c>
      <c r="K145" s="145">
        <v>17</v>
      </c>
      <c r="L145" s="145">
        <v>17</v>
      </c>
      <c r="M145" s="145">
        <v>0</v>
      </c>
      <c r="N145" s="145">
        <v>12</v>
      </c>
      <c r="O145" s="145">
        <v>17</v>
      </c>
      <c r="P145" s="145">
        <v>14</v>
      </c>
      <c r="Q145" s="145">
        <v>0</v>
      </c>
      <c r="R145" s="145">
        <v>13</v>
      </c>
      <c r="S145" s="145">
        <v>0</v>
      </c>
      <c r="T145" s="145">
        <v>13</v>
      </c>
      <c r="U145" s="145">
        <v>0</v>
      </c>
      <c r="V145" s="145">
        <v>12</v>
      </c>
      <c r="W145" s="145">
        <v>17</v>
      </c>
      <c r="X145" s="145">
        <v>0</v>
      </c>
      <c r="Y145" s="145">
        <v>11</v>
      </c>
      <c r="Z145" s="145">
        <v>15</v>
      </c>
      <c r="AA145" s="145">
        <v>10</v>
      </c>
      <c r="AB145" s="145">
        <v>13</v>
      </c>
      <c r="AC145" s="145">
        <v>13</v>
      </c>
      <c r="AD145" s="145">
        <v>13</v>
      </c>
      <c r="AE145" s="145">
        <v>0</v>
      </c>
      <c r="AF145" s="145">
        <v>11</v>
      </c>
      <c r="AG145" s="145">
        <v>13</v>
      </c>
      <c r="AH145" s="15">
        <f t="shared" si="6"/>
        <v>0</v>
      </c>
      <c r="AI145" s="15">
        <f t="shared" si="7"/>
        <v>0</v>
      </c>
      <c r="AJ145" s="15">
        <f t="shared" si="8"/>
        <v>0</v>
      </c>
    </row>
    <row r="146" spans="2:36">
      <c r="B146" s="124"/>
      <c r="C146" s="125">
        <v>143</v>
      </c>
      <c r="D146" s="144">
        <v>10681982.098706501</v>
      </c>
      <c r="E146" s="144">
        <v>6202959.1504371669</v>
      </c>
      <c r="F146" s="144">
        <v>0</v>
      </c>
      <c r="G146" s="144">
        <v>0</v>
      </c>
      <c r="H146" s="144">
        <v>975751.00919963513</v>
      </c>
      <c r="I146" s="145">
        <v>11</v>
      </c>
      <c r="J146" s="145">
        <v>11</v>
      </c>
      <c r="K146" s="145">
        <v>0</v>
      </c>
      <c r="L146" s="145">
        <v>17</v>
      </c>
      <c r="M146" s="145">
        <v>12</v>
      </c>
      <c r="N146" s="145">
        <v>0</v>
      </c>
      <c r="O146" s="145">
        <v>17</v>
      </c>
      <c r="P146" s="145">
        <v>14</v>
      </c>
      <c r="Q146" s="145">
        <v>0</v>
      </c>
      <c r="R146" s="145">
        <v>13</v>
      </c>
      <c r="S146" s="145">
        <v>17</v>
      </c>
      <c r="T146" s="145">
        <v>13</v>
      </c>
      <c r="U146" s="145">
        <v>15</v>
      </c>
      <c r="V146" s="145">
        <v>12</v>
      </c>
      <c r="W146" s="145">
        <v>17</v>
      </c>
      <c r="X146" s="145">
        <v>14</v>
      </c>
      <c r="Y146" s="145">
        <v>11</v>
      </c>
      <c r="Z146" s="145">
        <v>15</v>
      </c>
      <c r="AA146" s="145">
        <v>0</v>
      </c>
      <c r="AB146" s="145">
        <v>13</v>
      </c>
      <c r="AC146" s="145">
        <v>13</v>
      </c>
      <c r="AD146" s="145">
        <v>13</v>
      </c>
      <c r="AE146" s="145">
        <v>0</v>
      </c>
      <c r="AF146" s="145">
        <v>11</v>
      </c>
      <c r="AG146" s="145">
        <v>0</v>
      </c>
      <c r="AH146" s="15">
        <f t="shared" si="6"/>
        <v>0</v>
      </c>
      <c r="AI146" s="15">
        <f t="shared" si="7"/>
        <v>0</v>
      </c>
      <c r="AJ146" s="15">
        <f t="shared" si="8"/>
        <v>0</v>
      </c>
    </row>
    <row r="147" spans="2:36">
      <c r="B147" s="124"/>
      <c r="C147" s="125">
        <v>144</v>
      </c>
      <c r="D147" s="144">
        <v>10265081.773083171</v>
      </c>
      <c r="E147" s="144">
        <v>5903265.197203354</v>
      </c>
      <c r="F147" s="144">
        <v>3833437.1250858558</v>
      </c>
      <c r="G147" s="144">
        <v>0</v>
      </c>
      <c r="H147" s="144">
        <v>943554.0395026654</v>
      </c>
      <c r="I147" s="145">
        <v>11</v>
      </c>
      <c r="J147" s="145">
        <v>11</v>
      </c>
      <c r="K147" s="145"/>
      <c r="L147" s="145">
        <v>17</v>
      </c>
      <c r="M147" s="145">
        <v>12</v>
      </c>
      <c r="N147" s="145">
        <v>0</v>
      </c>
      <c r="O147" s="145">
        <v>17</v>
      </c>
      <c r="P147" s="145">
        <v>14</v>
      </c>
      <c r="Q147" s="145">
        <v>18</v>
      </c>
      <c r="R147" s="145">
        <v>13</v>
      </c>
      <c r="S147" s="145">
        <v>17</v>
      </c>
      <c r="T147" s="145">
        <v>13</v>
      </c>
      <c r="U147" s="145">
        <v>15</v>
      </c>
      <c r="V147" s="145">
        <v>12</v>
      </c>
      <c r="W147" s="145">
        <v>17</v>
      </c>
      <c r="X147" s="145">
        <v>0</v>
      </c>
      <c r="Y147" s="145">
        <v>0</v>
      </c>
      <c r="Z147" s="145">
        <v>15</v>
      </c>
      <c r="AA147" s="145">
        <v>0</v>
      </c>
      <c r="AB147" s="145">
        <v>13</v>
      </c>
      <c r="AC147" s="145">
        <v>13</v>
      </c>
      <c r="AD147" s="145">
        <v>0</v>
      </c>
      <c r="AE147" s="145">
        <v>17</v>
      </c>
      <c r="AF147" s="145">
        <v>0</v>
      </c>
      <c r="AG147" s="145">
        <v>14</v>
      </c>
      <c r="AH147" s="15">
        <f t="shared" si="6"/>
        <v>0</v>
      </c>
      <c r="AI147" s="15">
        <f t="shared" si="7"/>
        <v>1</v>
      </c>
      <c r="AJ147" s="15">
        <f t="shared" si="8"/>
        <v>1</v>
      </c>
    </row>
    <row r="148" spans="2:36">
      <c r="B148" s="124"/>
      <c r="C148" s="125">
        <v>145</v>
      </c>
      <c r="D148" s="144">
        <v>10100663.811646225</v>
      </c>
      <c r="E148" s="144">
        <v>5853850.6516149314</v>
      </c>
      <c r="F148" s="144">
        <v>0</v>
      </c>
      <c r="G148" s="144">
        <v>0</v>
      </c>
      <c r="H148" s="144">
        <v>943554.0395026654</v>
      </c>
      <c r="I148" s="145">
        <v>0</v>
      </c>
      <c r="J148" s="145">
        <v>11</v>
      </c>
      <c r="K148" s="145"/>
      <c r="L148" s="145">
        <v>17</v>
      </c>
      <c r="M148" s="145">
        <v>12</v>
      </c>
      <c r="N148" s="145">
        <v>0</v>
      </c>
      <c r="O148" s="145">
        <v>17</v>
      </c>
      <c r="P148" s="145">
        <v>14</v>
      </c>
      <c r="Q148" s="145">
        <v>18</v>
      </c>
      <c r="R148" s="145">
        <v>13</v>
      </c>
      <c r="S148" s="145">
        <v>17</v>
      </c>
      <c r="T148" s="145">
        <v>13</v>
      </c>
      <c r="U148" s="145">
        <v>15</v>
      </c>
      <c r="V148" s="145">
        <v>12</v>
      </c>
      <c r="W148" s="145">
        <v>0</v>
      </c>
      <c r="X148" s="145">
        <v>0</v>
      </c>
      <c r="Y148" s="145">
        <v>0</v>
      </c>
      <c r="Z148" s="145">
        <v>15</v>
      </c>
      <c r="AA148" s="145">
        <v>11</v>
      </c>
      <c r="AB148" s="145">
        <v>13</v>
      </c>
      <c r="AC148" s="145">
        <v>13</v>
      </c>
      <c r="AD148" s="145">
        <v>14</v>
      </c>
      <c r="AE148" s="145">
        <v>17</v>
      </c>
      <c r="AF148" s="145">
        <v>0</v>
      </c>
      <c r="AG148" s="145">
        <v>14</v>
      </c>
      <c r="AH148" s="15">
        <f t="shared" si="6"/>
        <v>0</v>
      </c>
      <c r="AI148" s="15">
        <f t="shared" si="7"/>
        <v>1</v>
      </c>
      <c r="AJ148" s="15">
        <f t="shared" si="8"/>
        <v>1</v>
      </c>
    </row>
    <row r="149" spans="2:36">
      <c r="B149" s="124"/>
      <c r="C149" s="125">
        <v>146</v>
      </c>
      <c r="D149" s="144">
        <v>10540607.752072159</v>
      </c>
      <c r="E149" s="144">
        <v>6130777.9054663507</v>
      </c>
      <c r="F149" s="144">
        <v>0</v>
      </c>
      <c r="G149" s="144">
        <v>0</v>
      </c>
      <c r="H149" s="144">
        <v>943554.0395026654</v>
      </c>
      <c r="I149" s="145">
        <v>0</v>
      </c>
      <c r="J149" s="145">
        <v>11</v>
      </c>
      <c r="K149" s="145"/>
      <c r="L149" s="145">
        <v>17</v>
      </c>
      <c r="M149" s="145">
        <v>12</v>
      </c>
      <c r="N149" s="145">
        <v>13</v>
      </c>
      <c r="O149" s="145">
        <v>0</v>
      </c>
      <c r="P149" s="145">
        <v>14</v>
      </c>
      <c r="Q149" s="145">
        <v>0</v>
      </c>
      <c r="R149" s="145">
        <v>13</v>
      </c>
      <c r="S149" s="145">
        <v>17</v>
      </c>
      <c r="T149" s="145">
        <v>13</v>
      </c>
      <c r="U149" s="145">
        <v>15</v>
      </c>
      <c r="V149" s="145">
        <v>12</v>
      </c>
      <c r="W149" s="145">
        <v>0</v>
      </c>
      <c r="X149" s="145">
        <v>15</v>
      </c>
      <c r="Y149" s="145">
        <v>12</v>
      </c>
      <c r="Z149" s="145">
        <v>15</v>
      </c>
      <c r="AA149" s="145">
        <v>11</v>
      </c>
      <c r="AB149" s="145">
        <v>0</v>
      </c>
      <c r="AC149" s="145">
        <v>13</v>
      </c>
      <c r="AD149" s="145">
        <v>14</v>
      </c>
      <c r="AE149" s="145">
        <v>17</v>
      </c>
      <c r="AF149" s="145">
        <v>0</v>
      </c>
      <c r="AG149" s="145">
        <v>14</v>
      </c>
      <c r="AH149" s="15">
        <f t="shared" si="6"/>
        <v>0</v>
      </c>
      <c r="AI149" s="15">
        <f t="shared" si="7"/>
        <v>1</v>
      </c>
      <c r="AJ149" s="15">
        <f t="shared" si="8"/>
        <v>1</v>
      </c>
    </row>
    <row r="150" spans="2:36">
      <c r="B150" s="124"/>
      <c r="C150" s="125">
        <v>147</v>
      </c>
      <c r="D150" s="144">
        <v>10974206.983825848</v>
      </c>
      <c r="E150" s="144">
        <v>6279752.4009063123</v>
      </c>
      <c r="F150" s="144">
        <v>0</v>
      </c>
      <c r="G150" s="144">
        <v>0</v>
      </c>
      <c r="H150" s="144">
        <v>943554.0395026654</v>
      </c>
      <c r="I150" s="145">
        <v>12</v>
      </c>
      <c r="J150" s="145">
        <v>11</v>
      </c>
      <c r="K150" s="145"/>
      <c r="L150" s="145">
        <v>17</v>
      </c>
      <c r="M150" s="145">
        <v>12</v>
      </c>
      <c r="N150" s="145">
        <v>13</v>
      </c>
      <c r="O150" s="145">
        <v>18</v>
      </c>
      <c r="P150" s="145">
        <v>14</v>
      </c>
      <c r="Q150" s="145">
        <v>0</v>
      </c>
      <c r="R150" s="145">
        <v>13</v>
      </c>
      <c r="S150" s="145">
        <v>0</v>
      </c>
      <c r="T150" s="145">
        <v>13</v>
      </c>
      <c r="U150" s="145">
        <v>0</v>
      </c>
      <c r="V150" s="145">
        <v>12</v>
      </c>
      <c r="W150" s="145">
        <v>0</v>
      </c>
      <c r="X150" s="145">
        <v>15</v>
      </c>
      <c r="Y150" s="145">
        <v>12</v>
      </c>
      <c r="Z150" s="145">
        <v>15</v>
      </c>
      <c r="AA150" s="145">
        <v>11</v>
      </c>
      <c r="AB150" s="145">
        <v>14</v>
      </c>
      <c r="AC150" s="145">
        <v>13</v>
      </c>
      <c r="AD150" s="145">
        <v>14</v>
      </c>
      <c r="AE150" s="145">
        <v>0</v>
      </c>
      <c r="AF150" s="145">
        <v>12</v>
      </c>
      <c r="AG150" s="145">
        <v>14</v>
      </c>
      <c r="AH150" s="15">
        <f t="shared" si="6"/>
        <v>0</v>
      </c>
      <c r="AI150" s="15">
        <f t="shared" si="7"/>
        <v>1</v>
      </c>
      <c r="AJ150" s="15">
        <f t="shared" si="8"/>
        <v>1</v>
      </c>
    </row>
    <row r="151" spans="2:36">
      <c r="B151" s="124"/>
      <c r="C151" s="125">
        <v>148</v>
      </c>
      <c r="D151" s="144">
        <v>9947293.630199356</v>
      </c>
      <c r="E151" s="144">
        <v>5736087.4562425185</v>
      </c>
      <c r="F151" s="144">
        <v>0</v>
      </c>
      <c r="G151" s="144">
        <v>0</v>
      </c>
      <c r="H151" s="144">
        <v>943554.0395026654</v>
      </c>
      <c r="I151" s="145">
        <v>12</v>
      </c>
      <c r="J151" s="145">
        <v>11</v>
      </c>
      <c r="K151" s="145"/>
      <c r="L151" s="145">
        <v>0</v>
      </c>
      <c r="M151" s="145">
        <v>0</v>
      </c>
      <c r="N151" s="145">
        <v>13</v>
      </c>
      <c r="O151" s="145">
        <v>18</v>
      </c>
      <c r="P151" s="145">
        <v>14</v>
      </c>
      <c r="Q151" s="145">
        <v>19</v>
      </c>
      <c r="R151" s="145">
        <v>0</v>
      </c>
      <c r="S151" s="145">
        <v>18</v>
      </c>
      <c r="T151" s="145">
        <v>0</v>
      </c>
      <c r="U151" s="145">
        <v>0</v>
      </c>
      <c r="V151" s="145">
        <v>12</v>
      </c>
      <c r="W151" s="145">
        <v>18</v>
      </c>
      <c r="X151" s="145">
        <v>15</v>
      </c>
      <c r="Y151" s="145">
        <v>12</v>
      </c>
      <c r="Z151" s="145">
        <v>15</v>
      </c>
      <c r="AA151" s="145">
        <v>11</v>
      </c>
      <c r="AB151" s="145">
        <v>14</v>
      </c>
      <c r="AC151" s="145">
        <v>13</v>
      </c>
      <c r="AD151" s="145">
        <v>14</v>
      </c>
      <c r="AE151" s="145">
        <v>0</v>
      </c>
      <c r="AF151" s="145">
        <v>12</v>
      </c>
      <c r="AG151" s="145">
        <v>14</v>
      </c>
      <c r="AH151" s="15">
        <f t="shared" si="6"/>
        <v>0</v>
      </c>
      <c r="AI151" s="15">
        <f t="shared" si="7"/>
        <v>1</v>
      </c>
      <c r="AJ151" s="15">
        <f t="shared" si="8"/>
        <v>1</v>
      </c>
    </row>
    <row r="152" spans="2:36">
      <c r="B152" s="124"/>
      <c r="C152" s="125">
        <v>149</v>
      </c>
      <c r="D152" s="144">
        <v>9511470.8604150452</v>
      </c>
      <c r="E152" s="144">
        <v>5451246.7851429852</v>
      </c>
      <c r="F152" s="144">
        <v>0</v>
      </c>
      <c r="G152" s="144">
        <v>0</v>
      </c>
      <c r="H152" s="144">
        <v>943554.0395026654</v>
      </c>
      <c r="I152" s="145">
        <v>12</v>
      </c>
      <c r="J152" s="145">
        <v>0</v>
      </c>
      <c r="K152" s="145"/>
      <c r="L152" s="145">
        <v>0</v>
      </c>
      <c r="M152" s="145">
        <v>0</v>
      </c>
      <c r="N152" s="145">
        <v>13</v>
      </c>
      <c r="O152" s="145">
        <v>18</v>
      </c>
      <c r="P152" s="145">
        <v>0</v>
      </c>
      <c r="Q152" s="145">
        <v>19</v>
      </c>
      <c r="R152" s="145">
        <v>0</v>
      </c>
      <c r="S152" s="145">
        <v>18</v>
      </c>
      <c r="T152" s="145">
        <v>0</v>
      </c>
      <c r="U152" s="145">
        <v>16</v>
      </c>
      <c r="V152" s="145">
        <v>12</v>
      </c>
      <c r="W152" s="145">
        <v>18</v>
      </c>
      <c r="X152" s="145">
        <v>15</v>
      </c>
      <c r="Y152" s="145">
        <v>12</v>
      </c>
      <c r="Z152" s="145">
        <v>0</v>
      </c>
      <c r="AA152" s="145">
        <v>11</v>
      </c>
      <c r="AB152" s="145">
        <v>14</v>
      </c>
      <c r="AC152" s="145">
        <v>13</v>
      </c>
      <c r="AD152" s="145">
        <v>14</v>
      </c>
      <c r="AE152" s="145">
        <v>18</v>
      </c>
      <c r="AF152" s="145">
        <v>12</v>
      </c>
      <c r="AG152" s="145">
        <v>14</v>
      </c>
      <c r="AH152" s="15">
        <f t="shared" si="6"/>
        <v>0</v>
      </c>
      <c r="AI152" s="15">
        <f t="shared" si="7"/>
        <v>1</v>
      </c>
      <c r="AJ152" s="15">
        <f t="shared" si="8"/>
        <v>1</v>
      </c>
    </row>
    <row r="153" spans="2:36">
      <c r="B153" s="124"/>
      <c r="C153" s="125">
        <v>150</v>
      </c>
      <c r="D153" s="144">
        <v>10182949.722782072</v>
      </c>
      <c r="E153" s="144">
        <v>5968497.3435845701</v>
      </c>
      <c r="F153" s="144">
        <v>0</v>
      </c>
      <c r="G153" s="144">
        <v>0</v>
      </c>
      <c r="H153" s="144">
        <v>943554.0395026654</v>
      </c>
      <c r="I153" s="145">
        <v>12</v>
      </c>
      <c r="J153" s="145">
        <v>0</v>
      </c>
      <c r="K153" s="145"/>
      <c r="L153" s="145">
        <v>18</v>
      </c>
      <c r="M153" s="145">
        <v>13</v>
      </c>
      <c r="N153" s="145">
        <v>13</v>
      </c>
      <c r="O153" s="145">
        <v>18</v>
      </c>
      <c r="P153" s="145">
        <v>0</v>
      </c>
      <c r="Q153" s="145">
        <v>19</v>
      </c>
      <c r="R153" s="145">
        <v>14</v>
      </c>
      <c r="S153" s="145">
        <v>18</v>
      </c>
      <c r="T153" s="145">
        <v>14</v>
      </c>
      <c r="U153" s="145">
        <v>0</v>
      </c>
      <c r="V153" s="145">
        <v>12</v>
      </c>
      <c r="W153" s="145">
        <v>0</v>
      </c>
      <c r="X153" s="145">
        <v>15</v>
      </c>
      <c r="Y153" s="145">
        <v>0</v>
      </c>
      <c r="Z153" s="145">
        <v>16</v>
      </c>
      <c r="AA153" s="145">
        <v>11</v>
      </c>
      <c r="AB153" s="145">
        <v>14</v>
      </c>
      <c r="AC153" s="145">
        <v>13</v>
      </c>
      <c r="AD153" s="145">
        <v>14</v>
      </c>
      <c r="AE153" s="145">
        <v>18</v>
      </c>
      <c r="AF153" s="145">
        <v>12</v>
      </c>
      <c r="AG153" s="145">
        <v>0</v>
      </c>
      <c r="AH153" s="15">
        <f t="shared" si="6"/>
        <v>0</v>
      </c>
      <c r="AI153" s="15">
        <f t="shared" si="7"/>
        <v>1</v>
      </c>
      <c r="AJ153" s="15">
        <f t="shared" si="8"/>
        <v>1</v>
      </c>
    </row>
    <row r="154" spans="2:36">
      <c r="B154" s="124"/>
      <c r="C154" s="125">
        <v>151</v>
      </c>
      <c r="D154" s="144">
        <v>8662654.6894045603</v>
      </c>
      <c r="E154" s="144">
        <v>5116039.0331082391</v>
      </c>
      <c r="F154" s="144">
        <v>0</v>
      </c>
      <c r="G154" s="144">
        <v>0</v>
      </c>
      <c r="H154" s="144">
        <v>943554.0395026654</v>
      </c>
      <c r="I154" s="145">
        <v>12</v>
      </c>
      <c r="J154" s="145">
        <v>0</v>
      </c>
      <c r="K154" s="145"/>
      <c r="L154" s="145">
        <v>0</v>
      </c>
      <c r="M154" s="145">
        <v>13</v>
      </c>
      <c r="N154" s="145">
        <v>13</v>
      </c>
      <c r="O154" s="145">
        <v>18</v>
      </c>
      <c r="P154" s="145">
        <v>15</v>
      </c>
      <c r="Q154" s="145">
        <v>19</v>
      </c>
      <c r="R154" s="145">
        <v>14</v>
      </c>
      <c r="S154" s="145">
        <v>18</v>
      </c>
      <c r="T154" s="145">
        <v>14</v>
      </c>
      <c r="U154" s="145">
        <v>0</v>
      </c>
      <c r="V154" s="145">
        <v>0</v>
      </c>
      <c r="W154" s="145">
        <v>0</v>
      </c>
      <c r="X154" s="145">
        <v>15</v>
      </c>
      <c r="Y154" s="145">
        <v>0</v>
      </c>
      <c r="Z154" s="145">
        <v>16</v>
      </c>
      <c r="AA154" s="145">
        <v>11</v>
      </c>
      <c r="AB154" s="145">
        <v>14</v>
      </c>
      <c r="AC154" s="145">
        <v>0</v>
      </c>
      <c r="AD154" s="145">
        <v>0</v>
      </c>
      <c r="AE154" s="145">
        <v>18</v>
      </c>
      <c r="AF154" s="145">
        <v>12</v>
      </c>
      <c r="AG154" s="145">
        <v>0</v>
      </c>
      <c r="AH154" s="15">
        <f t="shared" si="6"/>
        <v>0</v>
      </c>
      <c r="AI154" s="15">
        <f t="shared" si="7"/>
        <v>1</v>
      </c>
      <c r="AJ154" s="15">
        <f t="shared" si="8"/>
        <v>1</v>
      </c>
    </row>
    <row r="155" spans="2:36">
      <c r="B155" s="124"/>
      <c r="C155" s="125">
        <v>152</v>
      </c>
      <c r="D155" s="144">
        <v>9930325.5706696045</v>
      </c>
      <c r="E155" s="144">
        <v>5744107.9864175627</v>
      </c>
      <c r="F155" s="144">
        <v>0</v>
      </c>
      <c r="G155" s="144">
        <v>0</v>
      </c>
      <c r="H155" s="144">
        <v>943554.0395026654</v>
      </c>
      <c r="I155" s="145">
        <v>0</v>
      </c>
      <c r="J155" s="145">
        <v>12</v>
      </c>
      <c r="K155" s="145"/>
      <c r="L155" s="145">
        <v>0</v>
      </c>
      <c r="M155" s="145">
        <v>13</v>
      </c>
      <c r="N155" s="145">
        <v>13</v>
      </c>
      <c r="O155" s="145">
        <v>18</v>
      </c>
      <c r="P155" s="145">
        <v>15</v>
      </c>
      <c r="Q155" s="145">
        <v>0</v>
      </c>
      <c r="R155" s="145">
        <v>14</v>
      </c>
      <c r="S155" s="145">
        <v>18</v>
      </c>
      <c r="T155" s="145">
        <v>14</v>
      </c>
      <c r="U155" s="145">
        <v>17</v>
      </c>
      <c r="V155" s="145">
        <v>0</v>
      </c>
      <c r="W155" s="145">
        <v>19</v>
      </c>
      <c r="X155" s="145">
        <v>0</v>
      </c>
      <c r="Y155" s="145">
        <v>0</v>
      </c>
      <c r="Z155" s="145">
        <v>16</v>
      </c>
      <c r="AA155" s="145">
        <v>0</v>
      </c>
      <c r="AB155" s="145">
        <v>14</v>
      </c>
      <c r="AC155" s="145">
        <v>0</v>
      </c>
      <c r="AD155" s="145">
        <v>15</v>
      </c>
      <c r="AE155" s="145">
        <v>18</v>
      </c>
      <c r="AF155" s="145">
        <v>12</v>
      </c>
      <c r="AG155" s="145">
        <v>15</v>
      </c>
      <c r="AH155" s="15">
        <f t="shared" si="6"/>
        <v>0</v>
      </c>
      <c r="AI155" s="15">
        <f t="shared" si="7"/>
        <v>1</v>
      </c>
      <c r="AJ155" s="15">
        <f t="shared" si="8"/>
        <v>1</v>
      </c>
    </row>
    <row r="156" spans="2:36">
      <c r="B156" s="124"/>
      <c r="C156" s="125">
        <v>153</v>
      </c>
      <c r="D156" s="144">
        <v>12679483.117231643</v>
      </c>
      <c r="E156" s="144">
        <v>7341189.8026315579</v>
      </c>
      <c r="F156" s="144">
        <v>0</v>
      </c>
      <c r="G156" s="144">
        <v>0</v>
      </c>
      <c r="H156" s="144">
        <v>943554.0395026654</v>
      </c>
      <c r="I156" s="145">
        <v>0</v>
      </c>
      <c r="J156" s="145">
        <v>12</v>
      </c>
      <c r="K156" s="145"/>
      <c r="L156" s="145">
        <v>19</v>
      </c>
      <c r="M156" s="145">
        <v>13</v>
      </c>
      <c r="N156" s="145">
        <v>13</v>
      </c>
      <c r="O156" s="145">
        <v>18</v>
      </c>
      <c r="P156" s="145">
        <v>15</v>
      </c>
      <c r="Q156" s="145">
        <v>0</v>
      </c>
      <c r="R156" s="145">
        <v>14</v>
      </c>
      <c r="S156" s="145">
        <v>18</v>
      </c>
      <c r="T156" s="145">
        <v>14</v>
      </c>
      <c r="U156" s="145">
        <v>17</v>
      </c>
      <c r="V156" s="145">
        <v>13</v>
      </c>
      <c r="W156" s="145">
        <v>19</v>
      </c>
      <c r="X156" s="145">
        <v>16</v>
      </c>
      <c r="Y156" s="145">
        <v>13</v>
      </c>
      <c r="Z156" s="145">
        <v>16</v>
      </c>
      <c r="AA156" s="145">
        <v>0</v>
      </c>
      <c r="AB156" s="145">
        <v>0</v>
      </c>
      <c r="AC156" s="145">
        <v>14</v>
      </c>
      <c r="AD156" s="145">
        <v>15</v>
      </c>
      <c r="AE156" s="145">
        <v>18</v>
      </c>
      <c r="AF156" s="145">
        <v>12</v>
      </c>
      <c r="AG156" s="145">
        <v>15</v>
      </c>
      <c r="AH156" s="15">
        <f t="shared" si="6"/>
        <v>0</v>
      </c>
      <c r="AI156" s="15">
        <f t="shared" si="7"/>
        <v>1</v>
      </c>
      <c r="AJ156" s="15">
        <f t="shared" si="8"/>
        <v>1</v>
      </c>
    </row>
    <row r="157" spans="2:36">
      <c r="B157" s="124"/>
      <c r="C157" s="125">
        <v>154</v>
      </c>
      <c r="D157" s="144">
        <v>12852736.475811178</v>
      </c>
      <c r="E157" s="144">
        <v>7396828.9400909115</v>
      </c>
      <c r="F157" s="144">
        <v>0</v>
      </c>
      <c r="G157" s="144">
        <v>0</v>
      </c>
      <c r="H157" s="144">
        <v>943554.0395026654</v>
      </c>
      <c r="I157" s="145">
        <v>13</v>
      </c>
      <c r="J157" s="145">
        <v>12</v>
      </c>
      <c r="K157" s="145"/>
      <c r="L157" s="145">
        <v>19</v>
      </c>
      <c r="M157" s="145">
        <v>13</v>
      </c>
      <c r="N157" s="145">
        <v>13</v>
      </c>
      <c r="O157" s="145">
        <v>18</v>
      </c>
      <c r="P157" s="145">
        <v>15</v>
      </c>
      <c r="Q157" s="145">
        <v>20</v>
      </c>
      <c r="R157" s="145">
        <v>0</v>
      </c>
      <c r="S157" s="145">
        <v>0</v>
      </c>
      <c r="T157" s="145">
        <v>14</v>
      </c>
      <c r="U157" s="145">
        <v>17</v>
      </c>
      <c r="V157" s="145">
        <v>13</v>
      </c>
      <c r="W157" s="145">
        <v>19</v>
      </c>
      <c r="X157" s="145">
        <v>16</v>
      </c>
      <c r="Y157" s="145">
        <v>13</v>
      </c>
      <c r="Z157" s="145">
        <v>16</v>
      </c>
      <c r="AA157" s="145">
        <v>0</v>
      </c>
      <c r="AB157" s="145">
        <v>0</v>
      </c>
      <c r="AC157" s="145">
        <v>14</v>
      </c>
      <c r="AD157" s="145">
        <v>15</v>
      </c>
      <c r="AE157" s="145">
        <v>18</v>
      </c>
      <c r="AF157" s="145">
        <v>12</v>
      </c>
      <c r="AG157" s="145">
        <v>15</v>
      </c>
      <c r="AH157" s="15">
        <f t="shared" si="6"/>
        <v>0</v>
      </c>
      <c r="AI157" s="15">
        <f t="shared" si="7"/>
        <v>1</v>
      </c>
      <c r="AJ157" s="15">
        <f t="shared" si="8"/>
        <v>1</v>
      </c>
    </row>
    <row r="158" spans="2:36">
      <c r="B158" s="124"/>
      <c r="C158" s="125">
        <v>155</v>
      </c>
      <c r="D158" s="144">
        <v>12697745.072646031</v>
      </c>
      <c r="E158" s="144">
        <v>7352737.3820277331</v>
      </c>
      <c r="F158" s="144">
        <v>0</v>
      </c>
      <c r="G158" s="144">
        <v>0</v>
      </c>
      <c r="H158" s="144">
        <v>943554.0395026654</v>
      </c>
      <c r="I158" s="145">
        <v>13</v>
      </c>
      <c r="J158" s="145">
        <v>12</v>
      </c>
      <c r="K158" s="145"/>
      <c r="L158" s="145">
        <v>19</v>
      </c>
      <c r="M158" s="145">
        <v>13</v>
      </c>
      <c r="N158" s="145">
        <v>13</v>
      </c>
      <c r="O158" s="145">
        <v>18</v>
      </c>
      <c r="P158" s="145">
        <v>15</v>
      </c>
      <c r="Q158" s="145">
        <v>20</v>
      </c>
      <c r="R158" s="145">
        <v>0</v>
      </c>
      <c r="S158" s="145">
        <v>0</v>
      </c>
      <c r="T158" s="145">
        <v>14</v>
      </c>
      <c r="U158" s="145">
        <v>17</v>
      </c>
      <c r="V158" s="145">
        <v>13</v>
      </c>
      <c r="W158" s="145">
        <v>19</v>
      </c>
      <c r="X158" s="145">
        <v>16</v>
      </c>
      <c r="Y158" s="145">
        <v>13</v>
      </c>
      <c r="Z158" s="145">
        <v>16</v>
      </c>
      <c r="AA158" s="145">
        <v>12</v>
      </c>
      <c r="AB158" s="145">
        <v>0</v>
      </c>
      <c r="AC158" s="145">
        <v>14</v>
      </c>
      <c r="AD158" s="145">
        <v>15</v>
      </c>
      <c r="AE158" s="145">
        <v>0</v>
      </c>
      <c r="AF158" s="145">
        <v>12</v>
      </c>
      <c r="AG158" s="145">
        <v>15</v>
      </c>
      <c r="AH158" s="15">
        <f t="shared" si="6"/>
        <v>0</v>
      </c>
      <c r="AI158" s="15">
        <f t="shared" si="7"/>
        <v>1</v>
      </c>
      <c r="AJ158" s="15">
        <f t="shared" si="8"/>
        <v>1</v>
      </c>
    </row>
    <row r="159" spans="2:36">
      <c r="B159" s="124"/>
      <c r="C159" s="125">
        <v>156</v>
      </c>
      <c r="D159" s="144">
        <v>14131790.160196139</v>
      </c>
      <c r="E159" s="144">
        <v>8249916.7331308192</v>
      </c>
      <c r="F159" s="144">
        <v>0</v>
      </c>
      <c r="G159" s="144">
        <v>0</v>
      </c>
      <c r="H159" s="144">
        <v>943554.0395026654</v>
      </c>
      <c r="I159" s="145">
        <v>13</v>
      </c>
      <c r="J159" s="145">
        <v>12</v>
      </c>
      <c r="K159" s="145"/>
      <c r="L159" s="145">
        <v>19</v>
      </c>
      <c r="M159" s="145">
        <v>13</v>
      </c>
      <c r="N159" s="145">
        <v>13</v>
      </c>
      <c r="O159" s="145">
        <v>18</v>
      </c>
      <c r="P159" s="145">
        <v>15</v>
      </c>
      <c r="Q159" s="145">
        <v>20</v>
      </c>
      <c r="R159" s="145">
        <v>0</v>
      </c>
      <c r="S159" s="145">
        <v>19</v>
      </c>
      <c r="T159" s="145">
        <v>14</v>
      </c>
      <c r="U159" s="145">
        <v>17</v>
      </c>
      <c r="V159" s="145">
        <v>13</v>
      </c>
      <c r="W159" s="145">
        <v>19</v>
      </c>
      <c r="X159" s="145">
        <v>16</v>
      </c>
      <c r="Y159" s="145">
        <v>13</v>
      </c>
      <c r="Z159" s="145">
        <v>16</v>
      </c>
      <c r="AA159" s="145">
        <v>12</v>
      </c>
      <c r="AB159" s="145">
        <v>15</v>
      </c>
      <c r="AC159" s="145">
        <v>14</v>
      </c>
      <c r="AD159" s="145">
        <v>15</v>
      </c>
      <c r="AE159" s="145">
        <v>0</v>
      </c>
      <c r="AF159" s="145">
        <v>12</v>
      </c>
      <c r="AG159" s="145">
        <v>15</v>
      </c>
      <c r="AH159" s="15">
        <f t="shared" si="6"/>
        <v>0</v>
      </c>
      <c r="AI159" s="15">
        <f t="shared" si="7"/>
        <v>1</v>
      </c>
      <c r="AJ159" s="15">
        <f t="shared" si="8"/>
        <v>1</v>
      </c>
    </row>
    <row r="160" spans="2:36">
      <c r="B160" s="124"/>
      <c r="C160" s="125">
        <v>157</v>
      </c>
      <c r="D160" s="144">
        <v>12660591.72150577</v>
      </c>
      <c r="E160" s="144">
        <v>7319232.7081809435</v>
      </c>
      <c r="F160" s="144">
        <v>0</v>
      </c>
      <c r="G160" s="144">
        <v>0</v>
      </c>
      <c r="H160" s="144">
        <v>943554.0395026654</v>
      </c>
      <c r="I160" s="145">
        <v>13</v>
      </c>
      <c r="J160" s="145">
        <v>12</v>
      </c>
      <c r="K160" s="145"/>
      <c r="L160" s="145">
        <v>19</v>
      </c>
      <c r="M160" s="145">
        <v>13</v>
      </c>
      <c r="N160" s="145">
        <v>13</v>
      </c>
      <c r="O160" s="145">
        <v>0</v>
      </c>
      <c r="P160" s="145">
        <v>15</v>
      </c>
      <c r="Q160" s="145">
        <v>20</v>
      </c>
      <c r="R160" s="145">
        <v>15</v>
      </c>
      <c r="S160" s="145">
        <v>19</v>
      </c>
      <c r="T160" s="145">
        <v>14</v>
      </c>
      <c r="U160" s="145">
        <v>17</v>
      </c>
      <c r="V160" s="145">
        <v>0</v>
      </c>
      <c r="W160" s="145">
        <v>19</v>
      </c>
      <c r="X160" s="145">
        <v>16</v>
      </c>
      <c r="Y160" s="145">
        <v>13</v>
      </c>
      <c r="Z160" s="145">
        <v>0</v>
      </c>
      <c r="AA160" s="145">
        <v>12</v>
      </c>
      <c r="AB160" s="145">
        <v>0</v>
      </c>
      <c r="AC160" s="145">
        <v>14</v>
      </c>
      <c r="AD160" s="145">
        <v>15</v>
      </c>
      <c r="AE160" s="145">
        <v>19</v>
      </c>
      <c r="AF160" s="145">
        <v>12</v>
      </c>
      <c r="AG160" s="145">
        <v>15</v>
      </c>
      <c r="AH160" s="15">
        <f t="shared" si="6"/>
        <v>0</v>
      </c>
      <c r="AI160" s="15">
        <f t="shared" si="7"/>
        <v>1</v>
      </c>
      <c r="AJ160" s="15">
        <f t="shared" si="8"/>
        <v>1</v>
      </c>
    </row>
    <row r="161" spans="2:36">
      <c r="B161" s="124"/>
      <c r="C161" s="125">
        <v>158</v>
      </c>
      <c r="D161" s="144">
        <v>10777794.117900226</v>
      </c>
      <c r="E161" s="144">
        <v>6127761.760357962</v>
      </c>
      <c r="F161" s="144">
        <v>0</v>
      </c>
      <c r="G161" s="144">
        <v>0</v>
      </c>
      <c r="H161" s="144">
        <v>943554.0395026654</v>
      </c>
      <c r="I161" s="145">
        <v>13</v>
      </c>
      <c r="J161" s="145">
        <v>12</v>
      </c>
      <c r="K161" s="145"/>
      <c r="L161" s="145">
        <v>19</v>
      </c>
      <c r="M161" s="145">
        <v>0</v>
      </c>
      <c r="N161" s="145">
        <v>0</v>
      </c>
      <c r="O161" s="145">
        <v>0</v>
      </c>
      <c r="P161" s="145">
        <v>15</v>
      </c>
      <c r="Q161" s="145">
        <v>20</v>
      </c>
      <c r="R161" s="145">
        <v>15</v>
      </c>
      <c r="S161" s="145">
        <v>19</v>
      </c>
      <c r="T161" s="145">
        <v>14</v>
      </c>
      <c r="U161" s="145">
        <v>17</v>
      </c>
      <c r="V161" s="145">
        <v>0</v>
      </c>
      <c r="W161" s="145">
        <v>19</v>
      </c>
      <c r="X161" s="145">
        <v>16</v>
      </c>
      <c r="Y161" s="145">
        <v>13</v>
      </c>
      <c r="Z161" s="145">
        <v>0</v>
      </c>
      <c r="AA161" s="145">
        <v>12</v>
      </c>
      <c r="AB161" s="145">
        <v>0</v>
      </c>
      <c r="AC161" s="145">
        <v>14</v>
      </c>
      <c r="AD161" s="145">
        <v>15</v>
      </c>
      <c r="AE161" s="145">
        <v>19</v>
      </c>
      <c r="AF161" s="145">
        <v>12</v>
      </c>
      <c r="AG161" s="145">
        <v>0</v>
      </c>
      <c r="AH161" s="15">
        <f t="shared" si="6"/>
        <v>0</v>
      </c>
      <c r="AI161" s="15">
        <f t="shared" si="7"/>
        <v>1</v>
      </c>
      <c r="AJ161" s="15">
        <f t="shared" si="8"/>
        <v>1</v>
      </c>
    </row>
    <row r="162" spans="2:36">
      <c r="B162" s="124"/>
      <c r="C162" s="125">
        <v>159</v>
      </c>
      <c r="D162" s="144">
        <v>10946126.469024926</v>
      </c>
      <c r="E162" s="144">
        <v>6363323.5956117809</v>
      </c>
      <c r="F162" s="144">
        <v>0</v>
      </c>
      <c r="G162" s="144">
        <v>0</v>
      </c>
      <c r="H162" s="144">
        <v>943554.0395026654</v>
      </c>
      <c r="I162" s="145">
        <v>13</v>
      </c>
      <c r="J162" s="145">
        <v>12</v>
      </c>
      <c r="K162" s="145"/>
      <c r="L162" s="145">
        <v>0</v>
      </c>
      <c r="M162" s="145">
        <v>14</v>
      </c>
      <c r="N162" s="145">
        <v>14</v>
      </c>
      <c r="O162" s="145">
        <v>19</v>
      </c>
      <c r="P162" s="145">
        <v>15</v>
      </c>
      <c r="Q162" s="145">
        <v>20</v>
      </c>
      <c r="R162" s="145">
        <v>0</v>
      </c>
      <c r="S162" s="145">
        <v>19</v>
      </c>
      <c r="T162" s="145">
        <v>14</v>
      </c>
      <c r="U162" s="145">
        <v>17</v>
      </c>
      <c r="V162" s="145">
        <v>14</v>
      </c>
      <c r="W162" s="145">
        <v>19</v>
      </c>
      <c r="X162" s="145">
        <v>16</v>
      </c>
      <c r="Y162" s="145">
        <v>13</v>
      </c>
      <c r="Z162" s="145">
        <v>0</v>
      </c>
      <c r="AA162" s="145">
        <v>12</v>
      </c>
      <c r="AB162" s="145">
        <v>16</v>
      </c>
      <c r="AC162" s="145">
        <v>0</v>
      </c>
      <c r="AD162" s="145">
        <v>15</v>
      </c>
      <c r="AE162" s="145">
        <v>0</v>
      </c>
      <c r="AF162" s="145">
        <v>12</v>
      </c>
      <c r="AG162" s="145">
        <v>0</v>
      </c>
      <c r="AH162" s="15">
        <f t="shared" si="6"/>
        <v>0</v>
      </c>
      <c r="AI162" s="15">
        <f t="shared" si="7"/>
        <v>1</v>
      </c>
      <c r="AJ162" s="15">
        <f t="shared" si="8"/>
        <v>1</v>
      </c>
    </row>
    <row r="163" spans="2:36">
      <c r="B163" s="124"/>
      <c r="C163" s="125">
        <v>160</v>
      </c>
      <c r="D163" s="144">
        <v>11552962.442230448</v>
      </c>
      <c r="E163" s="144">
        <v>6795267.7334962543</v>
      </c>
      <c r="F163" s="144">
        <v>0</v>
      </c>
      <c r="G163" s="144">
        <v>0</v>
      </c>
      <c r="H163" s="144">
        <v>943554.0395026654</v>
      </c>
      <c r="I163" s="145">
        <v>13</v>
      </c>
      <c r="J163" s="145">
        <v>12</v>
      </c>
      <c r="K163" s="145"/>
      <c r="L163" s="145">
        <v>0</v>
      </c>
      <c r="M163" s="145">
        <v>14</v>
      </c>
      <c r="N163" s="145">
        <v>0</v>
      </c>
      <c r="O163" s="145">
        <v>19</v>
      </c>
      <c r="P163" s="145">
        <v>15</v>
      </c>
      <c r="Q163" s="145">
        <v>20</v>
      </c>
      <c r="R163" s="145">
        <v>0</v>
      </c>
      <c r="S163" s="145">
        <v>0</v>
      </c>
      <c r="T163" s="145">
        <v>14</v>
      </c>
      <c r="U163" s="145">
        <v>17</v>
      </c>
      <c r="V163" s="145">
        <v>14</v>
      </c>
      <c r="W163" s="145">
        <v>19</v>
      </c>
      <c r="X163" s="145">
        <v>16</v>
      </c>
      <c r="Y163" s="145">
        <v>13</v>
      </c>
      <c r="Z163" s="145">
        <v>17</v>
      </c>
      <c r="AA163" s="145">
        <v>12</v>
      </c>
      <c r="AB163" s="145">
        <v>16</v>
      </c>
      <c r="AC163" s="145">
        <v>0</v>
      </c>
      <c r="AD163" s="145">
        <v>15</v>
      </c>
      <c r="AE163" s="145">
        <v>20</v>
      </c>
      <c r="AF163" s="145">
        <v>0</v>
      </c>
      <c r="AG163" s="145">
        <v>16</v>
      </c>
      <c r="AH163" s="15">
        <f t="shared" si="6"/>
        <v>0</v>
      </c>
      <c r="AI163" s="15">
        <f t="shared" si="7"/>
        <v>1</v>
      </c>
      <c r="AJ163" s="15">
        <f t="shared" si="8"/>
        <v>1</v>
      </c>
    </row>
    <row r="164" spans="2:36">
      <c r="B164" s="124"/>
      <c r="C164" s="125">
        <v>161</v>
      </c>
      <c r="D164" s="144">
        <v>12333604.16214115</v>
      </c>
      <c r="E164" s="144">
        <v>7188344.8655986506</v>
      </c>
      <c r="F164" s="144">
        <v>0</v>
      </c>
      <c r="G164" s="144">
        <v>0</v>
      </c>
      <c r="H164" s="144">
        <v>943554.0395026654</v>
      </c>
      <c r="I164" s="145">
        <v>13</v>
      </c>
      <c r="J164" s="145">
        <v>12</v>
      </c>
      <c r="K164" s="145"/>
      <c r="L164" s="145">
        <v>0</v>
      </c>
      <c r="M164" s="145">
        <v>14</v>
      </c>
      <c r="N164" s="145">
        <v>0</v>
      </c>
      <c r="O164" s="145">
        <v>19</v>
      </c>
      <c r="P164" s="145">
        <v>15</v>
      </c>
      <c r="Q164" s="145">
        <v>20</v>
      </c>
      <c r="R164" s="145">
        <v>16</v>
      </c>
      <c r="S164" s="145">
        <v>0</v>
      </c>
      <c r="T164" s="145">
        <v>14</v>
      </c>
      <c r="U164" s="145">
        <v>17</v>
      </c>
      <c r="V164" s="145">
        <v>14</v>
      </c>
      <c r="W164" s="145">
        <v>0</v>
      </c>
      <c r="X164" s="145">
        <v>16</v>
      </c>
      <c r="Y164" s="145">
        <v>13</v>
      </c>
      <c r="Z164" s="145">
        <v>17</v>
      </c>
      <c r="AA164" s="145">
        <v>12</v>
      </c>
      <c r="AB164" s="145">
        <v>16</v>
      </c>
      <c r="AC164" s="145">
        <v>15</v>
      </c>
      <c r="AD164" s="145">
        <v>15</v>
      </c>
      <c r="AE164" s="145">
        <v>20</v>
      </c>
      <c r="AF164" s="145">
        <v>13</v>
      </c>
      <c r="AG164" s="145">
        <v>16</v>
      </c>
      <c r="AH164" s="15">
        <f t="shared" si="6"/>
        <v>0</v>
      </c>
      <c r="AI164" s="15">
        <f t="shared" si="7"/>
        <v>1</v>
      </c>
      <c r="AJ164" s="15">
        <f t="shared" si="8"/>
        <v>1</v>
      </c>
    </row>
    <row r="165" spans="2:36">
      <c r="B165" s="124"/>
      <c r="C165" s="125">
        <v>162</v>
      </c>
      <c r="D165" s="144">
        <v>12310355.830485409</v>
      </c>
      <c r="E165" s="144">
        <v>7209841.3068183558</v>
      </c>
      <c r="F165" s="144">
        <v>0</v>
      </c>
      <c r="G165" s="144">
        <v>0</v>
      </c>
      <c r="H165" s="144">
        <v>943554.0395026654</v>
      </c>
      <c r="I165" s="145">
        <v>13</v>
      </c>
      <c r="J165" s="145">
        <v>12</v>
      </c>
      <c r="K165" s="145"/>
      <c r="L165" s="145">
        <v>20</v>
      </c>
      <c r="M165" s="145">
        <v>14</v>
      </c>
      <c r="N165" s="145">
        <v>0</v>
      </c>
      <c r="O165" s="145">
        <v>19</v>
      </c>
      <c r="P165" s="145">
        <v>15</v>
      </c>
      <c r="Q165" s="145">
        <v>20</v>
      </c>
      <c r="R165" s="145">
        <v>16</v>
      </c>
      <c r="S165" s="145">
        <v>20</v>
      </c>
      <c r="T165" s="145">
        <v>0</v>
      </c>
      <c r="U165" s="145">
        <v>17</v>
      </c>
      <c r="V165" s="145">
        <v>14</v>
      </c>
      <c r="W165" s="145">
        <v>0</v>
      </c>
      <c r="X165" s="145">
        <v>16</v>
      </c>
      <c r="Y165" s="145">
        <v>13</v>
      </c>
      <c r="Z165" s="145">
        <v>17</v>
      </c>
      <c r="AA165" s="145">
        <v>0</v>
      </c>
      <c r="AB165" s="145">
        <v>16</v>
      </c>
      <c r="AC165" s="145">
        <v>15</v>
      </c>
      <c r="AD165" s="145">
        <v>15</v>
      </c>
      <c r="AE165" s="145">
        <v>20</v>
      </c>
      <c r="AF165" s="145">
        <v>13</v>
      </c>
      <c r="AG165" s="145">
        <v>16</v>
      </c>
      <c r="AH165" s="15">
        <f t="shared" si="6"/>
        <v>0</v>
      </c>
      <c r="AI165" s="15">
        <f t="shared" si="7"/>
        <v>1</v>
      </c>
      <c r="AJ165" s="15">
        <f t="shared" si="8"/>
        <v>1</v>
      </c>
    </row>
    <row r="166" spans="2:36">
      <c r="B166" s="124"/>
      <c r="C166" s="125">
        <v>163</v>
      </c>
      <c r="D166" s="144">
        <v>10334131.326424837</v>
      </c>
      <c r="E166" s="144">
        <v>5992952.7790092528</v>
      </c>
      <c r="F166" s="144">
        <v>0</v>
      </c>
      <c r="G166" s="144">
        <v>0</v>
      </c>
      <c r="H166" s="144">
        <v>943554.0395026654</v>
      </c>
      <c r="I166" s="145">
        <v>13</v>
      </c>
      <c r="J166" s="145">
        <v>12</v>
      </c>
      <c r="K166" s="145"/>
      <c r="L166" s="145">
        <v>20</v>
      </c>
      <c r="M166" s="145">
        <v>14</v>
      </c>
      <c r="N166" s="145">
        <v>15</v>
      </c>
      <c r="O166" s="145">
        <v>19</v>
      </c>
      <c r="P166" s="145">
        <v>0</v>
      </c>
      <c r="Q166" s="145">
        <v>0</v>
      </c>
      <c r="R166" s="145">
        <v>16</v>
      </c>
      <c r="S166" s="145">
        <v>0</v>
      </c>
      <c r="T166" s="145">
        <v>0</v>
      </c>
      <c r="U166" s="145">
        <v>17</v>
      </c>
      <c r="V166" s="145">
        <v>14</v>
      </c>
      <c r="W166" s="145">
        <v>0</v>
      </c>
      <c r="X166" s="145">
        <v>16</v>
      </c>
      <c r="Y166" s="145">
        <v>13</v>
      </c>
      <c r="Z166" s="145">
        <v>17</v>
      </c>
      <c r="AA166" s="145">
        <v>0</v>
      </c>
      <c r="AB166" s="145">
        <v>16</v>
      </c>
      <c r="AC166" s="145">
        <v>15</v>
      </c>
      <c r="AD166" s="145">
        <v>15</v>
      </c>
      <c r="AE166" s="145">
        <v>0</v>
      </c>
      <c r="AF166" s="145">
        <v>13</v>
      </c>
      <c r="AG166" s="145">
        <v>16</v>
      </c>
      <c r="AH166" s="15">
        <f t="shared" si="6"/>
        <v>0</v>
      </c>
      <c r="AI166" s="15">
        <f t="shared" si="7"/>
        <v>1</v>
      </c>
      <c r="AJ166" s="15">
        <f t="shared" si="8"/>
        <v>1</v>
      </c>
    </row>
    <row r="167" spans="2:36">
      <c r="B167" s="124"/>
      <c r="C167" s="125">
        <v>164</v>
      </c>
      <c r="D167" s="144">
        <v>11338292.802096907</v>
      </c>
      <c r="E167" s="144">
        <v>6566038.7559949644</v>
      </c>
      <c r="F167" s="144">
        <v>0</v>
      </c>
      <c r="G167" s="144">
        <v>0</v>
      </c>
      <c r="H167" s="144">
        <v>943554.0395026654</v>
      </c>
      <c r="I167" s="145">
        <v>13</v>
      </c>
      <c r="J167" s="145">
        <v>12</v>
      </c>
      <c r="K167" s="145"/>
      <c r="L167" s="145">
        <v>20</v>
      </c>
      <c r="M167" s="145">
        <v>14</v>
      </c>
      <c r="N167" s="145">
        <v>15</v>
      </c>
      <c r="O167" s="145">
        <v>19</v>
      </c>
      <c r="P167" s="145">
        <v>0</v>
      </c>
      <c r="Q167" s="145">
        <v>21</v>
      </c>
      <c r="R167" s="145">
        <v>16</v>
      </c>
      <c r="S167" s="145">
        <v>0</v>
      </c>
      <c r="T167" s="145">
        <v>0</v>
      </c>
      <c r="U167" s="145">
        <v>0</v>
      </c>
      <c r="V167" s="145">
        <v>14</v>
      </c>
      <c r="W167" s="145">
        <v>20</v>
      </c>
      <c r="X167" s="145">
        <v>16</v>
      </c>
      <c r="Y167" s="145">
        <v>13</v>
      </c>
      <c r="Z167" s="145">
        <v>17</v>
      </c>
      <c r="AA167" s="145">
        <v>13</v>
      </c>
      <c r="AB167" s="145">
        <v>16</v>
      </c>
      <c r="AC167" s="145">
        <v>15</v>
      </c>
      <c r="AD167" s="145">
        <v>0</v>
      </c>
      <c r="AE167" s="145">
        <v>21</v>
      </c>
      <c r="AF167" s="145">
        <v>13</v>
      </c>
      <c r="AG167" s="145">
        <v>16</v>
      </c>
      <c r="AH167" s="15">
        <f t="shared" si="6"/>
        <v>0</v>
      </c>
      <c r="AI167" s="15">
        <f t="shared" si="7"/>
        <v>1</v>
      </c>
      <c r="AJ167" s="15">
        <f t="shared" si="8"/>
        <v>1</v>
      </c>
    </row>
    <row r="168" spans="2:36">
      <c r="B168" s="124"/>
      <c r="C168" s="125">
        <v>165</v>
      </c>
      <c r="D168" s="144">
        <v>9118660.4861323927</v>
      </c>
      <c r="E168" s="144">
        <v>5302792.0316999266</v>
      </c>
      <c r="F168" s="144">
        <v>0</v>
      </c>
      <c r="G168" s="144">
        <v>0</v>
      </c>
      <c r="H168" s="144">
        <v>943554.0395026654</v>
      </c>
      <c r="I168" s="145">
        <v>13</v>
      </c>
      <c r="J168" s="145">
        <v>0</v>
      </c>
      <c r="K168" s="145"/>
      <c r="L168" s="145">
        <v>0</v>
      </c>
      <c r="M168" s="145">
        <v>0</v>
      </c>
      <c r="N168" s="145">
        <v>15</v>
      </c>
      <c r="O168" s="145">
        <v>19</v>
      </c>
      <c r="P168" s="145">
        <v>16</v>
      </c>
      <c r="Q168" s="145">
        <v>21</v>
      </c>
      <c r="R168" s="145">
        <v>16</v>
      </c>
      <c r="S168" s="145">
        <v>0</v>
      </c>
      <c r="T168" s="145">
        <v>15</v>
      </c>
      <c r="U168" s="145">
        <v>18</v>
      </c>
      <c r="V168" s="145">
        <v>14</v>
      </c>
      <c r="W168" s="145">
        <v>20</v>
      </c>
      <c r="X168" s="145">
        <v>0</v>
      </c>
      <c r="Y168" s="145">
        <v>0</v>
      </c>
      <c r="Z168" s="145">
        <v>17</v>
      </c>
      <c r="AA168" s="145">
        <v>13</v>
      </c>
      <c r="AB168" s="145">
        <v>0</v>
      </c>
      <c r="AC168" s="145">
        <v>15</v>
      </c>
      <c r="AD168" s="145">
        <v>0</v>
      </c>
      <c r="AE168" s="145">
        <v>21</v>
      </c>
      <c r="AF168" s="145">
        <v>13</v>
      </c>
      <c r="AG168" s="145">
        <v>0</v>
      </c>
      <c r="AH168" s="15">
        <f t="shared" si="6"/>
        <v>0</v>
      </c>
      <c r="AI168" s="15">
        <f t="shared" si="7"/>
        <v>1</v>
      </c>
      <c r="AJ168" s="15">
        <f t="shared" si="8"/>
        <v>1</v>
      </c>
    </row>
    <row r="169" spans="2:36">
      <c r="B169" s="124"/>
      <c r="C169" s="125">
        <v>166</v>
      </c>
      <c r="D169" s="144">
        <v>10185363.913346907</v>
      </c>
      <c r="E169" s="144">
        <v>5957269.4006860163</v>
      </c>
      <c r="F169" s="144">
        <v>0</v>
      </c>
      <c r="G169" s="144">
        <v>0</v>
      </c>
      <c r="H169" s="144">
        <v>943554.0395026654</v>
      </c>
      <c r="I169" s="145">
        <v>0</v>
      </c>
      <c r="J169" s="145">
        <v>0</v>
      </c>
      <c r="K169" s="145"/>
      <c r="L169" s="145">
        <v>0</v>
      </c>
      <c r="M169" s="145">
        <v>0</v>
      </c>
      <c r="N169" s="145">
        <v>15</v>
      </c>
      <c r="O169" s="145">
        <v>19</v>
      </c>
      <c r="P169" s="145">
        <v>16</v>
      </c>
      <c r="Q169" s="145">
        <v>21</v>
      </c>
      <c r="R169" s="145">
        <v>16</v>
      </c>
      <c r="S169" s="145">
        <v>21</v>
      </c>
      <c r="T169" s="145">
        <v>15</v>
      </c>
      <c r="U169" s="145">
        <v>18</v>
      </c>
      <c r="V169" s="145">
        <v>14</v>
      </c>
      <c r="W169" s="145">
        <v>20</v>
      </c>
      <c r="X169" s="145">
        <v>0</v>
      </c>
      <c r="Y169" s="145">
        <v>0</v>
      </c>
      <c r="Z169" s="145">
        <v>17</v>
      </c>
      <c r="AA169" s="145">
        <v>13</v>
      </c>
      <c r="AB169" s="145">
        <v>17</v>
      </c>
      <c r="AC169" s="145">
        <v>15</v>
      </c>
      <c r="AD169" s="145">
        <v>16</v>
      </c>
      <c r="AE169" s="145">
        <v>21</v>
      </c>
      <c r="AF169" s="145">
        <v>13</v>
      </c>
      <c r="AG169" s="145">
        <v>0</v>
      </c>
      <c r="AH169" s="15">
        <f t="shared" si="6"/>
        <v>0</v>
      </c>
      <c r="AI169" s="15">
        <f t="shared" si="7"/>
        <v>1</v>
      </c>
      <c r="AJ169" s="15">
        <f t="shared" si="8"/>
        <v>1</v>
      </c>
    </row>
    <row r="170" spans="2:36">
      <c r="B170" s="124"/>
      <c r="C170" s="125">
        <v>167</v>
      </c>
      <c r="D170" s="144">
        <v>10431150.969870996</v>
      </c>
      <c r="E170" s="144">
        <v>6141123.1879737312</v>
      </c>
      <c r="F170" s="144">
        <v>0</v>
      </c>
      <c r="G170" s="144">
        <v>0</v>
      </c>
      <c r="H170" s="144">
        <v>943554.0395026654</v>
      </c>
      <c r="I170" s="145">
        <v>0</v>
      </c>
      <c r="J170" s="145">
        <v>0</v>
      </c>
      <c r="K170" s="145"/>
      <c r="L170" s="145">
        <v>21</v>
      </c>
      <c r="M170" s="145">
        <v>0</v>
      </c>
      <c r="N170" s="145">
        <v>15</v>
      </c>
      <c r="O170" s="145">
        <v>0</v>
      </c>
      <c r="P170" s="145">
        <v>16</v>
      </c>
      <c r="Q170" s="145">
        <v>21</v>
      </c>
      <c r="R170" s="145">
        <v>0</v>
      </c>
      <c r="S170" s="145">
        <v>21</v>
      </c>
      <c r="T170" s="145">
        <v>15</v>
      </c>
      <c r="U170" s="145">
        <v>18</v>
      </c>
      <c r="V170" s="145">
        <v>14</v>
      </c>
      <c r="W170" s="145">
        <v>20</v>
      </c>
      <c r="X170" s="145">
        <v>17</v>
      </c>
      <c r="Y170" s="145">
        <v>14</v>
      </c>
      <c r="Z170" s="145">
        <v>17</v>
      </c>
      <c r="AA170" s="145">
        <v>0</v>
      </c>
      <c r="AB170" s="145">
        <v>17</v>
      </c>
      <c r="AC170" s="145">
        <v>15</v>
      </c>
      <c r="AD170" s="145">
        <v>16</v>
      </c>
      <c r="AE170" s="145">
        <v>21</v>
      </c>
      <c r="AF170" s="145">
        <v>13</v>
      </c>
      <c r="AG170" s="145">
        <v>17</v>
      </c>
      <c r="AH170" s="15">
        <f t="shared" si="6"/>
        <v>0</v>
      </c>
      <c r="AI170" s="15">
        <f t="shared" si="7"/>
        <v>1</v>
      </c>
      <c r="AJ170" s="15">
        <f t="shared" si="8"/>
        <v>1</v>
      </c>
    </row>
    <row r="171" spans="2:36">
      <c r="B171" s="124"/>
      <c r="C171" s="125">
        <v>168</v>
      </c>
      <c r="D171" s="144">
        <v>10534028.612914445</v>
      </c>
      <c r="E171" s="144">
        <v>6277525.4793894477</v>
      </c>
      <c r="F171" s="144">
        <v>7916654.5135230804</v>
      </c>
      <c r="G171" s="144">
        <v>0</v>
      </c>
      <c r="H171" s="144">
        <v>858618.14206676802</v>
      </c>
      <c r="I171" s="145">
        <v>0</v>
      </c>
      <c r="J171" s="145">
        <v>13</v>
      </c>
      <c r="K171" s="145"/>
      <c r="L171" s="145">
        <v>21</v>
      </c>
      <c r="M171" s="145">
        <v>15</v>
      </c>
      <c r="N171" s="145">
        <v>15</v>
      </c>
      <c r="O171" s="145">
        <v>0</v>
      </c>
      <c r="P171" s="145">
        <v>16</v>
      </c>
      <c r="Q171" s="145">
        <v>21</v>
      </c>
      <c r="R171" s="145">
        <v>0</v>
      </c>
      <c r="S171" s="145">
        <v>21</v>
      </c>
      <c r="T171" s="145">
        <v>15</v>
      </c>
      <c r="U171" s="145">
        <v>18</v>
      </c>
      <c r="V171" s="145">
        <v>14</v>
      </c>
      <c r="W171" s="145">
        <v>20</v>
      </c>
      <c r="X171" s="145">
        <v>17</v>
      </c>
      <c r="Y171" s="145">
        <v>14</v>
      </c>
      <c r="Z171" s="145"/>
      <c r="AA171" s="145">
        <v>0</v>
      </c>
      <c r="AB171" s="145">
        <v>17</v>
      </c>
      <c r="AC171" s="145">
        <v>15</v>
      </c>
      <c r="AD171" s="145">
        <v>16</v>
      </c>
      <c r="AE171" s="145">
        <v>0</v>
      </c>
      <c r="AF171" s="145">
        <v>13</v>
      </c>
      <c r="AG171" s="145"/>
      <c r="AH171" s="15">
        <f t="shared" si="6"/>
        <v>0</v>
      </c>
      <c r="AI171" s="15">
        <f t="shared" si="7"/>
        <v>3</v>
      </c>
      <c r="AJ171" s="15">
        <f t="shared" si="8"/>
        <v>3</v>
      </c>
    </row>
    <row r="172" spans="2:36">
      <c r="B172" s="124"/>
      <c r="C172" s="125">
        <v>169</v>
      </c>
      <c r="D172" s="144">
        <v>9913737.3684360608</v>
      </c>
      <c r="E172" s="144">
        <v>5734964.5894136578</v>
      </c>
      <c r="F172" s="144">
        <v>0</v>
      </c>
      <c r="G172" s="144">
        <v>0</v>
      </c>
      <c r="H172" s="144">
        <v>858618.14206676802</v>
      </c>
      <c r="I172" s="145">
        <v>14</v>
      </c>
      <c r="J172" s="145">
        <v>13</v>
      </c>
      <c r="K172" s="145"/>
      <c r="L172" s="145">
        <v>21</v>
      </c>
      <c r="M172" s="145">
        <v>0</v>
      </c>
      <c r="N172" s="145">
        <v>15</v>
      </c>
      <c r="O172" s="145">
        <v>0</v>
      </c>
      <c r="P172" s="145">
        <v>16</v>
      </c>
      <c r="Q172" s="145">
        <v>21</v>
      </c>
      <c r="R172" s="145">
        <v>17</v>
      </c>
      <c r="S172" s="145">
        <v>21</v>
      </c>
      <c r="T172" s="145">
        <v>15</v>
      </c>
      <c r="U172" s="145">
        <v>0</v>
      </c>
      <c r="V172" s="145">
        <v>0</v>
      </c>
      <c r="W172" s="145">
        <v>20</v>
      </c>
      <c r="X172" s="145">
        <v>17</v>
      </c>
      <c r="Y172" s="145">
        <v>14</v>
      </c>
      <c r="Z172" s="145"/>
      <c r="AA172" s="145">
        <v>14</v>
      </c>
      <c r="AB172" s="145">
        <v>17</v>
      </c>
      <c r="AC172" s="145">
        <v>0</v>
      </c>
      <c r="AD172" s="145">
        <v>16</v>
      </c>
      <c r="AE172" s="145">
        <v>0</v>
      </c>
      <c r="AF172" s="145">
        <v>13</v>
      </c>
      <c r="AG172" s="145"/>
      <c r="AH172" s="15">
        <f t="shared" si="6"/>
        <v>0</v>
      </c>
      <c r="AI172" s="15">
        <f t="shared" si="7"/>
        <v>3</v>
      </c>
      <c r="AJ172" s="15">
        <f t="shared" si="8"/>
        <v>3</v>
      </c>
    </row>
    <row r="173" spans="2:36">
      <c r="B173" s="124"/>
      <c r="C173" s="125">
        <v>170</v>
      </c>
      <c r="D173" s="144">
        <v>11966389.475015849</v>
      </c>
      <c r="E173" s="144">
        <v>6968828.9337011389</v>
      </c>
      <c r="F173" s="144">
        <v>0</v>
      </c>
      <c r="G173" s="144">
        <v>0</v>
      </c>
      <c r="H173" s="144">
        <v>858618.14206676802</v>
      </c>
      <c r="I173" s="145">
        <v>14</v>
      </c>
      <c r="J173" s="145">
        <v>13</v>
      </c>
      <c r="K173" s="145"/>
      <c r="L173" s="145">
        <v>21</v>
      </c>
      <c r="M173" s="145">
        <v>0</v>
      </c>
      <c r="N173" s="145">
        <v>15</v>
      </c>
      <c r="O173" s="145">
        <v>20</v>
      </c>
      <c r="P173" s="145">
        <v>16</v>
      </c>
      <c r="Q173" s="145">
        <v>0</v>
      </c>
      <c r="R173" s="145">
        <v>17</v>
      </c>
      <c r="S173" s="145">
        <v>21</v>
      </c>
      <c r="T173" s="145">
        <v>15</v>
      </c>
      <c r="U173" s="145">
        <v>19</v>
      </c>
      <c r="V173" s="145">
        <v>0</v>
      </c>
      <c r="W173" s="145">
        <v>20</v>
      </c>
      <c r="X173" s="145">
        <v>17</v>
      </c>
      <c r="Y173" s="145">
        <v>14</v>
      </c>
      <c r="Z173" s="145"/>
      <c r="AA173" s="145">
        <v>14</v>
      </c>
      <c r="AB173" s="145">
        <v>17</v>
      </c>
      <c r="AC173" s="145">
        <v>0</v>
      </c>
      <c r="AD173" s="145">
        <v>16</v>
      </c>
      <c r="AE173" s="145">
        <v>22</v>
      </c>
      <c r="AF173" s="145">
        <v>13</v>
      </c>
      <c r="AG173" s="145"/>
      <c r="AH173" s="15">
        <f t="shared" si="6"/>
        <v>0</v>
      </c>
      <c r="AI173" s="15">
        <f t="shared" si="7"/>
        <v>3</v>
      </c>
      <c r="AJ173" s="15">
        <f t="shared" si="8"/>
        <v>3</v>
      </c>
    </row>
    <row r="174" spans="2:36">
      <c r="B174" s="124"/>
      <c r="C174" s="125">
        <v>171</v>
      </c>
      <c r="D174" s="144">
        <v>11727987.033997774</v>
      </c>
      <c r="E174" s="144">
        <v>6838493.8179620272</v>
      </c>
      <c r="F174" s="144">
        <v>0</v>
      </c>
      <c r="G174" s="144">
        <v>0</v>
      </c>
      <c r="H174" s="144">
        <v>858618.14206676802</v>
      </c>
      <c r="I174" s="145">
        <v>14</v>
      </c>
      <c r="J174" s="145">
        <v>13</v>
      </c>
      <c r="K174" s="145"/>
      <c r="L174" s="145">
        <v>21</v>
      </c>
      <c r="M174" s="145">
        <v>16</v>
      </c>
      <c r="N174" s="145">
        <v>15</v>
      </c>
      <c r="O174" s="145">
        <v>20</v>
      </c>
      <c r="P174" s="145">
        <v>16</v>
      </c>
      <c r="Q174" s="145">
        <v>0</v>
      </c>
      <c r="R174" s="145">
        <v>17</v>
      </c>
      <c r="S174" s="145">
        <v>21</v>
      </c>
      <c r="T174" s="145">
        <v>0</v>
      </c>
      <c r="U174" s="145">
        <v>19</v>
      </c>
      <c r="V174" s="145">
        <v>0</v>
      </c>
      <c r="W174" s="145">
        <v>0</v>
      </c>
      <c r="X174" s="145">
        <v>17</v>
      </c>
      <c r="Y174" s="145">
        <v>14</v>
      </c>
      <c r="Z174" s="145"/>
      <c r="AA174" s="145">
        <v>14</v>
      </c>
      <c r="AB174" s="145">
        <v>17</v>
      </c>
      <c r="AC174" s="145">
        <v>16</v>
      </c>
      <c r="AD174" s="145">
        <v>16</v>
      </c>
      <c r="AE174" s="145">
        <v>22</v>
      </c>
      <c r="AF174" s="145">
        <v>13</v>
      </c>
      <c r="AG174" s="145"/>
      <c r="AH174" s="15">
        <f t="shared" si="6"/>
        <v>0</v>
      </c>
      <c r="AI174" s="15">
        <f t="shared" si="7"/>
        <v>3</v>
      </c>
      <c r="AJ174" s="15">
        <f t="shared" si="8"/>
        <v>3</v>
      </c>
    </row>
    <row r="175" spans="2:36">
      <c r="B175" s="124"/>
      <c r="C175" s="125">
        <v>172</v>
      </c>
      <c r="D175" s="144">
        <v>12993159.46921394</v>
      </c>
      <c r="E175" s="144">
        <v>7613472.9614509372</v>
      </c>
      <c r="F175" s="144">
        <v>0</v>
      </c>
      <c r="G175" s="144">
        <v>0</v>
      </c>
      <c r="H175" s="144">
        <v>858618.14206676802</v>
      </c>
      <c r="I175" s="145">
        <v>14</v>
      </c>
      <c r="J175" s="145">
        <v>13</v>
      </c>
      <c r="K175" s="145"/>
      <c r="L175" s="145">
        <v>21</v>
      </c>
      <c r="M175" s="145">
        <v>16</v>
      </c>
      <c r="N175" s="145">
        <v>15</v>
      </c>
      <c r="O175" s="145">
        <v>20</v>
      </c>
      <c r="P175" s="145">
        <v>16</v>
      </c>
      <c r="Q175" s="145">
        <v>0</v>
      </c>
      <c r="R175" s="145">
        <v>17</v>
      </c>
      <c r="S175" s="145">
        <v>21</v>
      </c>
      <c r="T175" s="145">
        <v>16</v>
      </c>
      <c r="U175" s="145">
        <v>0</v>
      </c>
      <c r="V175" s="145">
        <v>15</v>
      </c>
      <c r="W175" s="145">
        <v>21</v>
      </c>
      <c r="X175" s="145">
        <v>17</v>
      </c>
      <c r="Y175" s="145">
        <v>14</v>
      </c>
      <c r="Z175" s="145"/>
      <c r="AA175" s="145">
        <v>14</v>
      </c>
      <c r="AB175" s="145">
        <v>17</v>
      </c>
      <c r="AC175" s="145">
        <v>16</v>
      </c>
      <c r="AD175" s="145">
        <v>16</v>
      </c>
      <c r="AE175" s="145">
        <v>22</v>
      </c>
      <c r="AF175" s="145">
        <v>13</v>
      </c>
      <c r="AG175" s="145"/>
      <c r="AH175" s="15">
        <f t="shared" si="6"/>
        <v>0</v>
      </c>
      <c r="AI175" s="15">
        <f t="shared" si="7"/>
        <v>3</v>
      </c>
      <c r="AJ175" s="15">
        <f t="shared" si="8"/>
        <v>3</v>
      </c>
    </row>
    <row r="176" spans="2:36">
      <c r="B176" s="124"/>
      <c r="C176" s="125">
        <v>173</v>
      </c>
      <c r="D176" s="144">
        <v>12932271.497395873</v>
      </c>
      <c r="E176" s="144">
        <v>7517333.1108061625</v>
      </c>
      <c r="F176" s="144">
        <v>0</v>
      </c>
      <c r="G176" s="144">
        <v>0</v>
      </c>
      <c r="H176" s="144">
        <v>858618.14206676802</v>
      </c>
      <c r="I176" s="145">
        <v>14</v>
      </c>
      <c r="J176" s="145">
        <v>13</v>
      </c>
      <c r="K176" s="145"/>
      <c r="L176" s="145">
        <v>21</v>
      </c>
      <c r="M176" s="145">
        <v>16</v>
      </c>
      <c r="N176" s="145">
        <v>0</v>
      </c>
      <c r="O176" s="145">
        <v>20</v>
      </c>
      <c r="P176" s="145">
        <v>16</v>
      </c>
      <c r="Q176" s="145">
        <v>22</v>
      </c>
      <c r="R176" s="145">
        <v>17</v>
      </c>
      <c r="S176" s="145">
        <v>21</v>
      </c>
      <c r="T176" s="145">
        <v>16</v>
      </c>
      <c r="U176" s="145">
        <v>0</v>
      </c>
      <c r="V176" s="145">
        <v>15</v>
      </c>
      <c r="W176" s="145">
        <v>21</v>
      </c>
      <c r="X176" s="145">
        <v>17</v>
      </c>
      <c r="Y176" s="145">
        <v>14</v>
      </c>
      <c r="Z176" s="145"/>
      <c r="AA176" s="145">
        <v>14</v>
      </c>
      <c r="AB176" s="145">
        <v>17</v>
      </c>
      <c r="AC176" s="145">
        <v>16</v>
      </c>
      <c r="AD176" s="145">
        <v>16</v>
      </c>
      <c r="AE176" s="145">
        <v>22</v>
      </c>
      <c r="AF176" s="145">
        <v>0</v>
      </c>
      <c r="AG176" s="145"/>
      <c r="AH176" s="15">
        <f t="shared" si="6"/>
        <v>0</v>
      </c>
      <c r="AI176" s="15">
        <f t="shared" si="7"/>
        <v>3</v>
      </c>
      <c r="AJ176" s="15">
        <f t="shared" si="8"/>
        <v>3</v>
      </c>
    </row>
    <row r="177" spans="2:36">
      <c r="B177" s="124"/>
      <c r="C177" s="125">
        <v>174</v>
      </c>
      <c r="D177" s="144">
        <v>14291769.114140609</v>
      </c>
      <c r="E177" s="144">
        <v>8338022.6455958225</v>
      </c>
      <c r="F177" s="144">
        <v>0</v>
      </c>
      <c r="G177" s="144">
        <v>0</v>
      </c>
      <c r="H177" s="144">
        <v>858618.14206676802</v>
      </c>
      <c r="I177" s="145">
        <v>14</v>
      </c>
      <c r="J177" s="145">
        <v>13</v>
      </c>
      <c r="K177" s="145"/>
      <c r="L177" s="145">
        <v>21</v>
      </c>
      <c r="M177" s="145">
        <v>16</v>
      </c>
      <c r="N177" s="145">
        <v>0</v>
      </c>
      <c r="O177" s="145">
        <v>20</v>
      </c>
      <c r="P177" s="145">
        <v>16</v>
      </c>
      <c r="Q177" s="145">
        <v>22</v>
      </c>
      <c r="R177" s="145">
        <v>17</v>
      </c>
      <c r="S177" s="145">
        <v>21</v>
      </c>
      <c r="T177" s="145">
        <v>16</v>
      </c>
      <c r="U177" s="145">
        <v>20</v>
      </c>
      <c r="V177" s="145">
        <v>15</v>
      </c>
      <c r="W177" s="145">
        <v>21</v>
      </c>
      <c r="X177" s="145">
        <v>17</v>
      </c>
      <c r="Y177" s="145">
        <v>14</v>
      </c>
      <c r="Z177" s="145"/>
      <c r="AA177" s="145">
        <v>14</v>
      </c>
      <c r="AB177" s="145">
        <v>17</v>
      </c>
      <c r="AC177" s="145">
        <v>16</v>
      </c>
      <c r="AD177" s="145">
        <v>16</v>
      </c>
      <c r="AE177" s="145">
        <v>22</v>
      </c>
      <c r="AF177" s="145">
        <v>14</v>
      </c>
      <c r="AG177" s="145"/>
      <c r="AH177" s="15">
        <f t="shared" si="6"/>
        <v>0</v>
      </c>
      <c r="AI177" s="15">
        <f t="shared" si="7"/>
        <v>3</v>
      </c>
      <c r="AJ177" s="15">
        <f t="shared" si="8"/>
        <v>3</v>
      </c>
    </row>
    <row r="178" spans="2:36">
      <c r="B178" s="124"/>
      <c r="C178" s="125">
        <v>175</v>
      </c>
      <c r="D178" s="144">
        <v>11133801.825515145</v>
      </c>
      <c r="E178" s="144">
        <v>6523029.9558118815</v>
      </c>
      <c r="F178" s="144">
        <v>0</v>
      </c>
      <c r="G178" s="144">
        <v>0</v>
      </c>
      <c r="H178" s="144">
        <v>858618.14206676802</v>
      </c>
      <c r="I178" s="145">
        <v>14</v>
      </c>
      <c r="J178" s="145">
        <v>0</v>
      </c>
      <c r="K178" s="145"/>
      <c r="L178" s="145">
        <v>0</v>
      </c>
      <c r="M178" s="145">
        <v>16</v>
      </c>
      <c r="N178" s="145">
        <v>16</v>
      </c>
      <c r="O178" s="145">
        <v>20</v>
      </c>
      <c r="P178" s="145">
        <v>0</v>
      </c>
      <c r="Q178" s="145">
        <v>22</v>
      </c>
      <c r="R178" s="145">
        <v>0</v>
      </c>
      <c r="S178" s="145">
        <v>21</v>
      </c>
      <c r="T178" s="145">
        <v>16</v>
      </c>
      <c r="U178" s="145">
        <v>0</v>
      </c>
      <c r="V178" s="145">
        <v>15</v>
      </c>
      <c r="W178" s="145">
        <v>21</v>
      </c>
      <c r="X178" s="145">
        <v>17</v>
      </c>
      <c r="Y178" s="145">
        <v>14</v>
      </c>
      <c r="Z178" s="145"/>
      <c r="AA178" s="145">
        <v>14</v>
      </c>
      <c r="AB178" s="145">
        <v>17</v>
      </c>
      <c r="AC178" s="145">
        <v>16</v>
      </c>
      <c r="AD178" s="145">
        <v>16</v>
      </c>
      <c r="AE178" s="145">
        <v>22</v>
      </c>
      <c r="AF178" s="145">
        <v>14</v>
      </c>
      <c r="AG178" s="145"/>
      <c r="AH178" s="15">
        <f t="shared" si="6"/>
        <v>0</v>
      </c>
      <c r="AI178" s="15">
        <f t="shared" si="7"/>
        <v>3</v>
      </c>
      <c r="AJ178" s="15">
        <f t="shared" si="8"/>
        <v>3</v>
      </c>
    </row>
    <row r="179" spans="2:36">
      <c r="B179" s="124"/>
      <c r="C179" s="125">
        <v>176</v>
      </c>
      <c r="D179" s="144">
        <v>11275222.657790821</v>
      </c>
      <c r="E179" s="144">
        <v>6703928.4087258913</v>
      </c>
      <c r="F179" s="144">
        <v>0</v>
      </c>
      <c r="G179" s="144">
        <v>0</v>
      </c>
      <c r="H179" s="144">
        <v>858618.14206676802</v>
      </c>
      <c r="I179" s="145">
        <v>0</v>
      </c>
      <c r="J179" s="145">
        <v>0</v>
      </c>
      <c r="K179" s="145"/>
      <c r="L179" s="145">
        <v>22</v>
      </c>
      <c r="M179" s="145">
        <v>16</v>
      </c>
      <c r="N179" s="145">
        <v>16</v>
      </c>
      <c r="O179" s="145">
        <v>0</v>
      </c>
      <c r="P179" s="145">
        <v>17</v>
      </c>
      <c r="Q179" s="145">
        <v>22</v>
      </c>
      <c r="R179" s="145">
        <v>0</v>
      </c>
      <c r="S179" s="145">
        <v>21</v>
      </c>
      <c r="T179" s="145">
        <v>16</v>
      </c>
      <c r="U179" s="145">
        <v>21</v>
      </c>
      <c r="V179" s="145">
        <v>15</v>
      </c>
      <c r="W179" s="145">
        <v>21</v>
      </c>
      <c r="X179" s="145">
        <v>17</v>
      </c>
      <c r="Y179" s="145">
        <v>14</v>
      </c>
      <c r="Z179" s="145"/>
      <c r="AA179" s="145">
        <v>14</v>
      </c>
      <c r="AB179" s="145">
        <v>17</v>
      </c>
      <c r="AC179" s="145">
        <v>0</v>
      </c>
      <c r="AD179" s="145">
        <v>16</v>
      </c>
      <c r="AE179" s="145">
        <v>22</v>
      </c>
      <c r="AF179" s="145">
        <v>14</v>
      </c>
      <c r="AG179" s="145"/>
      <c r="AH179" s="15">
        <f t="shared" si="6"/>
        <v>0</v>
      </c>
      <c r="AI179" s="15">
        <f t="shared" si="7"/>
        <v>3</v>
      </c>
      <c r="AJ179" s="15">
        <f t="shared" si="8"/>
        <v>3</v>
      </c>
    </row>
    <row r="180" spans="2:36">
      <c r="B180" s="124"/>
      <c r="C180" s="125">
        <v>177</v>
      </c>
      <c r="D180" s="144">
        <v>13371157.765405256</v>
      </c>
      <c r="E180" s="144">
        <v>7841755.6984563731</v>
      </c>
      <c r="F180" s="144">
        <v>0</v>
      </c>
      <c r="G180" s="144">
        <v>0</v>
      </c>
      <c r="H180" s="144">
        <v>858618.14206676802</v>
      </c>
      <c r="I180" s="145">
        <v>15</v>
      </c>
      <c r="J180" s="145">
        <v>14</v>
      </c>
      <c r="K180" s="145"/>
      <c r="L180" s="145">
        <v>22</v>
      </c>
      <c r="M180" s="145">
        <v>16</v>
      </c>
      <c r="N180" s="145">
        <v>16</v>
      </c>
      <c r="O180" s="145">
        <v>21</v>
      </c>
      <c r="P180" s="145">
        <v>17</v>
      </c>
      <c r="Q180" s="145">
        <v>22</v>
      </c>
      <c r="R180" s="145">
        <v>18</v>
      </c>
      <c r="S180" s="145">
        <v>21</v>
      </c>
      <c r="T180" s="145">
        <v>16</v>
      </c>
      <c r="U180" s="145">
        <v>21</v>
      </c>
      <c r="V180" s="145">
        <v>15</v>
      </c>
      <c r="W180" s="145">
        <v>21</v>
      </c>
      <c r="X180" s="145">
        <v>17</v>
      </c>
      <c r="Y180" s="145">
        <v>14</v>
      </c>
      <c r="Z180" s="145"/>
      <c r="AA180" s="145">
        <v>14</v>
      </c>
      <c r="AB180" s="145">
        <v>17</v>
      </c>
      <c r="AC180" s="145">
        <v>0</v>
      </c>
      <c r="AD180" s="145">
        <v>16</v>
      </c>
      <c r="AE180" s="145">
        <v>22</v>
      </c>
      <c r="AF180" s="145">
        <v>0</v>
      </c>
      <c r="AG180" s="145"/>
      <c r="AH180" s="15">
        <f t="shared" si="6"/>
        <v>0</v>
      </c>
      <c r="AI180" s="15">
        <f t="shared" si="7"/>
        <v>3</v>
      </c>
      <c r="AJ180" s="15">
        <f t="shared" si="8"/>
        <v>3</v>
      </c>
    </row>
    <row r="181" spans="2:36">
      <c r="B181" s="124"/>
      <c r="C181" s="125">
        <v>178</v>
      </c>
      <c r="D181" s="144">
        <v>11421198.326794153</v>
      </c>
      <c r="E181" s="144">
        <v>6660582.9066848848</v>
      </c>
      <c r="F181" s="144">
        <v>0</v>
      </c>
      <c r="G181" s="144">
        <v>0</v>
      </c>
      <c r="H181" s="144">
        <v>858618.14206676802</v>
      </c>
      <c r="I181" s="145">
        <v>15</v>
      </c>
      <c r="J181" s="145">
        <v>14</v>
      </c>
      <c r="K181" s="145"/>
      <c r="L181" s="145">
        <v>22</v>
      </c>
      <c r="M181" s="145">
        <v>16</v>
      </c>
      <c r="N181" s="145">
        <v>16</v>
      </c>
      <c r="O181" s="145">
        <v>21</v>
      </c>
      <c r="P181" s="145">
        <v>17</v>
      </c>
      <c r="Q181" s="145">
        <v>22</v>
      </c>
      <c r="R181" s="145">
        <v>18</v>
      </c>
      <c r="S181" s="145">
        <v>0</v>
      </c>
      <c r="T181" s="145">
        <v>0</v>
      </c>
      <c r="U181" s="145">
        <v>21</v>
      </c>
      <c r="V181" s="145">
        <v>0</v>
      </c>
      <c r="W181" s="145">
        <v>21</v>
      </c>
      <c r="X181" s="145">
        <v>17</v>
      </c>
      <c r="Y181" s="145">
        <v>14</v>
      </c>
      <c r="Z181" s="145"/>
      <c r="AA181" s="145">
        <v>14</v>
      </c>
      <c r="AB181" s="145">
        <v>0</v>
      </c>
      <c r="AC181" s="145">
        <v>17</v>
      </c>
      <c r="AD181" s="145">
        <v>16</v>
      </c>
      <c r="AE181" s="145">
        <v>22</v>
      </c>
      <c r="AF181" s="145">
        <v>0</v>
      </c>
      <c r="AG181" s="145"/>
      <c r="AH181" s="15">
        <f t="shared" si="6"/>
        <v>0</v>
      </c>
      <c r="AI181" s="15">
        <f t="shared" si="7"/>
        <v>3</v>
      </c>
      <c r="AJ181" s="15">
        <f t="shared" si="8"/>
        <v>3</v>
      </c>
    </row>
    <row r="182" spans="2:36">
      <c r="B182" s="124"/>
      <c r="C182" s="125">
        <v>179</v>
      </c>
      <c r="D182" s="144">
        <v>11170883.335439064</v>
      </c>
      <c r="E182" s="144">
        <v>6476026.5659404639</v>
      </c>
      <c r="F182" s="144">
        <v>0</v>
      </c>
      <c r="G182" s="144">
        <v>0</v>
      </c>
      <c r="H182" s="144">
        <v>858618.14206676802</v>
      </c>
      <c r="I182" s="145">
        <v>15</v>
      </c>
      <c r="J182" s="145">
        <v>14</v>
      </c>
      <c r="K182" s="145"/>
      <c r="L182" s="145">
        <v>22</v>
      </c>
      <c r="M182" s="145">
        <v>16</v>
      </c>
      <c r="N182" s="145">
        <v>16</v>
      </c>
      <c r="O182" s="145">
        <v>21</v>
      </c>
      <c r="P182" s="145">
        <v>17</v>
      </c>
      <c r="Q182" s="145">
        <v>22</v>
      </c>
      <c r="R182" s="145">
        <v>18</v>
      </c>
      <c r="S182" s="145">
        <v>0</v>
      </c>
      <c r="T182" s="145">
        <v>0</v>
      </c>
      <c r="U182" s="145">
        <v>21</v>
      </c>
      <c r="V182" s="145">
        <v>0</v>
      </c>
      <c r="W182" s="145">
        <v>21</v>
      </c>
      <c r="X182" s="145">
        <v>17</v>
      </c>
      <c r="Y182" s="145">
        <v>0</v>
      </c>
      <c r="Z182" s="145"/>
      <c r="AA182" s="145">
        <v>14</v>
      </c>
      <c r="AB182" s="145">
        <v>0</v>
      </c>
      <c r="AC182" s="145">
        <v>17</v>
      </c>
      <c r="AD182" s="145">
        <v>0</v>
      </c>
      <c r="AE182" s="145">
        <v>22</v>
      </c>
      <c r="AF182" s="145">
        <v>15</v>
      </c>
      <c r="AG182" s="145"/>
      <c r="AH182" s="15">
        <f t="shared" si="6"/>
        <v>0</v>
      </c>
      <c r="AI182" s="15">
        <f t="shared" si="7"/>
        <v>3</v>
      </c>
      <c r="AJ182" s="15">
        <f t="shared" si="8"/>
        <v>3</v>
      </c>
    </row>
    <row r="183" spans="2:36">
      <c r="B183" s="124"/>
      <c r="C183" s="125">
        <v>180</v>
      </c>
      <c r="D183" s="144">
        <v>10557999.690000968</v>
      </c>
      <c r="E183" s="144">
        <v>6226220.0447037909</v>
      </c>
      <c r="F183" s="144">
        <v>23190148.832561385</v>
      </c>
      <c r="G183" s="144">
        <v>0</v>
      </c>
      <c r="H183" s="144">
        <v>718737.18968581571</v>
      </c>
      <c r="I183" s="145">
        <v>0</v>
      </c>
      <c r="J183" s="145">
        <v>14</v>
      </c>
      <c r="K183" s="145"/>
      <c r="L183" s="145">
        <v>22</v>
      </c>
      <c r="M183" s="145">
        <v>16</v>
      </c>
      <c r="N183" s="145">
        <v>16</v>
      </c>
      <c r="O183" s="145">
        <v>21</v>
      </c>
      <c r="P183" s="145"/>
      <c r="Q183" s="145">
        <v>22</v>
      </c>
      <c r="R183" s="145">
        <v>0</v>
      </c>
      <c r="S183" s="145"/>
      <c r="T183" s="145"/>
      <c r="U183" s="145">
        <v>21</v>
      </c>
      <c r="V183" s="145">
        <v>16</v>
      </c>
      <c r="W183" s="145">
        <v>21</v>
      </c>
      <c r="X183" s="145">
        <v>0</v>
      </c>
      <c r="Y183" s="145"/>
      <c r="Z183" s="145"/>
      <c r="AA183" s="145">
        <v>14</v>
      </c>
      <c r="AB183" s="145">
        <v>18</v>
      </c>
      <c r="AC183" s="145">
        <v>17</v>
      </c>
      <c r="AD183" s="145">
        <v>0</v>
      </c>
      <c r="AE183" s="145">
        <v>22</v>
      </c>
      <c r="AF183" s="145">
        <v>15</v>
      </c>
      <c r="AG183" s="145"/>
      <c r="AH183" s="15">
        <f t="shared" si="6"/>
        <v>0</v>
      </c>
      <c r="AI183" s="15">
        <f t="shared" si="7"/>
        <v>7</v>
      </c>
      <c r="AJ183" s="15">
        <f t="shared" si="8"/>
        <v>7</v>
      </c>
    </row>
    <row r="184" spans="2:36">
      <c r="B184" s="124"/>
      <c r="C184" s="125">
        <v>181</v>
      </c>
      <c r="D184" s="144">
        <v>9679931.8547383361</v>
      </c>
      <c r="E184" s="144">
        <v>5617574.4828662919</v>
      </c>
      <c r="F184" s="144">
        <v>0</v>
      </c>
      <c r="G184" s="144">
        <v>0</v>
      </c>
      <c r="H184" s="144">
        <v>718737.18968581571</v>
      </c>
      <c r="I184" s="145">
        <v>16</v>
      </c>
      <c r="J184" s="145">
        <v>14</v>
      </c>
      <c r="K184" s="145"/>
      <c r="L184" s="145">
        <v>22</v>
      </c>
      <c r="M184" s="145">
        <v>16</v>
      </c>
      <c r="N184" s="145">
        <v>16</v>
      </c>
      <c r="O184" s="145">
        <v>0</v>
      </c>
      <c r="P184" s="145"/>
      <c r="Q184" s="145">
        <v>22</v>
      </c>
      <c r="R184" s="145">
        <v>0</v>
      </c>
      <c r="S184" s="145"/>
      <c r="T184" s="145"/>
      <c r="U184" s="145">
        <v>21</v>
      </c>
      <c r="V184" s="145">
        <v>16</v>
      </c>
      <c r="W184" s="145">
        <v>21</v>
      </c>
      <c r="X184" s="145">
        <v>0</v>
      </c>
      <c r="Y184" s="145"/>
      <c r="Z184" s="145"/>
      <c r="AA184" s="145">
        <v>14</v>
      </c>
      <c r="AB184" s="145">
        <v>18</v>
      </c>
      <c r="AC184" s="145">
        <v>17</v>
      </c>
      <c r="AD184" s="145">
        <v>0</v>
      </c>
      <c r="AE184" s="145">
        <v>0</v>
      </c>
      <c r="AF184" s="145">
        <v>15</v>
      </c>
      <c r="AG184" s="145"/>
      <c r="AH184" s="15">
        <f t="shared" si="6"/>
        <v>0</v>
      </c>
      <c r="AI184" s="15">
        <f t="shared" si="7"/>
        <v>7</v>
      </c>
      <c r="AJ184" s="15">
        <f t="shared" si="8"/>
        <v>7</v>
      </c>
    </row>
    <row r="185" spans="2:36">
      <c r="B185" s="124"/>
      <c r="C185" s="125">
        <v>182</v>
      </c>
      <c r="D185" s="144">
        <v>8857526.257940039</v>
      </c>
      <c r="E185" s="144">
        <v>5134399.8015929982</v>
      </c>
      <c r="F185" s="144">
        <v>0</v>
      </c>
      <c r="G185" s="144">
        <v>0</v>
      </c>
      <c r="H185" s="144">
        <v>718737.18968581571</v>
      </c>
      <c r="I185" s="145">
        <v>16</v>
      </c>
      <c r="J185" s="145">
        <v>14</v>
      </c>
      <c r="K185" s="145"/>
      <c r="L185" s="145">
        <v>0</v>
      </c>
      <c r="M185" s="145">
        <v>16</v>
      </c>
      <c r="N185" s="145">
        <v>0</v>
      </c>
      <c r="O185" s="145">
        <v>22</v>
      </c>
      <c r="P185" s="145"/>
      <c r="Q185" s="145">
        <v>0</v>
      </c>
      <c r="R185" s="145">
        <v>19</v>
      </c>
      <c r="S185" s="145"/>
      <c r="T185" s="145"/>
      <c r="U185" s="145">
        <v>21</v>
      </c>
      <c r="V185" s="145">
        <v>0</v>
      </c>
      <c r="W185" s="145">
        <v>21</v>
      </c>
      <c r="X185" s="145">
        <v>0</v>
      </c>
      <c r="Y185" s="145"/>
      <c r="Z185" s="145"/>
      <c r="AA185" s="145">
        <v>0</v>
      </c>
      <c r="AB185" s="145">
        <v>18</v>
      </c>
      <c r="AC185" s="145">
        <v>17</v>
      </c>
      <c r="AD185" s="145">
        <v>17</v>
      </c>
      <c r="AE185" s="145">
        <v>23</v>
      </c>
      <c r="AF185" s="145">
        <v>15</v>
      </c>
      <c r="AG185" s="145"/>
      <c r="AH185" s="15">
        <f t="shared" si="6"/>
        <v>0</v>
      </c>
      <c r="AI185" s="15">
        <f t="shared" si="7"/>
        <v>7</v>
      </c>
      <c r="AJ185" s="15">
        <f t="shared" si="8"/>
        <v>7</v>
      </c>
    </row>
    <row r="186" spans="2:36">
      <c r="B186" s="124"/>
      <c r="C186" s="125">
        <v>183</v>
      </c>
      <c r="D186" s="144">
        <v>11484333.318571175</v>
      </c>
      <c r="E186" s="144">
        <v>6758771.0863081859</v>
      </c>
      <c r="F186" s="144">
        <v>0</v>
      </c>
      <c r="G186" s="144">
        <v>0</v>
      </c>
      <c r="H186" s="144">
        <v>718737.18968581571</v>
      </c>
      <c r="I186" s="145">
        <v>16</v>
      </c>
      <c r="J186" s="145">
        <v>14</v>
      </c>
      <c r="K186" s="145"/>
      <c r="L186" s="145">
        <v>23</v>
      </c>
      <c r="M186" s="145">
        <v>0</v>
      </c>
      <c r="N186" s="145">
        <v>0</v>
      </c>
      <c r="O186" s="145">
        <v>22</v>
      </c>
      <c r="P186" s="145"/>
      <c r="Q186" s="145">
        <v>0</v>
      </c>
      <c r="R186" s="145">
        <v>19</v>
      </c>
      <c r="S186" s="145"/>
      <c r="T186" s="145"/>
      <c r="U186" s="145">
        <v>21</v>
      </c>
      <c r="V186" s="145">
        <v>17</v>
      </c>
      <c r="W186" s="145">
        <v>21</v>
      </c>
      <c r="X186" s="145">
        <v>18</v>
      </c>
      <c r="Y186" s="145"/>
      <c r="Z186" s="145"/>
      <c r="AA186" s="145">
        <v>15</v>
      </c>
      <c r="AB186" s="145">
        <v>18</v>
      </c>
      <c r="AC186" s="145">
        <v>17</v>
      </c>
      <c r="AD186" s="145">
        <v>17</v>
      </c>
      <c r="AE186" s="145">
        <v>23</v>
      </c>
      <c r="AF186" s="145">
        <v>15</v>
      </c>
      <c r="AG186" s="145"/>
      <c r="AH186" s="15">
        <f t="shared" si="6"/>
        <v>0</v>
      </c>
      <c r="AI186" s="15">
        <f t="shared" si="7"/>
        <v>7</v>
      </c>
      <c r="AJ186" s="15">
        <f t="shared" si="8"/>
        <v>7</v>
      </c>
    </row>
    <row r="187" spans="2:36">
      <c r="B187" s="124"/>
      <c r="C187" s="125">
        <v>184</v>
      </c>
      <c r="D187" s="144">
        <v>11393902.429848932</v>
      </c>
      <c r="E187" s="144">
        <v>6629876.2856688322</v>
      </c>
      <c r="F187" s="144">
        <v>0</v>
      </c>
      <c r="G187" s="144">
        <v>0</v>
      </c>
      <c r="H187" s="144">
        <v>718737.18968581571</v>
      </c>
      <c r="I187" s="145">
        <v>16</v>
      </c>
      <c r="J187" s="145">
        <v>14</v>
      </c>
      <c r="K187" s="145"/>
      <c r="L187" s="145">
        <v>0</v>
      </c>
      <c r="M187" s="145">
        <v>17</v>
      </c>
      <c r="N187" s="145">
        <v>17</v>
      </c>
      <c r="O187" s="145">
        <v>22</v>
      </c>
      <c r="P187" s="145"/>
      <c r="Q187" s="145">
        <v>23</v>
      </c>
      <c r="R187" s="145">
        <v>19</v>
      </c>
      <c r="S187" s="145"/>
      <c r="T187" s="145"/>
      <c r="U187" s="145">
        <v>21</v>
      </c>
      <c r="V187" s="145">
        <v>17</v>
      </c>
      <c r="W187" s="145">
        <v>0</v>
      </c>
      <c r="X187" s="145">
        <v>0</v>
      </c>
      <c r="Y187" s="145"/>
      <c r="Z187" s="145"/>
      <c r="AA187" s="145">
        <v>15</v>
      </c>
      <c r="AB187" s="145">
        <v>18</v>
      </c>
      <c r="AC187" s="145">
        <v>17</v>
      </c>
      <c r="AD187" s="145">
        <v>17</v>
      </c>
      <c r="AE187" s="145">
        <v>23</v>
      </c>
      <c r="AF187" s="145">
        <v>15</v>
      </c>
      <c r="AG187" s="145"/>
      <c r="AH187" s="15">
        <f t="shared" si="6"/>
        <v>0</v>
      </c>
      <c r="AI187" s="15">
        <f t="shared" si="7"/>
        <v>7</v>
      </c>
      <c r="AJ187" s="15">
        <f t="shared" si="8"/>
        <v>7</v>
      </c>
    </row>
    <row r="188" spans="2:36">
      <c r="B188" s="124"/>
      <c r="C188" s="125">
        <v>185</v>
      </c>
      <c r="D188" s="144">
        <v>10344788.653744193</v>
      </c>
      <c r="E188" s="144">
        <v>6058401.0860119676</v>
      </c>
      <c r="F188" s="144">
        <v>0</v>
      </c>
      <c r="G188" s="144">
        <v>0</v>
      </c>
      <c r="H188" s="144">
        <v>718737.18968581571</v>
      </c>
      <c r="I188" s="145">
        <v>0</v>
      </c>
      <c r="J188" s="145">
        <v>14</v>
      </c>
      <c r="K188" s="145"/>
      <c r="L188" s="145">
        <v>0</v>
      </c>
      <c r="M188" s="145">
        <v>17</v>
      </c>
      <c r="N188" s="145">
        <v>17</v>
      </c>
      <c r="O188" s="145">
        <v>0</v>
      </c>
      <c r="P188" s="145"/>
      <c r="Q188" s="145">
        <v>23</v>
      </c>
      <c r="R188" s="145">
        <v>19</v>
      </c>
      <c r="S188" s="145"/>
      <c r="T188" s="145"/>
      <c r="U188" s="145">
        <v>21</v>
      </c>
      <c r="V188" s="145">
        <v>17</v>
      </c>
      <c r="W188" s="145">
        <v>0</v>
      </c>
      <c r="X188" s="145">
        <v>19</v>
      </c>
      <c r="Y188" s="145"/>
      <c r="Z188" s="145"/>
      <c r="AA188" s="145">
        <v>15</v>
      </c>
      <c r="AB188" s="145">
        <v>18</v>
      </c>
      <c r="AC188" s="145">
        <v>17</v>
      </c>
      <c r="AD188" s="145">
        <v>17</v>
      </c>
      <c r="AE188" s="145">
        <v>23</v>
      </c>
      <c r="AF188" s="145">
        <v>15</v>
      </c>
      <c r="AG188" s="145"/>
      <c r="AH188" s="15">
        <f t="shared" si="6"/>
        <v>0</v>
      </c>
      <c r="AI188" s="15">
        <f t="shared" si="7"/>
        <v>7</v>
      </c>
      <c r="AJ188" s="15">
        <f t="shared" si="8"/>
        <v>7</v>
      </c>
    </row>
    <row r="189" spans="2:36">
      <c r="B189" s="124"/>
      <c r="C189" s="125">
        <v>186</v>
      </c>
      <c r="D189" s="144">
        <v>9755847.0248798709</v>
      </c>
      <c r="E189" s="144">
        <v>5863135.5870523974</v>
      </c>
      <c r="F189" s="144">
        <v>0</v>
      </c>
      <c r="G189" s="144">
        <v>0</v>
      </c>
      <c r="H189" s="144">
        <v>718737.18968581571</v>
      </c>
      <c r="I189" s="145">
        <v>0</v>
      </c>
      <c r="J189" s="145">
        <v>0</v>
      </c>
      <c r="K189" s="145"/>
      <c r="L189" s="145">
        <v>24</v>
      </c>
      <c r="M189" s="145">
        <v>17</v>
      </c>
      <c r="N189" s="145">
        <v>17</v>
      </c>
      <c r="O189" s="145">
        <v>0</v>
      </c>
      <c r="P189" s="145"/>
      <c r="Q189" s="145">
        <v>23</v>
      </c>
      <c r="R189" s="145">
        <v>19</v>
      </c>
      <c r="S189" s="145"/>
      <c r="T189" s="145"/>
      <c r="U189" s="145">
        <v>21</v>
      </c>
      <c r="V189" s="145">
        <v>17</v>
      </c>
      <c r="W189" s="145">
        <v>0</v>
      </c>
      <c r="X189" s="145">
        <v>19</v>
      </c>
      <c r="Y189" s="145"/>
      <c r="Z189" s="145"/>
      <c r="AA189" s="145">
        <v>0</v>
      </c>
      <c r="AB189" s="145">
        <v>18</v>
      </c>
      <c r="AC189" s="145">
        <v>17</v>
      </c>
      <c r="AD189" s="145">
        <v>17</v>
      </c>
      <c r="AE189" s="145">
        <v>23</v>
      </c>
      <c r="AF189" s="145">
        <v>15</v>
      </c>
      <c r="AG189" s="145"/>
      <c r="AH189" s="15">
        <f t="shared" si="6"/>
        <v>0</v>
      </c>
      <c r="AI189" s="15">
        <f t="shared" si="7"/>
        <v>7</v>
      </c>
      <c r="AJ189" s="15">
        <f t="shared" si="8"/>
        <v>7</v>
      </c>
    </row>
    <row r="190" spans="2:36">
      <c r="B190" s="124"/>
      <c r="C190" s="125">
        <v>187</v>
      </c>
      <c r="D190" s="144">
        <v>9908316.2951996401</v>
      </c>
      <c r="E190" s="144">
        <v>5815948.8870583372</v>
      </c>
      <c r="F190" s="144">
        <v>0</v>
      </c>
      <c r="G190" s="144">
        <v>0</v>
      </c>
      <c r="H190" s="144">
        <v>718737.18968581571</v>
      </c>
      <c r="I190" s="145">
        <v>17</v>
      </c>
      <c r="J190" s="145">
        <v>0</v>
      </c>
      <c r="K190" s="145"/>
      <c r="L190" s="145">
        <v>24</v>
      </c>
      <c r="M190" s="145">
        <v>0</v>
      </c>
      <c r="N190" s="145">
        <v>17</v>
      </c>
      <c r="O190" s="145">
        <v>23</v>
      </c>
      <c r="P190" s="145"/>
      <c r="Q190" s="145">
        <v>0</v>
      </c>
      <c r="R190" s="145">
        <v>19</v>
      </c>
      <c r="S190" s="145"/>
      <c r="T190" s="145"/>
      <c r="U190" s="145">
        <v>21</v>
      </c>
      <c r="V190" s="145">
        <v>0</v>
      </c>
      <c r="W190" s="145">
        <v>22</v>
      </c>
      <c r="X190" s="145">
        <v>19</v>
      </c>
      <c r="Y190" s="145"/>
      <c r="Z190" s="145"/>
      <c r="AA190" s="145">
        <v>16</v>
      </c>
      <c r="AB190" s="145">
        <v>18</v>
      </c>
      <c r="AC190" s="145">
        <v>17</v>
      </c>
      <c r="AD190" s="145">
        <v>0</v>
      </c>
      <c r="AE190" s="145">
        <v>23</v>
      </c>
      <c r="AF190" s="145">
        <v>15</v>
      </c>
      <c r="AG190" s="145"/>
      <c r="AH190" s="15">
        <f t="shared" si="6"/>
        <v>0</v>
      </c>
      <c r="AI190" s="15">
        <f t="shared" si="7"/>
        <v>7</v>
      </c>
      <c r="AJ190" s="15">
        <f t="shared" si="8"/>
        <v>7</v>
      </c>
    </row>
    <row r="191" spans="2:36">
      <c r="B191" s="124"/>
      <c r="C191" s="125">
        <v>188</v>
      </c>
      <c r="D191" s="144">
        <v>8244987.0065700654</v>
      </c>
      <c r="E191" s="144">
        <v>4846473.5662180176</v>
      </c>
      <c r="F191" s="144">
        <v>0</v>
      </c>
      <c r="G191" s="144">
        <v>0</v>
      </c>
      <c r="H191" s="144">
        <v>718737.18968581571</v>
      </c>
      <c r="I191" s="145">
        <v>17</v>
      </c>
      <c r="J191" s="145">
        <v>0</v>
      </c>
      <c r="K191" s="145"/>
      <c r="L191" s="145">
        <v>24</v>
      </c>
      <c r="M191" s="145">
        <v>18</v>
      </c>
      <c r="N191" s="145">
        <v>17</v>
      </c>
      <c r="O191" s="145">
        <v>23</v>
      </c>
      <c r="P191" s="145"/>
      <c r="Q191" s="145">
        <v>0</v>
      </c>
      <c r="R191" s="145">
        <v>0</v>
      </c>
      <c r="S191" s="145"/>
      <c r="T191" s="145"/>
      <c r="U191" s="145">
        <v>0</v>
      </c>
      <c r="V191" s="145">
        <v>0</v>
      </c>
      <c r="W191" s="145">
        <v>22</v>
      </c>
      <c r="X191" s="145">
        <v>19</v>
      </c>
      <c r="Y191" s="145"/>
      <c r="Z191" s="145"/>
      <c r="AA191" s="145">
        <v>16</v>
      </c>
      <c r="AB191" s="145">
        <v>18</v>
      </c>
      <c r="AC191" s="145">
        <v>17</v>
      </c>
      <c r="AD191" s="145">
        <v>0</v>
      </c>
      <c r="AE191" s="145">
        <v>0</v>
      </c>
      <c r="AF191" s="145">
        <v>15</v>
      </c>
      <c r="AG191" s="145"/>
      <c r="AH191" s="15">
        <f t="shared" si="6"/>
        <v>0</v>
      </c>
      <c r="AI191" s="15">
        <f t="shared" si="7"/>
        <v>7</v>
      </c>
      <c r="AJ191" s="15">
        <f t="shared" si="8"/>
        <v>7</v>
      </c>
    </row>
    <row r="192" spans="2:36">
      <c r="B192" s="124"/>
      <c r="C192" s="125">
        <v>189</v>
      </c>
      <c r="D192" s="144">
        <v>9715942.8367681541</v>
      </c>
      <c r="E192" s="144">
        <v>5789801.1601074636</v>
      </c>
      <c r="F192" s="144">
        <v>0</v>
      </c>
      <c r="G192" s="144">
        <v>0</v>
      </c>
      <c r="H192" s="144">
        <v>718737.18968581571</v>
      </c>
      <c r="I192" s="145">
        <v>17</v>
      </c>
      <c r="J192" s="145">
        <v>15</v>
      </c>
      <c r="K192" s="145"/>
      <c r="L192" s="145">
        <v>24</v>
      </c>
      <c r="M192" s="145">
        <v>18</v>
      </c>
      <c r="N192" s="145">
        <v>17</v>
      </c>
      <c r="O192" s="145">
        <v>23</v>
      </c>
      <c r="P192" s="145"/>
      <c r="Q192" s="145">
        <v>0</v>
      </c>
      <c r="R192" s="145">
        <v>0</v>
      </c>
      <c r="S192" s="145"/>
      <c r="T192" s="145"/>
      <c r="U192" s="145">
        <v>0</v>
      </c>
      <c r="V192" s="145">
        <v>18</v>
      </c>
      <c r="W192" s="145">
        <v>22</v>
      </c>
      <c r="X192" s="145">
        <v>19</v>
      </c>
      <c r="Y192" s="145"/>
      <c r="Z192" s="145"/>
      <c r="AA192" s="145">
        <v>16</v>
      </c>
      <c r="AB192" s="145">
        <v>18</v>
      </c>
      <c r="AC192" s="145">
        <v>17</v>
      </c>
      <c r="AD192" s="145">
        <v>0</v>
      </c>
      <c r="AE192" s="145">
        <v>0</v>
      </c>
      <c r="AF192" s="145">
        <v>15</v>
      </c>
      <c r="AG192" s="145"/>
      <c r="AH192" s="15">
        <f t="shared" si="6"/>
        <v>0</v>
      </c>
      <c r="AI192" s="15">
        <f t="shared" si="7"/>
        <v>7</v>
      </c>
      <c r="AJ192" s="15">
        <f t="shared" si="8"/>
        <v>7</v>
      </c>
    </row>
    <row r="193" spans="2:36">
      <c r="B193" s="124"/>
      <c r="C193" s="125">
        <v>190</v>
      </c>
      <c r="D193" s="144">
        <v>11121717.657630675</v>
      </c>
      <c r="E193" s="144">
        <v>6533593.9320402797</v>
      </c>
      <c r="F193" s="144">
        <v>0</v>
      </c>
      <c r="G193" s="144">
        <v>0</v>
      </c>
      <c r="H193" s="144">
        <v>718737.18968581571</v>
      </c>
      <c r="I193" s="145">
        <v>17</v>
      </c>
      <c r="J193" s="145">
        <v>0</v>
      </c>
      <c r="K193" s="145"/>
      <c r="L193" s="145">
        <v>24</v>
      </c>
      <c r="M193" s="145">
        <v>18</v>
      </c>
      <c r="N193" s="145">
        <v>17</v>
      </c>
      <c r="O193" s="145">
        <v>23</v>
      </c>
      <c r="P193" s="145"/>
      <c r="Q193" s="145">
        <v>24</v>
      </c>
      <c r="R193" s="145">
        <v>0</v>
      </c>
      <c r="S193" s="145"/>
      <c r="T193" s="145"/>
      <c r="U193" s="145">
        <v>22</v>
      </c>
      <c r="V193" s="145">
        <v>18</v>
      </c>
      <c r="W193" s="145">
        <v>22</v>
      </c>
      <c r="X193" s="145">
        <v>19</v>
      </c>
      <c r="Y193" s="145"/>
      <c r="Z193" s="145"/>
      <c r="AA193" s="145">
        <v>16</v>
      </c>
      <c r="AB193" s="145">
        <v>18</v>
      </c>
      <c r="AC193" s="145">
        <v>17</v>
      </c>
      <c r="AD193" s="145">
        <v>18</v>
      </c>
      <c r="AE193" s="145">
        <v>0</v>
      </c>
      <c r="AF193" s="145">
        <v>15</v>
      </c>
      <c r="AG193" s="145"/>
      <c r="AH193" s="15">
        <f t="shared" si="6"/>
        <v>0</v>
      </c>
      <c r="AI193" s="15">
        <f t="shared" si="7"/>
        <v>7</v>
      </c>
      <c r="AJ193" s="15">
        <f t="shared" si="8"/>
        <v>7</v>
      </c>
    </row>
    <row r="194" spans="2:36">
      <c r="B194" s="124"/>
      <c r="C194" s="125">
        <v>191</v>
      </c>
      <c r="D194" s="144">
        <v>11020170.846421013</v>
      </c>
      <c r="E194" s="144">
        <v>6402671.6174173551</v>
      </c>
      <c r="F194" s="144">
        <v>0</v>
      </c>
      <c r="G194" s="144">
        <v>0</v>
      </c>
      <c r="H194" s="144">
        <v>718737.18968581571</v>
      </c>
      <c r="I194" s="145">
        <v>17</v>
      </c>
      <c r="J194" s="145">
        <v>0</v>
      </c>
      <c r="K194" s="145"/>
      <c r="L194" s="145">
        <v>24</v>
      </c>
      <c r="M194" s="145">
        <v>18</v>
      </c>
      <c r="N194" s="145">
        <v>17</v>
      </c>
      <c r="O194" s="145">
        <v>23</v>
      </c>
      <c r="P194" s="145"/>
      <c r="Q194" s="145">
        <v>24</v>
      </c>
      <c r="R194" s="145">
        <v>20</v>
      </c>
      <c r="S194" s="145"/>
      <c r="T194" s="145"/>
      <c r="U194" s="145">
        <v>22</v>
      </c>
      <c r="V194" s="145">
        <v>18</v>
      </c>
      <c r="W194" s="145">
        <v>22</v>
      </c>
      <c r="X194" s="145">
        <v>19</v>
      </c>
      <c r="Y194" s="145"/>
      <c r="Z194" s="145"/>
      <c r="AA194" s="145">
        <v>16</v>
      </c>
      <c r="AB194" s="145">
        <v>18</v>
      </c>
      <c r="AC194" s="145">
        <v>0</v>
      </c>
      <c r="AD194" s="145">
        <v>18</v>
      </c>
      <c r="AE194" s="145">
        <v>24</v>
      </c>
      <c r="AF194" s="145">
        <v>0</v>
      </c>
      <c r="AG194" s="145"/>
      <c r="AH194" s="15">
        <f t="shared" si="6"/>
        <v>0</v>
      </c>
      <c r="AI194" s="15">
        <f t="shared" si="7"/>
        <v>7</v>
      </c>
      <c r="AJ194" s="15">
        <f t="shared" si="8"/>
        <v>7</v>
      </c>
    </row>
    <row r="195" spans="2:36">
      <c r="B195" s="124"/>
      <c r="C195" s="125">
        <v>192</v>
      </c>
      <c r="D195" s="144">
        <v>8983838.0395402629</v>
      </c>
      <c r="E195" s="144">
        <v>5232763.0403118003</v>
      </c>
      <c r="F195" s="144">
        <v>19817659.6579137</v>
      </c>
      <c r="G195" s="144">
        <v>0</v>
      </c>
      <c r="H195" s="144">
        <v>610403.85635248246</v>
      </c>
      <c r="I195" s="145">
        <v>17</v>
      </c>
      <c r="J195" s="145"/>
      <c r="K195" s="145"/>
      <c r="L195" s="145"/>
      <c r="M195" s="145">
        <v>18</v>
      </c>
      <c r="N195" s="145">
        <v>0</v>
      </c>
      <c r="O195" s="145">
        <v>23</v>
      </c>
      <c r="P195" s="145"/>
      <c r="Q195" s="145">
        <v>24</v>
      </c>
      <c r="R195" s="145">
        <v>20</v>
      </c>
      <c r="S195" s="145"/>
      <c r="T195" s="145"/>
      <c r="U195" s="145">
        <v>22</v>
      </c>
      <c r="V195" s="145">
        <v>18</v>
      </c>
      <c r="W195" s="145">
        <v>22</v>
      </c>
      <c r="X195" s="145"/>
      <c r="Y195" s="145"/>
      <c r="Z195" s="145"/>
      <c r="AA195" s="145">
        <v>16</v>
      </c>
      <c r="AB195" s="145">
        <v>0</v>
      </c>
      <c r="AC195" s="145">
        <v>0</v>
      </c>
      <c r="AD195" s="145">
        <v>18</v>
      </c>
      <c r="AE195" s="145">
        <v>24</v>
      </c>
      <c r="AF195" s="145">
        <v>16</v>
      </c>
      <c r="AG195" s="145"/>
      <c r="AH195" s="15">
        <f t="shared" si="6"/>
        <v>0</v>
      </c>
      <c r="AI195" s="15">
        <f t="shared" si="7"/>
        <v>10</v>
      </c>
      <c r="AJ195" s="15">
        <f t="shared" si="8"/>
        <v>10</v>
      </c>
    </row>
    <row r="196" spans="2:36">
      <c r="B196" s="124"/>
      <c r="C196" s="125">
        <v>193</v>
      </c>
      <c r="D196" s="144">
        <v>8300898.0817188816</v>
      </c>
      <c r="E196" s="144">
        <v>4939245.5092294049</v>
      </c>
      <c r="F196" s="144">
        <v>0</v>
      </c>
      <c r="G196" s="144">
        <v>0</v>
      </c>
      <c r="H196" s="144">
        <v>610403.85635248246</v>
      </c>
      <c r="I196" s="145">
        <v>0</v>
      </c>
      <c r="J196" s="145"/>
      <c r="K196" s="145"/>
      <c r="L196" s="145"/>
      <c r="M196" s="145">
        <v>18</v>
      </c>
      <c r="N196" s="145">
        <v>0</v>
      </c>
      <c r="O196" s="145">
        <v>23</v>
      </c>
      <c r="P196" s="145"/>
      <c r="Q196" s="145">
        <v>24</v>
      </c>
      <c r="R196" s="145">
        <v>20</v>
      </c>
      <c r="S196" s="145"/>
      <c r="T196" s="145"/>
      <c r="U196" s="145">
        <v>22</v>
      </c>
      <c r="V196" s="145">
        <v>18</v>
      </c>
      <c r="W196" s="145">
        <v>0</v>
      </c>
      <c r="X196" s="145"/>
      <c r="Y196" s="145"/>
      <c r="Z196" s="145"/>
      <c r="AA196" s="145">
        <v>16</v>
      </c>
      <c r="AB196" s="145">
        <v>0</v>
      </c>
      <c r="AC196" s="145">
        <v>18</v>
      </c>
      <c r="AD196" s="145">
        <v>18</v>
      </c>
      <c r="AE196" s="145">
        <v>24</v>
      </c>
      <c r="AF196" s="145">
        <v>16</v>
      </c>
      <c r="AG196" s="145"/>
      <c r="AH196" s="15">
        <f t="shared" ref="AH196:AH259" si="9">FREQUENCY(I196:AG196,-1)</f>
        <v>0</v>
      </c>
      <c r="AI196" s="15">
        <f t="shared" si="7"/>
        <v>10</v>
      </c>
      <c r="AJ196" s="15">
        <f t="shared" si="8"/>
        <v>10</v>
      </c>
    </row>
    <row r="197" spans="2:36">
      <c r="B197" s="124"/>
      <c r="C197" s="125">
        <v>194</v>
      </c>
      <c r="D197" s="144">
        <v>8947849.7961608674</v>
      </c>
      <c r="E197" s="144">
        <v>5311330.6994702388</v>
      </c>
      <c r="F197" s="144">
        <v>0</v>
      </c>
      <c r="G197" s="144">
        <v>0</v>
      </c>
      <c r="H197" s="144">
        <v>610403.85635248246</v>
      </c>
      <c r="I197" s="145">
        <v>0</v>
      </c>
      <c r="J197" s="145"/>
      <c r="K197" s="145"/>
      <c r="L197" s="145"/>
      <c r="M197" s="145">
        <v>18</v>
      </c>
      <c r="N197" s="145">
        <v>0</v>
      </c>
      <c r="O197" s="145">
        <v>23</v>
      </c>
      <c r="P197" s="145"/>
      <c r="Q197" s="145">
        <v>24</v>
      </c>
      <c r="R197" s="145">
        <v>20</v>
      </c>
      <c r="S197" s="145"/>
      <c r="T197" s="145"/>
      <c r="U197" s="145">
        <v>22</v>
      </c>
      <c r="V197" s="145">
        <v>18</v>
      </c>
      <c r="W197" s="145">
        <v>0</v>
      </c>
      <c r="X197" s="145"/>
      <c r="Y197" s="145"/>
      <c r="Z197" s="145"/>
      <c r="AA197" s="145">
        <v>16</v>
      </c>
      <c r="AB197" s="145">
        <v>19</v>
      </c>
      <c r="AC197" s="145">
        <v>18</v>
      </c>
      <c r="AD197" s="145">
        <v>18</v>
      </c>
      <c r="AE197" s="145">
        <v>24</v>
      </c>
      <c r="AF197" s="145">
        <v>16</v>
      </c>
      <c r="AG197" s="145"/>
      <c r="AH197" s="15">
        <f t="shared" si="9"/>
        <v>0</v>
      </c>
      <c r="AI197" s="15">
        <f t="shared" ref="AI197:AI260" si="10">COUNTBLANK(I197:AG197)</f>
        <v>10</v>
      </c>
      <c r="AJ197" s="15">
        <f t="shared" ref="AJ197:AJ260" si="11">SUM(AH197:AI197)</f>
        <v>10</v>
      </c>
    </row>
    <row r="198" spans="2:36">
      <c r="B198" s="124"/>
      <c r="C198" s="125">
        <v>195</v>
      </c>
      <c r="D198" s="144">
        <v>7654552.1149127427</v>
      </c>
      <c r="E198" s="144">
        <v>4514597.2261286797</v>
      </c>
      <c r="F198" s="144">
        <v>0</v>
      </c>
      <c r="G198" s="144">
        <v>0</v>
      </c>
      <c r="H198" s="144">
        <v>610403.85635248246</v>
      </c>
      <c r="I198" s="145">
        <v>0</v>
      </c>
      <c r="J198" s="145"/>
      <c r="K198" s="145"/>
      <c r="L198" s="145"/>
      <c r="M198" s="145">
        <v>18</v>
      </c>
      <c r="N198" s="145">
        <v>18</v>
      </c>
      <c r="O198" s="145">
        <v>23</v>
      </c>
      <c r="P198" s="145"/>
      <c r="Q198" s="145">
        <v>24</v>
      </c>
      <c r="R198" s="145">
        <v>0</v>
      </c>
      <c r="S198" s="145"/>
      <c r="T198" s="145"/>
      <c r="U198" s="145">
        <v>22</v>
      </c>
      <c r="V198" s="145">
        <v>0</v>
      </c>
      <c r="W198" s="145">
        <v>23</v>
      </c>
      <c r="X198" s="145"/>
      <c r="Y198" s="145"/>
      <c r="Z198" s="145"/>
      <c r="AA198" s="145">
        <v>0</v>
      </c>
      <c r="AB198" s="145">
        <v>19</v>
      </c>
      <c r="AC198" s="145">
        <v>18</v>
      </c>
      <c r="AD198" s="145">
        <v>0</v>
      </c>
      <c r="AE198" s="145">
        <v>24</v>
      </c>
      <c r="AF198" s="145">
        <v>16</v>
      </c>
      <c r="AG198" s="145"/>
      <c r="AH198" s="15">
        <f t="shared" si="9"/>
        <v>0</v>
      </c>
      <c r="AI198" s="15">
        <f t="shared" si="10"/>
        <v>10</v>
      </c>
      <c r="AJ198" s="15">
        <f t="shared" si="11"/>
        <v>10</v>
      </c>
    </row>
    <row r="199" spans="2:36">
      <c r="B199" s="124"/>
      <c r="C199" s="125">
        <v>196</v>
      </c>
      <c r="D199" s="144">
        <v>8774630.5655370466</v>
      </c>
      <c r="E199" s="144">
        <v>5164613.3962571183</v>
      </c>
      <c r="F199" s="144">
        <v>0</v>
      </c>
      <c r="G199" s="144">
        <v>0</v>
      </c>
      <c r="H199" s="144">
        <v>610403.85635248246</v>
      </c>
      <c r="I199" s="145">
        <v>18</v>
      </c>
      <c r="J199" s="145"/>
      <c r="K199" s="145"/>
      <c r="L199" s="145"/>
      <c r="M199" s="145">
        <v>18</v>
      </c>
      <c r="N199" s="145">
        <v>18</v>
      </c>
      <c r="O199" s="145">
        <v>23</v>
      </c>
      <c r="P199" s="145"/>
      <c r="Q199" s="145">
        <v>24</v>
      </c>
      <c r="R199" s="145">
        <v>0</v>
      </c>
      <c r="S199" s="145"/>
      <c r="T199" s="145"/>
      <c r="U199" s="145">
        <v>22</v>
      </c>
      <c r="V199" s="145">
        <v>0</v>
      </c>
      <c r="W199" s="145">
        <v>23</v>
      </c>
      <c r="X199" s="145"/>
      <c r="Y199" s="145"/>
      <c r="Z199" s="145"/>
      <c r="AA199" s="145">
        <v>0</v>
      </c>
      <c r="AB199" s="145">
        <v>19</v>
      </c>
      <c r="AC199" s="145">
        <v>18</v>
      </c>
      <c r="AD199" s="145">
        <v>0</v>
      </c>
      <c r="AE199" s="145">
        <v>24</v>
      </c>
      <c r="AF199" s="145">
        <v>16</v>
      </c>
      <c r="AG199" s="145"/>
      <c r="AH199" s="15">
        <f t="shared" si="9"/>
        <v>0</v>
      </c>
      <c r="AI199" s="15">
        <f t="shared" si="10"/>
        <v>10</v>
      </c>
      <c r="AJ199" s="15">
        <f t="shared" si="11"/>
        <v>10</v>
      </c>
    </row>
    <row r="200" spans="2:36">
      <c r="B200" s="124"/>
      <c r="C200" s="125">
        <v>197</v>
      </c>
      <c r="D200" s="144">
        <v>8249841.0740662459</v>
      </c>
      <c r="E200" s="144">
        <v>4872691.7584867133</v>
      </c>
      <c r="F200" s="144">
        <v>0</v>
      </c>
      <c r="G200" s="144">
        <v>0</v>
      </c>
      <c r="H200" s="144">
        <v>610403.85635248246</v>
      </c>
      <c r="I200" s="145">
        <v>18</v>
      </c>
      <c r="J200" s="145"/>
      <c r="K200" s="145"/>
      <c r="L200" s="145"/>
      <c r="M200" s="145">
        <v>0</v>
      </c>
      <c r="N200" s="145">
        <v>18</v>
      </c>
      <c r="O200" s="145">
        <v>23</v>
      </c>
      <c r="P200" s="145"/>
      <c r="Q200" s="145">
        <v>0</v>
      </c>
      <c r="R200" s="145">
        <v>0</v>
      </c>
      <c r="S200" s="145"/>
      <c r="T200" s="145"/>
      <c r="U200" s="145">
        <v>22</v>
      </c>
      <c r="V200" s="145">
        <v>19</v>
      </c>
      <c r="W200" s="145">
        <v>23</v>
      </c>
      <c r="X200" s="145"/>
      <c r="Y200" s="145"/>
      <c r="Z200" s="145"/>
      <c r="AA200" s="145">
        <v>17</v>
      </c>
      <c r="AB200" s="145">
        <v>19</v>
      </c>
      <c r="AC200" s="145">
        <v>18</v>
      </c>
      <c r="AD200" s="145">
        <v>0</v>
      </c>
      <c r="AE200" s="145">
        <v>0</v>
      </c>
      <c r="AF200" s="145">
        <v>16</v>
      </c>
      <c r="AG200" s="145"/>
      <c r="AH200" s="15">
        <f t="shared" si="9"/>
        <v>0</v>
      </c>
      <c r="AI200" s="15">
        <f t="shared" si="10"/>
        <v>10</v>
      </c>
      <c r="AJ200" s="15">
        <f t="shared" si="11"/>
        <v>10</v>
      </c>
    </row>
    <row r="201" spans="2:36">
      <c r="B201" s="124"/>
      <c r="C201" s="125">
        <v>198</v>
      </c>
      <c r="D201" s="144">
        <v>9197909.4825394731</v>
      </c>
      <c r="E201" s="144">
        <v>5410681.512883882</v>
      </c>
      <c r="F201" s="144">
        <v>0</v>
      </c>
      <c r="G201" s="144">
        <v>0</v>
      </c>
      <c r="H201" s="144">
        <v>610403.85635248246</v>
      </c>
      <c r="I201" s="145">
        <v>18</v>
      </c>
      <c r="J201" s="145"/>
      <c r="K201" s="145"/>
      <c r="L201" s="145"/>
      <c r="M201" s="145">
        <v>0</v>
      </c>
      <c r="N201" s="145">
        <v>18</v>
      </c>
      <c r="O201" s="145">
        <v>23</v>
      </c>
      <c r="P201" s="145"/>
      <c r="Q201" s="145">
        <v>25</v>
      </c>
      <c r="R201" s="145">
        <v>21</v>
      </c>
      <c r="S201" s="145"/>
      <c r="T201" s="145"/>
      <c r="U201" s="145">
        <v>22</v>
      </c>
      <c r="V201" s="145">
        <v>0</v>
      </c>
      <c r="W201" s="145">
        <v>23</v>
      </c>
      <c r="X201" s="145"/>
      <c r="Y201" s="145"/>
      <c r="Z201" s="145"/>
      <c r="AA201" s="145">
        <v>17</v>
      </c>
      <c r="AB201" s="145">
        <v>19</v>
      </c>
      <c r="AC201" s="145">
        <v>18</v>
      </c>
      <c r="AD201" s="145">
        <v>19</v>
      </c>
      <c r="AE201" s="145">
        <v>0</v>
      </c>
      <c r="AF201" s="145">
        <v>0</v>
      </c>
      <c r="AG201" s="145"/>
      <c r="AH201" s="15">
        <f t="shared" si="9"/>
        <v>0</v>
      </c>
      <c r="AI201" s="15">
        <f t="shared" si="10"/>
        <v>10</v>
      </c>
      <c r="AJ201" s="15">
        <f t="shared" si="11"/>
        <v>10</v>
      </c>
    </row>
    <row r="202" spans="2:36">
      <c r="B202" s="124"/>
      <c r="C202" s="125">
        <v>199</v>
      </c>
      <c r="D202" s="144">
        <v>9001974.047067754</v>
      </c>
      <c r="E202" s="144">
        <v>5317691.0884896405</v>
      </c>
      <c r="F202" s="144">
        <v>0</v>
      </c>
      <c r="G202" s="144">
        <v>0</v>
      </c>
      <c r="H202" s="144">
        <v>610403.85635248246</v>
      </c>
      <c r="I202" s="145">
        <v>18</v>
      </c>
      <c r="J202" s="145"/>
      <c r="K202" s="145"/>
      <c r="L202" s="145"/>
      <c r="M202" s="145">
        <v>19</v>
      </c>
      <c r="N202" s="145">
        <v>18</v>
      </c>
      <c r="O202" s="145">
        <v>0</v>
      </c>
      <c r="P202" s="145"/>
      <c r="Q202" s="145">
        <v>25</v>
      </c>
      <c r="R202" s="145">
        <v>21</v>
      </c>
      <c r="S202" s="145"/>
      <c r="T202" s="145"/>
      <c r="U202" s="145">
        <v>22</v>
      </c>
      <c r="V202" s="145">
        <v>20</v>
      </c>
      <c r="W202" s="145">
        <v>0</v>
      </c>
      <c r="X202" s="145"/>
      <c r="Y202" s="145"/>
      <c r="Z202" s="145"/>
      <c r="AA202" s="145">
        <v>17</v>
      </c>
      <c r="AB202" s="145">
        <v>19</v>
      </c>
      <c r="AC202" s="145">
        <v>0</v>
      </c>
      <c r="AD202" s="145">
        <v>19</v>
      </c>
      <c r="AE202" s="145">
        <v>25</v>
      </c>
      <c r="AF202" s="145">
        <v>0</v>
      </c>
      <c r="AG202" s="145"/>
      <c r="AH202" s="15">
        <f t="shared" si="9"/>
        <v>0</v>
      </c>
      <c r="AI202" s="15">
        <f t="shared" si="10"/>
        <v>10</v>
      </c>
      <c r="AJ202" s="15">
        <f t="shared" si="11"/>
        <v>10</v>
      </c>
    </row>
    <row r="203" spans="2:36">
      <c r="B203" s="124"/>
      <c r="C203" s="125">
        <v>200</v>
      </c>
      <c r="D203" s="144">
        <v>8895599.4219894633</v>
      </c>
      <c r="E203" s="144">
        <v>5189163.4955384247</v>
      </c>
      <c r="F203" s="144">
        <v>0</v>
      </c>
      <c r="G203" s="144">
        <v>0</v>
      </c>
      <c r="H203" s="144">
        <v>610403.85635248246</v>
      </c>
      <c r="I203" s="145">
        <v>18</v>
      </c>
      <c r="J203" s="145"/>
      <c r="K203" s="145"/>
      <c r="L203" s="145"/>
      <c r="M203" s="145">
        <v>0</v>
      </c>
      <c r="N203" s="145">
        <v>18</v>
      </c>
      <c r="O203" s="145">
        <v>0</v>
      </c>
      <c r="P203" s="145"/>
      <c r="Q203" s="145">
        <v>25</v>
      </c>
      <c r="R203" s="145">
        <v>21</v>
      </c>
      <c r="S203" s="145"/>
      <c r="T203" s="145"/>
      <c r="U203" s="145">
        <v>22</v>
      </c>
      <c r="V203" s="145">
        <v>20</v>
      </c>
      <c r="W203" s="145">
        <v>0</v>
      </c>
      <c r="X203" s="145"/>
      <c r="Y203" s="145"/>
      <c r="Z203" s="145"/>
      <c r="AA203" s="145">
        <v>17</v>
      </c>
      <c r="AB203" s="145">
        <v>19</v>
      </c>
      <c r="AC203" s="145">
        <v>0</v>
      </c>
      <c r="AD203" s="145">
        <v>19</v>
      </c>
      <c r="AE203" s="145">
        <v>25</v>
      </c>
      <c r="AF203" s="145">
        <v>17</v>
      </c>
      <c r="AG203" s="145"/>
      <c r="AH203" s="15">
        <f t="shared" si="9"/>
        <v>0</v>
      </c>
      <c r="AI203" s="15">
        <f t="shared" si="10"/>
        <v>10</v>
      </c>
      <c r="AJ203" s="15">
        <f t="shared" si="11"/>
        <v>10</v>
      </c>
    </row>
    <row r="204" spans="2:36">
      <c r="B204" s="124"/>
      <c r="C204" s="125">
        <v>201</v>
      </c>
      <c r="D204" s="144">
        <v>11596004.587531267</v>
      </c>
      <c r="E204" s="144">
        <v>6822529.5801287014</v>
      </c>
      <c r="F204" s="144">
        <v>0</v>
      </c>
      <c r="G204" s="144">
        <v>0</v>
      </c>
      <c r="H204" s="144">
        <v>610403.85635248246</v>
      </c>
      <c r="I204" s="145">
        <v>18</v>
      </c>
      <c r="J204" s="145"/>
      <c r="K204" s="145"/>
      <c r="L204" s="145"/>
      <c r="M204" s="145">
        <v>20</v>
      </c>
      <c r="N204" s="145">
        <v>0</v>
      </c>
      <c r="O204" s="145">
        <v>24</v>
      </c>
      <c r="P204" s="145"/>
      <c r="Q204" s="145">
        <v>25</v>
      </c>
      <c r="R204" s="145">
        <v>21</v>
      </c>
      <c r="S204" s="145"/>
      <c r="T204" s="145"/>
      <c r="U204" s="145">
        <v>22</v>
      </c>
      <c r="V204" s="145">
        <v>20</v>
      </c>
      <c r="W204" s="145">
        <v>24</v>
      </c>
      <c r="X204" s="145"/>
      <c r="Y204" s="145"/>
      <c r="Z204" s="145"/>
      <c r="AA204" s="145">
        <v>17</v>
      </c>
      <c r="AB204" s="145">
        <v>19</v>
      </c>
      <c r="AC204" s="145">
        <v>19</v>
      </c>
      <c r="AD204" s="145">
        <v>19</v>
      </c>
      <c r="AE204" s="145">
        <v>25</v>
      </c>
      <c r="AF204" s="145">
        <v>17</v>
      </c>
      <c r="AG204" s="145"/>
      <c r="AH204" s="15">
        <f t="shared" si="9"/>
        <v>0</v>
      </c>
      <c r="AI204" s="15">
        <f t="shared" si="10"/>
        <v>10</v>
      </c>
      <c r="AJ204" s="15">
        <f t="shared" si="11"/>
        <v>10</v>
      </c>
    </row>
    <row r="205" spans="2:36">
      <c r="B205" s="124"/>
      <c r="C205" s="125">
        <v>202</v>
      </c>
      <c r="D205" s="144">
        <v>10953756.754439421</v>
      </c>
      <c r="E205" s="144">
        <v>6498024.6525905635</v>
      </c>
      <c r="F205" s="144">
        <v>0</v>
      </c>
      <c r="G205" s="144">
        <v>0</v>
      </c>
      <c r="H205" s="144">
        <v>610403.85635248246</v>
      </c>
      <c r="I205" s="145">
        <v>0</v>
      </c>
      <c r="J205" s="145"/>
      <c r="K205" s="145"/>
      <c r="L205" s="145"/>
      <c r="M205" s="145">
        <v>20</v>
      </c>
      <c r="N205" s="145">
        <v>19</v>
      </c>
      <c r="O205" s="145">
        <v>24</v>
      </c>
      <c r="P205" s="145"/>
      <c r="Q205" s="145">
        <v>25</v>
      </c>
      <c r="R205" s="145">
        <v>21</v>
      </c>
      <c r="S205" s="145"/>
      <c r="T205" s="145"/>
      <c r="U205" s="145">
        <v>0</v>
      </c>
      <c r="V205" s="145">
        <v>20</v>
      </c>
      <c r="W205" s="145">
        <v>24</v>
      </c>
      <c r="X205" s="145"/>
      <c r="Y205" s="145"/>
      <c r="Z205" s="145"/>
      <c r="AA205" s="145">
        <v>17</v>
      </c>
      <c r="AB205" s="145">
        <v>19</v>
      </c>
      <c r="AC205" s="145">
        <v>19</v>
      </c>
      <c r="AD205" s="145">
        <v>19</v>
      </c>
      <c r="AE205" s="145">
        <v>25</v>
      </c>
      <c r="AF205" s="145">
        <v>17</v>
      </c>
      <c r="AG205" s="145"/>
      <c r="AH205" s="15">
        <f t="shared" si="9"/>
        <v>0</v>
      </c>
      <c r="AI205" s="15">
        <f t="shared" si="10"/>
        <v>10</v>
      </c>
      <c r="AJ205" s="15">
        <f t="shared" si="11"/>
        <v>10</v>
      </c>
    </row>
    <row r="206" spans="2:36">
      <c r="B206" s="124"/>
      <c r="C206" s="125">
        <v>203</v>
      </c>
      <c r="D206" s="144">
        <v>10868416.70896071</v>
      </c>
      <c r="E206" s="144">
        <v>6331452.392889441</v>
      </c>
      <c r="F206" s="144">
        <v>0</v>
      </c>
      <c r="G206" s="144">
        <v>0</v>
      </c>
      <c r="H206" s="144">
        <v>610403.85635248246</v>
      </c>
      <c r="I206" s="145">
        <v>19</v>
      </c>
      <c r="J206" s="145"/>
      <c r="K206" s="145"/>
      <c r="L206" s="145"/>
      <c r="M206" s="145">
        <v>20</v>
      </c>
      <c r="N206" s="145">
        <v>19</v>
      </c>
      <c r="O206" s="145">
        <v>24</v>
      </c>
      <c r="P206" s="145"/>
      <c r="Q206" s="145">
        <v>25</v>
      </c>
      <c r="R206" s="145">
        <v>0</v>
      </c>
      <c r="S206" s="145"/>
      <c r="T206" s="145"/>
      <c r="U206" s="145">
        <v>0</v>
      </c>
      <c r="V206" s="145">
        <v>20</v>
      </c>
      <c r="W206" s="145">
        <v>24</v>
      </c>
      <c r="X206" s="145"/>
      <c r="Y206" s="145"/>
      <c r="Z206" s="145"/>
      <c r="AA206" s="145">
        <v>17</v>
      </c>
      <c r="AB206" s="145">
        <v>19</v>
      </c>
      <c r="AC206" s="145">
        <v>19</v>
      </c>
      <c r="AD206" s="145">
        <v>19</v>
      </c>
      <c r="AE206" s="145">
        <v>25</v>
      </c>
      <c r="AF206" s="145">
        <v>17</v>
      </c>
      <c r="AG206" s="145"/>
      <c r="AH206" s="15">
        <f t="shared" si="9"/>
        <v>0</v>
      </c>
      <c r="AI206" s="15">
        <f t="shared" si="10"/>
        <v>10</v>
      </c>
      <c r="AJ206" s="15">
        <f t="shared" si="11"/>
        <v>10</v>
      </c>
    </row>
    <row r="207" spans="2:36">
      <c r="B207" s="124"/>
      <c r="C207" s="125">
        <v>204</v>
      </c>
      <c r="D207" s="144">
        <v>5229251.2555633914</v>
      </c>
      <c r="E207" s="144">
        <v>3082794.2963172002</v>
      </c>
      <c r="F207" s="144">
        <v>23489937.257852972</v>
      </c>
      <c r="G207" s="144">
        <v>0</v>
      </c>
      <c r="H207" s="144">
        <v>445039.2730191492</v>
      </c>
      <c r="I207" s="145">
        <v>19</v>
      </c>
      <c r="J207" s="145"/>
      <c r="K207" s="145"/>
      <c r="L207" s="145"/>
      <c r="M207" s="145"/>
      <c r="N207" s="145">
        <v>0</v>
      </c>
      <c r="O207" s="145">
        <v>24</v>
      </c>
      <c r="P207" s="145"/>
      <c r="Q207" s="145">
        <v>0</v>
      </c>
      <c r="R207" s="145">
        <v>22</v>
      </c>
      <c r="S207" s="145"/>
      <c r="T207" s="145"/>
      <c r="U207" s="145">
        <v>0</v>
      </c>
      <c r="V207" s="145"/>
      <c r="W207" s="145">
        <v>24</v>
      </c>
      <c r="X207" s="145"/>
      <c r="Y207" s="145"/>
      <c r="Z207" s="145"/>
      <c r="AA207" s="145">
        <v>17</v>
      </c>
      <c r="AB207" s="145"/>
      <c r="AC207" s="145">
        <v>19</v>
      </c>
      <c r="AD207" s="145">
        <v>19</v>
      </c>
      <c r="AE207" s="145">
        <v>0</v>
      </c>
      <c r="AF207" s="145"/>
      <c r="AG207" s="145"/>
      <c r="AH207" s="15">
        <f t="shared" si="9"/>
        <v>0</v>
      </c>
      <c r="AI207" s="15">
        <f t="shared" si="10"/>
        <v>14</v>
      </c>
      <c r="AJ207" s="15">
        <f t="shared" si="11"/>
        <v>14</v>
      </c>
    </row>
    <row r="208" spans="2:36">
      <c r="B208" s="124"/>
      <c r="C208" s="125">
        <v>205</v>
      </c>
      <c r="D208" s="144">
        <v>5209853.1010508798</v>
      </c>
      <c r="E208" s="144">
        <v>3074319.1011909312</v>
      </c>
      <c r="F208" s="144">
        <v>0</v>
      </c>
      <c r="G208" s="144">
        <v>0</v>
      </c>
      <c r="H208" s="144">
        <v>445039.2730191492</v>
      </c>
      <c r="I208" s="145">
        <v>19</v>
      </c>
      <c r="J208" s="145"/>
      <c r="K208" s="145"/>
      <c r="L208" s="145"/>
      <c r="M208" s="145"/>
      <c r="N208" s="145">
        <v>0</v>
      </c>
      <c r="O208" s="145">
        <v>24</v>
      </c>
      <c r="P208" s="145"/>
      <c r="Q208" s="145">
        <v>0</v>
      </c>
      <c r="R208" s="145">
        <v>22</v>
      </c>
      <c r="S208" s="145"/>
      <c r="T208" s="145"/>
      <c r="U208" s="145">
        <v>23</v>
      </c>
      <c r="V208" s="145"/>
      <c r="W208" s="145">
        <v>24</v>
      </c>
      <c r="X208" s="145"/>
      <c r="Y208" s="145"/>
      <c r="Z208" s="145"/>
      <c r="AA208" s="145">
        <v>17</v>
      </c>
      <c r="AB208" s="145"/>
      <c r="AC208" s="145">
        <v>19</v>
      </c>
      <c r="AD208" s="145">
        <v>0</v>
      </c>
      <c r="AE208" s="145">
        <v>0</v>
      </c>
      <c r="AF208" s="145"/>
      <c r="AG208" s="145"/>
      <c r="AH208" s="15">
        <f t="shared" si="9"/>
        <v>0</v>
      </c>
      <c r="AI208" s="15">
        <f t="shared" si="10"/>
        <v>14</v>
      </c>
      <c r="AJ208" s="15">
        <f t="shared" si="11"/>
        <v>14</v>
      </c>
    </row>
    <row r="209" spans="2:36">
      <c r="B209" s="124"/>
      <c r="C209" s="125">
        <v>206</v>
      </c>
      <c r="D209" s="144">
        <v>6726308.0662846677</v>
      </c>
      <c r="E209" s="144">
        <v>3961299.6018705694</v>
      </c>
      <c r="F209" s="144">
        <v>0</v>
      </c>
      <c r="G209" s="144">
        <v>0</v>
      </c>
      <c r="H209" s="144">
        <v>445039.2730191492</v>
      </c>
      <c r="I209" s="145">
        <v>19</v>
      </c>
      <c r="J209" s="145"/>
      <c r="K209" s="145"/>
      <c r="L209" s="145"/>
      <c r="M209" s="145"/>
      <c r="N209" s="145">
        <v>0</v>
      </c>
      <c r="O209" s="145">
        <v>24</v>
      </c>
      <c r="P209" s="145"/>
      <c r="Q209" s="145">
        <v>26</v>
      </c>
      <c r="R209" s="145">
        <v>22</v>
      </c>
      <c r="S209" s="145"/>
      <c r="T209" s="145"/>
      <c r="U209" s="145">
        <v>23</v>
      </c>
      <c r="V209" s="145"/>
      <c r="W209" s="145">
        <v>24</v>
      </c>
      <c r="X209" s="145"/>
      <c r="Y209" s="145"/>
      <c r="Z209" s="145"/>
      <c r="AA209" s="145">
        <v>17</v>
      </c>
      <c r="AB209" s="145"/>
      <c r="AC209" s="145">
        <v>19</v>
      </c>
      <c r="AD209" s="145">
        <v>0</v>
      </c>
      <c r="AE209" s="145">
        <v>26</v>
      </c>
      <c r="AF209" s="145"/>
      <c r="AG209" s="145"/>
      <c r="AH209" s="15">
        <f t="shared" si="9"/>
        <v>0</v>
      </c>
      <c r="AI209" s="15">
        <f t="shared" si="10"/>
        <v>14</v>
      </c>
      <c r="AJ209" s="15">
        <f t="shared" si="11"/>
        <v>14</v>
      </c>
    </row>
    <row r="210" spans="2:36">
      <c r="B210" s="124"/>
      <c r="C210" s="125">
        <v>207</v>
      </c>
      <c r="D210" s="144">
        <v>7068223.5984639525</v>
      </c>
      <c r="E210" s="144">
        <v>4189226.7678480577</v>
      </c>
      <c r="F210" s="144">
        <v>0</v>
      </c>
      <c r="G210" s="144">
        <v>0</v>
      </c>
      <c r="H210" s="144">
        <v>445039.2730191492</v>
      </c>
      <c r="I210" s="145">
        <v>19</v>
      </c>
      <c r="J210" s="145"/>
      <c r="K210" s="145"/>
      <c r="L210" s="145"/>
      <c r="M210" s="145"/>
      <c r="N210" s="145">
        <v>20</v>
      </c>
      <c r="O210" s="145">
        <v>24</v>
      </c>
      <c r="P210" s="145"/>
      <c r="Q210" s="145">
        <v>26</v>
      </c>
      <c r="R210" s="145">
        <v>22</v>
      </c>
      <c r="S210" s="145"/>
      <c r="T210" s="145"/>
      <c r="U210" s="145">
        <v>23</v>
      </c>
      <c r="V210" s="145"/>
      <c r="W210" s="145">
        <v>24</v>
      </c>
      <c r="X210" s="145"/>
      <c r="Y210" s="145"/>
      <c r="Z210" s="145"/>
      <c r="AA210" s="145">
        <v>0</v>
      </c>
      <c r="AB210" s="145"/>
      <c r="AC210" s="145">
        <v>0</v>
      </c>
      <c r="AD210" s="145">
        <v>20</v>
      </c>
      <c r="AE210" s="145">
        <v>26</v>
      </c>
      <c r="AF210" s="145"/>
      <c r="AG210" s="145"/>
      <c r="AH210" s="15">
        <f t="shared" si="9"/>
        <v>0</v>
      </c>
      <c r="AI210" s="15">
        <f t="shared" si="10"/>
        <v>14</v>
      </c>
      <c r="AJ210" s="15">
        <f t="shared" si="11"/>
        <v>14</v>
      </c>
    </row>
    <row r="211" spans="2:36">
      <c r="B211" s="124"/>
      <c r="C211" s="125">
        <v>208</v>
      </c>
      <c r="D211" s="144">
        <v>5564759.5418370189</v>
      </c>
      <c r="E211" s="144">
        <v>3268846.0600632168</v>
      </c>
      <c r="F211" s="144">
        <v>0</v>
      </c>
      <c r="G211" s="144">
        <v>0</v>
      </c>
      <c r="H211" s="144">
        <v>445039.2730191492</v>
      </c>
      <c r="I211" s="145">
        <v>19</v>
      </c>
      <c r="J211" s="145"/>
      <c r="K211" s="145"/>
      <c r="L211" s="145"/>
      <c r="M211" s="145"/>
      <c r="N211" s="145">
        <v>20</v>
      </c>
      <c r="O211" s="145">
        <v>0</v>
      </c>
      <c r="P211" s="145"/>
      <c r="Q211" s="145">
        <v>26</v>
      </c>
      <c r="R211" s="145">
        <v>22</v>
      </c>
      <c r="S211" s="145"/>
      <c r="T211" s="145"/>
      <c r="U211" s="145">
        <v>23</v>
      </c>
      <c r="V211" s="145"/>
      <c r="W211" s="145">
        <v>0</v>
      </c>
      <c r="X211" s="145"/>
      <c r="Y211" s="145"/>
      <c r="Z211" s="145"/>
      <c r="AA211" s="145">
        <v>18</v>
      </c>
      <c r="AB211" s="145"/>
      <c r="AC211" s="145">
        <v>0</v>
      </c>
      <c r="AD211" s="145">
        <v>20</v>
      </c>
      <c r="AE211" s="145">
        <v>0</v>
      </c>
      <c r="AF211" s="145"/>
      <c r="AG211" s="145"/>
      <c r="AH211" s="15">
        <f t="shared" si="9"/>
        <v>0</v>
      </c>
      <c r="AI211" s="15">
        <f t="shared" si="10"/>
        <v>14</v>
      </c>
      <c r="AJ211" s="15">
        <f t="shared" si="11"/>
        <v>14</v>
      </c>
    </row>
    <row r="212" spans="2:36">
      <c r="B212" s="124"/>
      <c r="C212" s="125">
        <v>209</v>
      </c>
      <c r="D212" s="144">
        <v>5564759.5418370189</v>
      </c>
      <c r="E212" s="144">
        <v>3308694.8230560105</v>
      </c>
      <c r="F212" s="144">
        <v>0</v>
      </c>
      <c r="G212" s="144">
        <v>0</v>
      </c>
      <c r="H212" s="144">
        <v>445039.2730191492</v>
      </c>
      <c r="I212" s="145">
        <v>19</v>
      </c>
      <c r="J212" s="145"/>
      <c r="K212" s="145"/>
      <c r="L212" s="145"/>
      <c r="M212" s="145"/>
      <c r="N212" s="145">
        <v>20</v>
      </c>
      <c r="O212" s="145">
        <v>0</v>
      </c>
      <c r="P212" s="145"/>
      <c r="Q212" s="145">
        <v>26</v>
      </c>
      <c r="R212" s="145">
        <v>22</v>
      </c>
      <c r="S212" s="145"/>
      <c r="T212" s="145"/>
      <c r="U212" s="145">
        <v>23</v>
      </c>
      <c r="V212" s="145"/>
      <c r="W212" s="145">
        <v>0</v>
      </c>
      <c r="X212" s="145"/>
      <c r="Y212" s="145"/>
      <c r="Z212" s="145"/>
      <c r="AA212" s="145">
        <v>18</v>
      </c>
      <c r="AB212" s="145"/>
      <c r="AC212" s="145">
        <v>0</v>
      </c>
      <c r="AD212" s="145">
        <v>20</v>
      </c>
      <c r="AE212" s="145">
        <v>0</v>
      </c>
      <c r="AF212" s="145"/>
      <c r="AG212" s="145"/>
      <c r="AH212" s="15">
        <f t="shared" si="9"/>
        <v>0</v>
      </c>
      <c r="AI212" s="15">
        <f t="shared" si="10"/>
        <v>14</v>
      </c>
      <c r="AJ212" s="15">
        <f t="shared" si="11"/>
        <v>14</v>
      </c>
    </row>
    <row r="213" spans="2:36">
      <c r="B213" s="124"/>
      <c r="C213" s="125">
        <v>210</v>
      </c>
      <c r="D213" s="144">
        <v>7863955.6456103018</v>
      </c>
      <c r="E213" s="144">
        <v>4638350.2239070674</v>
      </c>
      <c r="F213" s="144">
        <v>0</v>
      </c>
      <c r="G213" s="144">
        <v>0</v>
      </c>
      <c r="H213" s="144">
        <v>445039.2730191492</v>
      </c>
      <c r="I213" s="145">
        <v>0</v>
      </c>
      <c r="J213" s="145"/>
      <c r="K213" s="145"/>
      <c r="L213" s="145"/>
      <c r="M213" s="145"/>
      <c r="N213" s="145">
        <v>20</v>
      </c>
      <c r="O213" s="145">
        <v>25</v>
      </c>
      <c r="P213" s="145"/>
      <c r="Q213" s="145">
        <v>26</v>
      </c>
      <c r="R213" s="145">
        <v>22</v>
      </c>
      <c r="S213" s="145"/>
      <c r="T213" s="145"/>
      <c r="U213" s="145">
        <v>23</v>
      </c>
      <c r="V213" s="145"/>
      <c r="W213" s="145">
        <v>25</v>
      </c>
      <c r="X213" s="145"/>
      <c r="Y213" s="145"/>
      <c r="Z213" s="145"/>
      <c r="AA213" s="145">
        <v>18</v>
      </c>
      <c r="AB213" s="145"/>
      <c r="AC213" s="145">
        <v>20</v>
      </c>
      <c r="AD213" s="145">
        <v>20</v>
      </c>
      <c r="AE213" s="145">
        <v>27</v>
      </c>
      <c r="AF213" s="145"/>
      <c r="AG213" s="145"/>
      <c r="AH213" s="15">
        <f t="shared" si="9"/>
        <v>0</v>
      </c>
      <c r="AI213" s="15">
        <f t="shared" si="10"/>
        <v>14</v>
      </c>
      <c r="AJ213" s="15">
        <f t="shared" si="11"/>
        <v>14</v>
      </c>
    </row>
    <row r="214" spans="2:36">
      <c r="B214" s="124"/>
      <c r="C214" s="125">
        <v>211</v>
      </c>
      <c r="D214" s="144">
        <v>6329834.8957601469</v>
      </c>
      <c r="E214" s="144">
        <v>3684055.1169138146</v>
      </c>
      <c r="F214" s="144">
        <v>0</v>
      </c>
      <c r="G214" s="144">
        <v>0</v>
      </c>
      <c r="H214" s="144">
        <v>445039.2730191492</v>
      </c>
      <c r="I214" s="145">
        <v>0</v>
      </c>
      <c r="J214" s="145"/>
      <c r="K214" s="145"/>
      <c r="L214" s="145"/>
      <c r="M214" s="145"/>
      <c r="N214" s="145">
        <v>20</v>
      </c>
      <c r="O214" s="145">
        <v>25</v>
      </c>
      <c r="P214" s="145"/>
      <c r="Q214" s="145">
        <v>26</v>
      </c>
      <c r="R214" s="145">
        <v>22</v>
      </c>
      <c r="S214" s="145"/>
      <c r="T214" s="145"/>
      <c r="U214" s="145">
        <v>23</v>
      </c>
      <c r="V214" s="145"/>
      <c r="W214" s="145">
        <v>25</v>
      </c>
      <c r="X214" s="145"/>
      <c r="Y214" s="145"/>
      <c r="Z214" s="145"/>
      <c r="AA214" s="145">
        <v>18</v>
      </c>
      <c r="AB214" s="145"/>
      <c r="AC214" s="145">
        <v>20</v>
      </c>
      <c r="AD214" s="145">
        <v>0</v>
      </c>
      <c r="AE214" s="145">
        <v>0</v>
      </c>
      <c r="AF214" s="145"/>
      <c r="AG214" s="145"/>
      <c r="AH214" s="15">
        <f t="shared" si="9"/>
        <v>0</v>
      </c>
      <c r="AI214" s="15">
        <f t="shared" si="10"/>
        <v>14</v>
      </c>
      <c r="AJ214" s="15">
        <f t="shared" si="11"/>
        <v>14</v>
      </c>
    </row>
    <row r="215" spans="2:36">
      <c r="B215" s="124"/>
      <c r="C215" s="125">
        <v>212</v>
      </c>
      <c r="D215" s="144">
        <v>6602868.2489684839</v>
      </c>
      <c r="E215" s="144">
        <v>3875767.8540938133</v>
      </c>
      <c r="F215" s="144">
        <v>0</v>
      </c>
      <c r="G215" s="144">
        <v>0</v>
      </c>
      <c r="H215" s="144">
        <v>445039.2730191492</v>
      </c>
      <c r="I215" s="145">
        <v>20</v>
      </c>
      <c r="J215" s="145"/>
      <c r="K215" s="145"/>
      <c r="L215" s="145"/>
      <c r="M215" s="145"/>
      <c r="N215" s="145">
        <v>20</v>
      </c>
      <c r="O215" s="145">
        <v>25</v>
      </c>
      <c r="P215" s="145"/>
      <c r="Q215" s="145">
        <v>0</v>
      </c>
      <c r="R215" s="145">
        <v>22</v>
      </c>
      <c r="S215" s="145"/>
      <c r="T215" s="145"/>
      <c r="U215" s="145">
        <v>23</v>
      </c>
      <c r="V215" s="145"/>
      <c r="W215" s="145">
        <v>0</v>
      </c>
      <c r="X215" s="145"/>
      <c r="Y215" s="145"/>
      <c r="Z215" s="145"/>
      <c r="AA215" s="145">
        <v>18</v>
      </c>
      <c r="AB215" s="145"/>
      <c r="AC215" s="145">
        <v>20</v>
      </c>
      <c r="AD215" s="145">
        <v>0</v>
      </c>
      <c r="AE215" s="145">
        <v>28</v>
      </c>
      <c r="AF215" s="145"/>
      <c r="AG215" s="145"/>
      <c r="AH215" s="15">
        <f t="shared" si="9"/>
        <v>0</v>
      </c>
      <c r="AI215" s="15">
        <f t="shared" si="10"/>
        <v>14</v>
      </c>
      <c r="AJ215" s="15">
        <f t="shared" si="11"/>
        <v>14</v>
      </c>
    </row>
    <row r="216" spans="2:36">
      <c r="B216" s="124"/>
      <c r="C216" s="125">
        <v>213</v>
      </c>
      <c r="D216" s="144">
        <v>8239700.4535445394</v>
      </c>
      <c r="E216" s="144">
        <v>4801725.3792243488</v>
      </c>
      <c r="F216" s="144">
        <v>0</v>
      </c>
      <c r="G216" s="144">
        <v>0</v>
      </c>
      <c r="H216" s="144">
        <v>445039.2730191492</v>
      </c>
      <c r="I216" s="145">
        <v>20</v>
      </c>
      <c r="J216" s="145"/>
      <c r="K216" s="145"/>
      <c r="L216" s="145"/>
      <c r="M216" s="145"/>
      <c r="N216" s="145">
        <v>20</v>
      </c>
      <c r="O216" s="145">
        <v>25</v>
      </c>
      <c r="P216" s="145"/>
      <c r="Q216" s="145">
        <v>0</v>
      </c>
      <c r="R216" s="145">
        <v>22</v>
      </c>
      <c r="S216" s="145"/>
      <c r="T216" s="145"/>
      <c r="U216" s="145">
        <v>23</v>
      </c>
      <c r="V216" s="145"/>
      <c r="W216" s="145">
        <v>26</v>
      </c>
      <c r="X216" s="145"/>
      <c r="Y216" s="145"/>
      <c r="Z216" s="145"/>
      <c r="AA216" s="145">
        <v>18</v>
      </c>
      <c r="AB216" s="145"/>
      <c r="AC216" s="145">
        <v>20</v>
      </c>
      <c r="AD216" s="145">
        <v>21</v>
      </c>
      <c r="AE216" s="145">
        <v>28</v>
      </c>
      <c r="AF216" s="145"/>
      <c r="AG216" s="145"/>
      <c r="AH216" s="15">
        <f t="shared" si="9"/>
        <v>0</v>
      </c>
      <c r="AI216" s="15">
        <f t="shared" si="10"/>
        <v>14</v>
      </c>
      <c r="AJ216" s="15">
        <f t="shared" si="11"/>
        <v>14</v>
      </c>
    </row>
    <row r="217" spans="2:36">
      <c r="B217" s="124"/>
      <c r="C217" s="125">
        <v>214</v>
      </c>
      <c r="D217" s="144">
        <v>8229314.9457351668</v>
      </c>
      <c r="E217" s="144">
        <v>4811399.0906350184</v>
      </c>
      <c r="F217" s="144">
        <v>0</v>
      </c>
      <c r="G217" s="144">
        <v>0</v>
      </c>
      <c r="H217" s="144">
        <v>445039.2730191492</v>
      </c>
      <c r="I217" s="145">
        <v>20</v>
      </c>
      <c r="J217" s="145"/>
      <c r="K217" s="145"/>
      <c r="L217" s="145"/>
      <c r="M217" s="145"/>
      <c r="N217" s="145">
        <v>20</v>
      </c>
      <c r="O217" s="145">
        <v>25</v>
      </c>
      <c r="P217" s="145"/>
      <c r="Q217" s="145">
        <v>27</v>
      </c>
      <c r="R217" s="145">
        <v>0</v>
      </c>
      <c r="S217" s="145"/>
      <c r="T217" s="145"/>
      <c r="U217" s="145">
        <v>23</v>
      </c>
      <c r="V217" s="145"/>
      <c r="W217" s="145">
        <v>26</v>
      </c>
      <c r="X217" s="145"/>
      <c r="Y217" s="145"/>
      <c r="Z217" s="145"/>
      <c r="AA217" s="145">
        <v>18</v>
      </c>
      <c r="AB217" s="145"/>
      <c r="AC217" s="145">
        <v>20</v>
      </c>
      <c r="AD217" s="145">
        <v>21</v>
      </c>
      <c r="AE217" s="145">
        <v>28</v>
      </c>
      <c r="AF217" s="145"/>
      <c r="AG217" s="145"/>
      <c r="AH217" s="15">
        <f t="shared" si="9"/>
        <v>0</v>
      </c>
      <c r="AI217" s="15">
        <f t="shared" si="10"/>
        <v>14</v>
      </c>
      <c r="AJ217" s="15">
        <f t="shared" si="11"/>
        <v>14</v>
      </c>
    </row>
    <row r="218" spans="2:36">
      <c r="B218" s="124"/>
      <c r="C218" s="125">
        <v>215</v>
      </c>
      <c r="D218" s="144">
        <v>6429963.3135571051</v>
      </c>
      <c r="E218" s="144">
        <v>3756681.5628318661</v>
      </c>
      <c r="F218" s="144">
        <v>0</v>
      </c>
      <c r="G218" s="144">
        <v>0</v>
      </c>
      <c r="H218" s="144">
        <v>445039.2730191492</v>
      </c>
      <c r="I218" s="145">
        <v>20</v>
      </c>
      <c r="J218" s="145"/>
      <c r="K218" s="145"/>
      <c r="L218" s="145"/>
      <c r="M218" s="145"/>
      <c r="N218" s="145">
        <v>20</v>
      </c>
      <c r="O218" s="145">
        <v>25</v>
      </c>
      <c r="P218" s="145"/>
      <c r="Q218" s="145">
        <v>27</v>
      </c>
      <c r="R218" s="145">
        <v>0</v>
      </c>
      <c r="S218" s="145"/>
      <c r="T218" s="145"/>
      <c r="U218" s="145">
        <v>0</v>
      </c>
      <c r="V218" s="145"/>
      <c r="W218" s="145">
        <v>26</v>
      </c>
      <c r="X218" s="145"/>
      <c r="Y218" s="145"/>
      <c r="Z218" s="145"/>
      <c r="AA218" s="145">
        <v>18</v>
      </c>
      <c r="AB218" s="145"/>
      <c r="AC218" s="145">
        <v>0</v>
      </c>
      <c r="AD218" s="145">
        <v>21</v>
      </c>
      <c r="AE218" s="145">
        <v>28</v>
      </c>
      <c r="AF218" s="145"/>
      <c r="AG218" s="145"/>
      <c r="AH218" s="15">
        <f t="shared" si="9"/>
        <v>0</v>
      </c>
      <c r="AI218" s="15">
        <f t="shared" si="10"/>
        <v>14</v>
      </c>
      <c r="AJ218" s="15">
        <f t="shared" si="11"/>
        <v>14</v>
      </c>
    </row>
    <row r="219" spans="2:36">
      <c r="B219" s="124"/>
      <c r="C219" s="125">
        <v>216</v>
      </c>
      <c r="D219" s="144">
        <v>5813879.7964812089</v>
      </c>
      <c r="E219" s="144">
        <v>3436456.1723775333</v>
      </c>
      <c r="F219" s="144">
        <v>25795502.679140717</v>
      </c>
      <c r="G219" s="144">
        <v>0</v>
      </c>
      <c r="H219" s="144">
        <v>301656.9200779727</v>
      </c>
      <c r="I219" s="145">
        <v>20</v>
      </c>
      <c r="J219" s="145"/>
      <c r="K219" s="145"/>
      <c r="L219" s="145"/>
      <c r="M219" s="145"/>
      <c r="N219" s="145"/>
      <c r="O219" s="145">
        <v>0</v>
      </c>
      <c r="P219" s="145"/>
      <c r="Q219" s="145">
        <v>27</v>
      </c>
      <c r="R219" s="145">
        <v>23</v>
      </c>
      <c r="S219" s="145"/>
      <c r="T219" s="145"/>
      <c r="U219" s="145"/>
      <c r="V219" s="145"/>
      <c r="W219" s="145">
        <v>26</v>
      </c>
      <c r="X219" s="145"/>
      <c r="Y219" s="145"/>
      <c r="Z219" s="145"/>
      <c r="AA219" s="145"/>
      <c r="AB219" s="145"/>
      <c r="AC219" s="145">
        <v>21</v>
      </c>
      <c r="AD219" s="145">
        <v>21</v>
      </c>
      <c r="AE219" s="145">
        <v>28</v>
      </c>
      <c r="AF219" s="145"/>
      <c r="AG219" s="145"/>
      <c r="AH219" s="15">
        <f t="shared" si="9"/>
        <v>0</v>
      </c>
      <c r="AI219" s="15">
        <f t="shared" si="10"/>
        <v>17</v>
      </c>
      <c r="AJ219" s="15">
        <f t="shared" si="11"/>
        <v>17</v>
      </c>
    </row>
    <row r="220" spans="2:36">
      <c r="B220" s="124"/>
      <c r="C220" s="125">
        <v>217</v>
      </c>
      <c r="D220" s="144">
        <v>5076254.4754621312</v>
      </c>
      <c r="E220" s="144">
        <v>2999582.3983447975</v>
      </c>
      <c r="F220" s="144">
        <v>0</v>
      </c>
      <c r="G220" s="144">
        <v>0</v>
      </c>
      <c r="H220" s="144">
        <v>301656.9200779727</v>
      </c>
      <c r="I220" s="145">
        <v>20</v>
      </c>
      <c r="J220" s="145"/>
      <c r="K220" s="145"/>
      <c r="L220" s="145"/>
      <c r="M220" s="145"/>
      <c r="N220" s="145"/>
      <c r="O220" s="145">
        <v>0</v>
      </c>
      <c r="P220" s="145"/>
      <c r="Q220" s="145">
        <v>0</v>
      </c>
      <c r="R220" s="145">
        <v>23</v>
      </c>
      <c r="S220" s="145"/>
      <c r="T220" s="145"/>
      <c r="U220" s="145"/>
      <c r="V220" s="145"/>
      <c r="W220" s="145">
        <v>26</v>
      </c>
      <c r="X220" s="145"/>
      <c r="Y220" s="145"/>
      <c r="Z220" s="145"/>
      <c r="AA220" s="145"/>
      <c r="AB220" s="145"/>
      <c r="AC220" s="145">
        <v>21</v>
      </c>
      <c r="AD220" s="145">
        <v>21</v>
      </c>
      <c r="AE220" s="145">
        <v>28</v>
      </c>
      <c r="AF220" s="145"/>
      <c r="AG220" s="145"/>
      <c r="AH220" s="15">
        <f t="shared" si="9"/>
        <v>0</v>
      </c>
      <c r="AI220" s="15">
        <f t="shared" si="10"/>
        <v>17</v>
      </c>
      <c r="AJ220" s="15">
        <f t="shared" si="11"/>
        <v>17</v>
      </c>
    </row>
    <row r="221" spans="2:36">
      <c r="B221" s="124"/>
      <c r="C221" s="125">
        <v>218</v>
      </c>
      <c r="D221" s="144">
        <v>5076254.4754621312</v>
      </c>
      <c r="E221" s="144">
        <v>2999582.3983447975</v>
      </c>
      <c r="F221" s="144">
        <v>0</v>
      </c>
      <c r="G221" s="144">
        <v>0</v>
      </c>
      <c r="H221" s="144">
        <v>301656.9200779727</v>
      </c>
      <c r="I221" s="145">
        <v>20</v>
      </c>
      <c r="J221" s="145"/>
      <c r="K221" s="145"/>
      <c r="L221" s="145"/>
      <c r="M221" s="145"/>
      <c r="N221" s="145"/>
      <c r="O221" s="145">
        <v>0</v>
      </c>
      <c r="P221" s="145"/>
      <c r="Q221" s="145">
        <v>0</v>
      </c>
      <c r="R221" s="145">
        <v>23</v>
      </c>
      <c r="S221" s="145"/>
      <c r="T221" s="145"/>
      <c r="U221" s="145"/>
      <c r="V221" s="145"/>
      <c r="W221" s="145">
        <v>26</v>
      </c>
      <c r="X221" s="145"/>
      <c r="Y221" s="145"/>
      <c r="Z221" s="145"/>
      <c r="AA221" s="145"/>
      <c r="AB221" s="145"/>
      <c r="AC221" s="145">
        <v>21</v>
      </c>
      <c r="AD221" s="145">
        <v>21</v>
      </c>
      <c r="AE221" s="145">
        <v>28</v>
      </c>
      <c r="AF221" s="145"/>
      <c r="AG221" s="145"/>
      <c r="AH221" s="15">
        <f t="shared" si="9"/>
        <v>0</v>
      </c>
      <c r="AI221" s="15">
        <f t="shared" si="10"/>
        <v>17</v>
      </c>
      <c r="AJ221" s="15">
        <f t="shared" si="11"/>
        <v>17</v>
      </c>
    </row>
    <row r="222" spans="2:36">
      <c r="B222" s="124"/>
      <c r="C222" s="125">
        <v>219</v>
      </c>
      <c r="D222" s="144">
        <v>6975595.1839789404</v>
      </c>
      <c r="E222" s="144">
        <v>4136682.3472611429</v>
      </c>
      <c r="F222" s="144">
        <v>0</v>
      </c>
      <c r="G222" s="144">
        <v>0</v>
      </c>
      <c r="H222" s="144">
        <v>301656.9200779727</v>
      </c>
      <c r="I222" s="145">
        <v>20</v>
      </c>
      <c r="J222" s="145"/>
      <c r="K222" s="145"/>
      <c r="L222" s="145"/>
      <c r="M222" s="145"/>
      <c r="N222" s="145"/>
      <c r="O222" s="145">
        <v>26</v>
      </c>
      <c r="P222" s="145"/>
      <c r="Q222" s="145">
        <v>28</v>
      </c>
      <c r="R222" s="145">
        <v>23</v>
      </c>
      <c r="S222" s="145"/>
      <c r="T222" s="145"/>
      <c r="U222" s="145"/>
      <c r="V222" s="145"/>
      <c r="W222" s="145">
        <v>26</v>
      </c>
      <c r="X222" s="145"/>
      <c r="Y222" s="145"/>
      <c r="Z222" s="145"/>
      <c r="AA222" s="145"/>
      <c r="AB222" s="145"/>
      <c r="AC222" s="145">
        <v>21</v>
      </c>
      <c r="AD222" s="145">
        <v>21</v>
      </c>
      <c r="AE222" s="145">
        <v>28</v>
      </c>
      <c r="AF222" s="145"/>
      <c r="AG222" s="145"/>
      <c r="AH222" s="15">
        <f t="shared" si="9"/>
        <v>0</v>
      </c>
      <c r="AI222" s="15">
        <f t="shared" si="10"/>
        <v>17</v>
      </c>
      <c r="AJ222" s="15">
        <f t="shared" si="11"/>
        <v>17</v>
      </c>
    </row>
    <row r="223" spans="2:36">
      <c r="B223" s="124"/>
      <c r="C223" s="125">
        <v>220</v>
      </c>
      <c r="D223" s="144">
        <v>6975595.1839789404</v>
      </c>
      <c r="E223" s="144">
        <v>4138391.9532484198</v>
      </c>
      <c r="F223" s="144">
        <v>0</v>
      </c>
      <c r="G223" s="144">
        <v>0</v>
      </c>
      <c r="H223" s="144">
        <v>301656.9200779727</v>
      </c>
      <c r="I223" s="145">
        <v>20</v>
      </c>
      <c r="J223" s="145"/>
      <c r="K223" s="145"/>
      <c r="L223" s="145"/>
      <c r="M223" s="145"/>
      <c r="N223" s="145"/>
      <c r="O223" s="145">
        <v>26</v>
      </c>
      <c r="P223" s="145"/>
      <c r="Q223" s="145">
        <v>28</v>
      </c>
      <c r="R223" s="145">
        <v>23</v>
      </c>
      <c r="S223" s="145"/>
      <c r="T223" s="145"/>
      <c r="U223" s="145"/>
      <c r="V223" s="145"/>
      <c r="W223" s="145">
        <v>26</v>
      </c>
      <c r="X223" s="145"/>
      <c r="Y223" s="145"/>
      <c r="Z223" s="145"/>
      <c r="AA223" s="145"/>
      <c r="AB223" s="145"/>
      <c r="AC223" s="145">
        <v>21</v>
      </c>
      <c r="AD223" s="145">
        <v>21</v>
      </c>
      <c r="AE223" s="145">
        <v>28</v>
      </c>
      <c r="AF223" s="145"/>
      <c r="AG223" s="145"/>
      <c r="AH223" s="15">
        <f t="shared" si="9"/>
        <v>0</v>
      </c>
      <c r="AI223" s="15">
        <f t="shared" si="10"/>
        <v>17</v>
      </c>
      <c r="AJ223" s="15">
        <f t="shared" si="11"/>
        <v>17</v>
      </c>
    </row>
    <row r="224" spans="2:36">
      <c r="B224" s="124"/>
      <c r="C224" s="125">
        <v>221</v>
      </c>
      <c r="D224" s="144">
        <v>6047242.5903387889</v>
      </c>
      <c r="E224" s="144">
        <v>3587630.7920902325</v>
      </c>
      <c r="F224" s="144">
        <v>0</v>
      </c>
      <c r="G224" s="144">
        <v>0</v>
      </c>
      <c r="H224" s="144">
        <v>301656.9200779727</v>
      </c>
      <c r="I224" s="145">
        <v>20</v>
      </c>
      <c r="J224" s="145"/>
      <c r="K224" s="145"/>
      <c r="L224" s="145"/>
      <c r="M224" s="145"/>
      <c r="N224" s="145"/>
      <c r="O224" s="145">
        <v>26</v>
      </c>
      <c r="P224" s="145"/>
      <c r="Q224" s="145">
        <v>28</v>
      </c>
      <c r="R224" s="145">
        <v>23</v>
      </c>
      <c r="S224" s="145"/>
      <c r="T224" s="145"/>
      <c r="U224" s="145"/>
      <c r="V224" s="145"/>
      <c r="W224" s="145">
        <v>0</v>
      </c>
      <c r="X224" s="145"/>
      <c r="Y224" s="145"/>
      <c r="Z224" s="145"/>
      <c r="AA224" s="145"/>
      <c r="AB224" s="145"/>
      <c r="AC224" s="145">
        <v>21</v>
      </c>
      <c r="AD224" s="145">
        <v>21</v>
      </c>
      <c r="AE224" s="145">
        <v>28</v>
      </c>
      <c r="AF224" s="145"/>
      <c r="AG224" s="145"/>
      <c r="AH224" s="15">
        <f t="shared" si="9"/>
        <v>0</v>
      </c>
      <c r="AI224" s="15">
        <f t="shared" si="10"/>
        <v>17</v>
      </c>
      <c r="AJ224" s="15">
        <f t="shared" si="11"/>
        <v>17</v>
      </c>
    </row>
    <row r="225" spans="2:36">
      <c r="B225" s="124"/>
      <c r="C225" s="125">
        <v>222</v>
      </c>
      <c r="D225" s="144">
        <v>3530413.1462744018</v>
      </c>
      <c r="E225" s="144">
        <v>2094478.3879861864</v>
      </c>
      <c r="F225" s="144">
        <v>0</v>
      </c>
      <c r="G225" s="144">
        <v>0</v>
      </c>
      <c r="H225" s="144">
        <v>301656.9200779727</v>
      </c>
      <c r="I225" s="145">
        <v>0</v>
      </c>
      <c r="J225" s="145"/>
      <c r="K225" s="145"/>
      <c r="L225" s="145"/>
      <c r="M225" s="145"/>
      <c r="N225" s="145"/>
      <c r="O225" s="145">
        <v>26</v>
      </c>
      <c r="P225" s="145"/>
      <c r="Q225" s="145">
        <v>28</v>
      </c>
      <c r="R225" s="145">
        <v>23</v>
      </c>
      <c r="S225" s="145"/>
      <c r="T225" s="145"/>
      <c r="U225" s="145"/>
      <c r="V225" s="145"/>
      <c r="W225" s="145">
        <v>0</v>
      </c>
      <c r="X225" s="145"/>
      <c r="Y225" s="145"/>
      <c r="Z225" s="145"/>
      <c r="AA225" s="145"/>
      <c r="AB225" s="145"/>
      <c r="AC225" s="145">
        <v>21</v>
      </c>
      <c r="AD225" s="145">
        <v>0</v>
      </c>
      <c r="AE225" s="145">
        <v>0</v>
      </c>
      <c r="AF225" s="145"/>
      <c r="AG225" s="145"/>
      <c r="AH225" s="15">
        <f t="shared" si="9"/>
        <v>0</v>
      </c>
      <c r="AI225" s="15">
        <f t="shared" si="10"/>
        <v>17</v>
      </c>
      <c r="AJ225" s="15">
        <f t="shared" si="11"/>
        <v>17</v>
      </c>
    </row>
    <row r="226" spans="2:36">
      <c r="B226" s="124"/>
      <c r="C226" s="125">
        <v>223</v>
      </c>
      <c r="D226" s="144">
        <v>5447714.6594410818</v>
      </c>
      <c r="E226" s="144">
        <v>3222065.7699956046</v>
      </c>
      <c r="F226" s="144">
        <v>0</v>
      </c>
      <c r="G226" s="144">
        <v>0</v>
      </c>
      <c r="H226" s="144">
        <v>301656.9200779727</v>
      </c>
      <c r="I226" s="145">
        <v>0</v>
      </c>
      <c r="J226" s="145"/>
      <c r="K226" s="145"/>
      <c r="L226" s="145"/>
      <c r="M226" s="145"/>
      <c r="N226" s="145"/>
      <c r="O226" s="145">
        <v>26</v>
      </c>
      <c r="P226" s="145"/>
      <c r="Q226" s="145">
        <v>28</v>
      </c>
      <c r="R226" s="145">
        <v>23</v>
      </c>
      <c r="S226" s="145"/>
      <c r="T226" s="145"/>
      <c r="U226" s="145"/>
      <c r="V226" s="145"/>
      <c r="W226" s="145">
        <v>27</v>
      </c>
      <c r="X226" s="145"/>
      <c r="Y226" s="145"/>
      <c r="Z226" s="145"/>
      <c r="AA226" s="145"/>
      <c r="AB226" s="145"/>
      <c r="AC226" s="145">
        <v>21</v>
      </c>
      <c r="AD226" s="145">
        <v>0</v>
      </c>
      <c r="AE226" s="145">
        <v>29</v>
      </c>
      <c r="AF226" s="145"/>
      <c r="AG226" s="145"/>
      <c r="AH226" s="15">
        <f t="shared" si="9"/>
        <v>0</v>
      </c>
      <c r="AI226" s="15">
        <f t="shared" si="10"/>
        <v>17</v>
      </c>
      <c r="AJ226" s="15">
        <f t="shared" si="11"/>
        <v>17</v>
      </c>
    </row>
    <row r="227" spans="2:36">
      <c r="B227" s="124"/>
      <c r="C227" s="125">
        <v>224</v>
      </c>
      <c r="D227" s="144">
        <v>6210111.7148952708</v>
      </c>
      <c r="E227" s="144">
        <v>3674242.9300332791</v>
      </c>
      <c r="F227" s="144">
        <v>0</v>
      </c>
      <c r="G227" s="144">
        <v>0</v>
      </c>
      <c r="H227" s="144">
        <v>301656.9200779727</v>
      </c>
      <c r="I227" s="145">
        <v>21</v>
      </c>
      <c r="J227" s="145"/>
      <c r="K227" s="145"/>
      <c r="L227" s="145"/>
      <c r="M227" s="145"/>
      <c r="N227" s="145"/>
      <c r="O227" s="145">
        <v>0</v>
      </c>
      <c r="P227" s="145"/>
      <c r="Q227" s="145">
        <v>28</v>
      </c>
      <c r="R227" s="145">
        <v>23</v>
      </c>
      <c r="S227" s="145"/>
      <c r="T227" s="145"/>
      <c r="U227" s="145"/>
      <c r="V227" s="145"/>
      <c r="W227" s="145">
        <v>27</v>
      </c>
      <c r="X227" s="145"/>
      <c r="Y227" s="145"/>
      <c r="Z227" s="145"/>
      <c r="AA227" s="145"/>
      <c r="AB227" s="145"/>
      <c r="AC227" s="145">
        <v>21</v>
      </c>
      <c r="AD227" s="145">
        <v>22</v>
      </c>
      <c r="AE227" s="145">
        <v>29</v>
      </c>
      <c r="AF227" s="145"/>
      <c r="AG227" s="145"/>
      <c r="AH227" s="15">
        <f t="shared" si="9"/>
        <v>0</v>
      </c>
      <c r="AI227" s="15">
        <f t="shared" si="10"/>
        <v>17</v>
      </c>
      <c r="AJ227" s="15">
        <f t="shared" si="11"/>
        <v>17</v>
      </c>
    </row>
    <row r="228" spans="2:36">
      <c r="B228" s="124"/>
      <c r="C228" s="125">
        <v>225</v>
      </c>
      <c r="D228" s="144">
        <v>6210111.7148952708</v>
      </c>
      <c r="E228" s="144">
        <v>3653287.1742126583</v>
      </c>
      <c r="F228" s="144">
        <v>0</v>
      </c>
      <c r="G228" s="144">
        <v>0</v>
      </c>
      <c r="H228" s="144">
        <v>301656.9200779727</v>
      </c>
      <c r="I228" s="145">
        <v>21</v>
      </c>
      <c r="J228" s="145"/>
      <c r="K228" s="145"/>
      <c r="L228" s="145"/>
      <c r="M228" s="145"/>
      <c r="N228" s="145"/>
      <c r="O228" s="145">
        <v>0</v>
      </c>
      <c r="P228" s="145"/>
      <c r="Q228" s="145">
        <v>28</v>
      </c>
      <c r="R228" s="145">
        <v>23</v>
      </c>
      <c r="S228" s="145"/>
      <c r="T228" s="145"/>
      <c r="U228" s="145"/>
      <c r="V228" s="145"/>
      <c r="W228" s="145">
        <v>27</v>
      </c>
      <c r="X228" s="145"/>
      <c r="Y228" s="145"/>
      <c r="Z228" s="145"/>
      <c r="AA228" s="145"/>
      <c r="AB228" s="145"/>
      <c r="AC228" s="145">
        <v>21</v>
      </c>
      <c r="AD228" s="145">
        <v>22</v>
      </c>
      <c r="AE228" s="145">
        <v>29</v>
      </c>
      <c r="AF228" s="145"/>
      <c r="AG228" s="145"/>
      <c r="AH228" s="15">
        <f t="shared" si="9"/>
        <v>0</v>
      </c>
      <c r="AI228" s="15">
        <f t="shared" si="10"/>
        <v>17</v>
      </c>
      <c r="AJ228" s="15">
        <f t="shared" si="11"/>
        <v>17</v>
      </c>
    </row>
    <row r="229" spans="2:36">
      <c r="B229" s="124"/>
      <c r="C229" s="125">
        <v>226</v>
      </c>
      <c r="D229" s="144">
        <v>6623554.5260841697</v>
      </c>
      <c r="E229" s="144">
        <v>3958221.8135035848</v>
      </c>
      <c r="F229" s="144">
        <v>0</v>
      </c>
      <c r="G229" s="144">
        <v>0</v>
      </c>
      <c r="H229" s="144">
        <v>301656.9200779727</v>
      </c>
      <c r="I229" s="145">
        <v>21</v>
      </c>
      <c r="J229" s="145"/>
      <c r="K229" s="145"/>
      <c r="L229" s="145"/>
      <c r="M229" s="145"/>
      <c r="N229" s="145"/>
      <c r="O229" s="145">
        <v>27</v>
      </c>
      <c r="P229" s="145"/>
      <c r="Q229" s="145">
        <v>0</v>
      </c>
      <c r="R229" s="145">
        <v>23</v>
      </c>
      <c r="S229" s="145"/>
      <c r="T229" s="145"/>
      <c r="U229" s="145"/>
      <c r="V229" s="145"/>
      <c r="W229" s="145">
        <v>27</v>
      </c>
      <c r="X229" s="145"/>
      <c r="Y229" s="145"/>
      <c r="Z229" s="145"/>
      <c r="AA229" s="145"/>
      <c r="AB229" s="145"/>
      <c r="AC229" s="145">
        <v>21</v>
      </c>
      <c r="AD229" s="145">
        <v>22</v>
      </c>
      <c r="AE229" s="145">
        <v>29</v>
      </c>
      <c r="AF229" s="145"/>
      <c r="AG229" s="145"/>
      <c r="AH229" s="15">
        <f t="shared" si="9"/>
        <v>0</v>
      </c>
      <c r="AI229" s="15">
        <f t="shared" si="10"/>
        <v>17</v>
      </c>
      <c r="AJ229" s="15">
        <f t="shared" si="11"/>
        <v>17</v>
      </c>
    </row>
    <row r="230" spans="2:36">
      <c r="B230" s="124"/>
      <c r="C230" s="125">
        <v>227</v>
      </c>
      <c r="D230" s="144">
        <v>5684468.0706555909</v>
      </c>
      <c r="E230" s="144">
        <v>3403904.9300304698</v>
      </c>
      <c r="F230" s="144">
        <v>0</v>
      </c>
      <c r="G230" s="144">
        <v>0</v>
      </c>
      <c r="H230" s="144">
        <v>301656.9200779727</v>
      </c>
      <c r="I230" s="145">
        <v>21</v>
      </c>
      <c r="J230" s="145"/>
      <c r="K230" s="145"/>
      <c r="L230" s="145"/>
      <c r="M230" s="145"/>
      <c r="N230" s="145"/>
      <c r="O230" s="145">
        <v>27</v>
      </c>
      <c r="P230" s="145"/>
      <c r="Q230" s="145">
        <v>0</v>
      </c>
      <c r="R230" s="145">
        <v>23</v>
      </c>
      <c r="S230" s="145"/>
      <c r="T230" s="145"/>
      <c r="U230" s="145"/>
      <c r="V230" s="145"/>
      <c r="W230" s="145">
        <v>0</v>
      </c>
      <c r="X230" s="145"/>
      <c r="Y230" s="145"/>
      <c r="Z230" s="145"/>
      <c r="AA230" s="145"/>
      <c r="AB230" s="145"/>
      <c r="AC230" s="145">
        <v>21</v>
      </c>
      <c r="AD230" s="145">
        <v>22</v>
      </c>
      <c r="AE230" s="145">
        <v>29</v>
      </c>
      <c r="AF230" s="145"/>
      <c r="AG230" s="145"/>
      <c r="AH230" s="15">
        <f t="shared" si="9"/>
        <v>0</v>
      </c>
      <c r="AI230" s="15">
        <f t="shared" si="10"/>
        <v>17</v>
      </c>
      <c r="AJ230" s="15">
        <f t="shared" si="11"/>
        <v>17</v>
      </c>
    </row>
    <row r="231" spans="2:36">
      <c r="B231" s="124"/>
      <c r="C231" s="125">
        <v>228</v>
      </c>
      <c r="D231" s="144">
        <v>2756981.7231009519</v>
      </c>
      <c r="E231" s="144">
        <v>1650902.6988315745</v>
      </c>
      <c r="F231" s="144">
        <v>21243462.830621459</v>
      </c>
      <c r="G231" s="144">
        <v>0</v>
      </c>
      <c r="H231" s="144">
        <v>195175.43859649118</v>
      </c>
      <c r="I231" s="145">
        <v>21</v>
      </c>
      <c r="J231" s="145"/>
      <c r="K231" s="145"/>
      <c r="L231" s="145"/>
      <c r="M231" s="145"/>
      <c r="N231" s="145"/>
      <c r="O231" s="145"/>
      <c r="P231" s="145"/>
      <c r="Q231" s="145">
        <v>0</v>
      </c>
      <c r="R231" s="145"/>
      <c r="S231" s="145"/>
      <c r="T231" s="145"/>
      <c r="U231" s="145"/>
      <c r="V231" s="145"/>
      <c r="W231" s="145"/>
      <c r="X231" s="145"/>
      <c r="Y231" s="145"/>
      <c r="Z231" s="145"/>
      <c r="AA231" s="145"/>
      <c r="AB231" s="145"/>
      <c r="AC231" s="145">
        <v>0</v>
      </c>
      <c r="AD231" s="145">
        <v>22</v>
      </c>
      <c r="AE231" s="145">
        <v>29</v>
      </c>
      <c r="AF231" s="145"/>
      <c r="AG231" s="145"/>
      <c r="AH231" s="15">
        <f t="shared" si="9"/>
        <v>0</v>
      </c>
      <c r="AI231" s="15">
        <f t="shared" si="10"/>
        <v>20</v>
      </c>
      <c r="AJ231" s="15">
        <f t="shared" si="11"/>
        <v>20</v>
      </c>
    </row>
    <row r="232" spans="2:36">
      <c r="B232" s="124"/>
      <c r="C232" s="125">
        <v>229</v>
      </c>
      <c r="D232" s="144">
        <v>3928201.0861959243</v>
      </c>
      <c r="E232" s="144">
        <v>2324458.8808119879</v>
      </c>
      <c r="F232" s="144">
        <v>0</v>
      </c>
      <c r="G232" s="144">
        <v>0</v>
      </c>
      <c r="H232" s="144">
        <v>195175.43859649118</v>
      </c>
      <c r="I232" s="145">
        <v>0</v>
      </c>
      <c r="J232" s="145"/>
      <c r="K232" s="145"/>
      <c r="L232" s="145"/>
      <c r="M232" s="145"/>
      <c r="N232" s="145"/>
      <c r="O232" s="145"/>
      <c r="P232" s="145"/>
      <c r="Q232" s="145">
        <v>29</v>
      </c>
      <c r="R232" s="145"/>
      <c r="S232" s="145"/>
      <c r="T232" s="145"/>
      <c r="U232" s="145"/>
      <c r="V232" s="145"/>
      <c r="W232" s="145"/>
      <c r="X232" s="145"/>
      <c r="Y232" s="145"/>
      <c r="Z232" s="145"/>
      <c r="AA232" s="145"/>
      <c r="AB232" s="145"/>
      <c r="AC232" s="145">
        <v>22</v>
      </c>
      <c r="AD232" s="145">
        <v>22</v>
      </c>
      <c r="AE232" s="145">
        <v>29</v>
      </c>
      <c r="AF232" s="145"/>
      <c r="AG232" s="145"/>
      <c r="AH232" s="15">
        <f t="shared" si="9"/>
        <v>0</v>
      </c>
      <c r="AI232" s="15">
        <f t="shared" si="10"/>
        <v>20</v>
      </c>
      <c r="AJ232" s="15">
        <f t="shared" si="11"/>
        <v>20</v>
      </c>
    </row>
    <row r="233" spans="2:36">
      <c r="B233" s="124"/>
      <c r="C233" s="125">
        <v>230</v>
      </c>
      <c r="D233" s="144">
        <v>3928201.0861959243</v>
      </c>
      <c r="E233" s="144">
        <v>2317417.3520745425</v>
      </c>
      <c r="F233" s="144">
        <v>0</v>
      </c>
      <c r="G233" s="144">
        <v>0</v>
      </c>
      <c r="H233" s="144">
        <v>195175.43859649118</v>
      </c>
      <c r="I233" s="145">
        <v>0</v>
      </c>
      <c r="J233" s="145"/>
      <c r="K233" s="145"/>
      <c r="L233" s="145"/>
      <c r="M233" s="145"/>
      <c r="N233" s="145"/>
      <c r="O233" s="145"/>
      <c r="P233" s="145"/>
      <c r="Q233" s="145">
        <v>29</v>
      </c>
      <c r="R233" s="145"/>
      <c r="S233" s="145"/>
      <c r="T233" s="145"/>
      <c r="U233" s="145"/>
      <c r="V233" s="145"/>
      <c r="W233" s="145"/>
      <c r="X233" s="145"/>
      <c r="Y233" s="145"/>
      <c r="Z233" s="145"/>
      <c r="AA233" s="145"/>
      <c r="AB233" s="145"/>
      <c r="AC233" s="145">
        <v>22</v>
      </c>
      <c r="AD233" s="145">
        <v>22</v>
      </c>
      <c r="AE233" s="145">
        <v>29</v>
      </c>
      <c r="AF233" s="145"/>
      <c r="AG233" s="145"/>
      <c r="AH233" s="15">
        <f t="shared" si="9"/>
        <v>0</v>
      </c>
      <c r="AI233" s="15">
        <f t="shared" si="10"/>
        <v>20</v>
      </c>
      <c r="AJ233" s="15">
        <f t="shared" si="11"/>
        <v>20</v>
      </c>
    </row>
    <row r="234" spans="2:36">
      <c r="B234" s="124"/>
      <c r="C234" s="125">
        <v>231</v>
      </c>
      <c r="D234" s="144">
        <v>4355119.0758270342</v>
      </c>
      <c r="E234" s="144">
        <v>2613888.6687075594</v>
      </c>
      <c r="F234" s="144">
        <v>0</v>
      </c>
      <c r="G234" s="144">
        <v>0</v>
      </c>
      <c r="H234" s="144">
        <v>195175.43859649118</v>
      </c>
      <c r="I234" s="145">
        <v>22</v>
      </c>
      <c r="J234" s="145"/>
      <c r="K234" s="145"/>
      <c r="L234" s="145"/>
      <c r="M234" s="145"/>
      <c r="N234" s="145"/>
      <c r="O234" s="145"/>
      <c r="P234" s="145"/>
      <c r="Q234" s="145">
        <v>29</v>
      </c>
      <c r="R234" s="145"/>
      <c r="S234" s="145"/>
      <c r="T234" s="145"/>
      <c r="U234" s="145"/>
      <c r="V234" s="145"/>
      <c r="W234" s="145"/>
      <c r="X234" s="145"/>
      <c r="Y234" s="145"/>
      <c r="Z234" s="145"/>
      <c r="AA234" s="145"/>
      <c r="AB234" s="145"/>
      <c r="AC234" s="145">
        <v>22</v>
      </c>
      <c r="AD234" s="145">
        <v>0</v>
      </c>
      <c r="AE234" s="145">
        <v>29</v>
      </c>
      <c r="AF234" s="145"/>
      <c r="AG234" s="145"/>
      <c r="AH234" s="15">
        <f t="shared" si="9"/>
        <v>0</v>
      </c>
      <c r="AI234" s="15">
        <f t="shared" si="10"/>
        <v>20</v>
      </c>
      <c r="AJ234" s="15">
        <f t="shared" si="11"/>
        <v>20</v>
      </c>
    </row>
    <row r="235" spans="2:36">
      <c r="B235" s="124"/>
      <c r="C235" s="125">
        <v>232</v>
      </c>
      <c r="D235" s="144">
        <v>5393995.025816001</v>
      </c>
      <c r="E235" s="144">
        <v>3228993.2432885733</v>
      </c>
      <c r="F235" s="144">
        <v>0</v>
      </c>
      <c r="G235" s="144">
        <v>0</v>
      </c>
      <c r="H235" s="144">
        <v>195175.43859649118</v>
      </c>
      <c r="I235" s="145">
        <v>22</v>
      </c>
      <c r="J235" s="145"/>
      <c r="K235" s="145"/>
      <c r="L235" s="145"/>
      <c r="M235" s="145"/>
      <c r="N235" s="145"/>
      <c r="O235" s="145"/>
      <c r="P235" s="145"/>
      <c r="Q235" s="145">
        <v>29</v>
      </c>
      <c r="R235" s="145"/>
      <c r="S235" s="145"/>
      <c r="T235" s="145"/>
      <c r="U235" s="145"/>
      <c r="V235" s="145"/>
      <c r="W235" s="145"/>
      <c r="X235" s="145"/>
      <c r="Y235" s="145"/>
      <c r="Z235" s="145"/>
      <c r="AA235" s="145"/>
      <c r="AB235" s="145"/>
      <c r="AC235" s="145">
        <v>22</v>
      </c>
      <c r="AD235" s="145">
        <v>23</v>
      </c>
      <c r="AE235" s="145">
        <v>29</v>
      </c>
      <c r="AF235" s="145"/>
      <c r="AG235" s="145"/>
      <c r="AH235" s="15">
        <f t="shared" si="9"/>
        <v>0</v>
      </c>
      <c r="AI235" s="15">
        <f t="shared" si="10"/>
        <v>20</v>
      </c>
      <c r="AJ235" s="15">
        <f t="shared" si="11"/>
        <v>20</v>
      </c>
    </row>
    <row r="236" spans="2:36">
      <c r="B236" s="124"/>
      <c r="C236" s="125">
        <v>233</v>
      </c>
      <c r="D236" s="144">
        <v>5393995.025816001</v>
      </c>
      <c r="E236" s="144">
        <v>3214903.7395726177</v>
      </c>
      <c r="F236" s="144">
        <v>0</v>
      </c>
      <c r="G236" s="144">
        <v>0</v>
      </c>
      <c r="H236" s="144">
        <v>195175.43859649118</v>
      </c>
      <c r="I236" s="145">
        <v>22</v>
      </c>
      <c r="J236" s="145"/>
      <c r="K236" s="145"/>
      <c r="L236" s="145"/>
      <c r="M236" s="145"/>
      <c r="N236" s="145"/>
      <c r="O236" s="145"/>
      <c r="P236" s="145"/>
      <c r="Q236" s="145">
        <v>29</v>
      </c>
      <c r="R236" s="145"/>
      <c r="S236" s="145"/>
      <c r="T236" s="145"/>
      <c r="U236" s="145"/>
      <c r="V236" s="145"/>
      <c r="W236" s="145"/>
      <c r="X236" s="145"/>
      <c r="Y236" s="145"/>
      <c r="Z236" s="145"/>
      <c r="AA236" s="145"/>
      <c r="AB236" s="145"/>
      <c r="AC236" s="145">
        <v>22</v>
      </c>
      <c r="AD236" s="145">
        <v>23</v>
      </c>
      <c r="AE236" s="145">
        <v>29</v>
      </c>
      <c r="AF236" s="145"/>
      <c r="AG236" s="145"/>
      <c r="AH236" s="15">
        <f t="shared" si="9"/>
        <v>0</v>
      </c>
      <c r="AI236" s="15">
        <f t="shared" si="10"/>
        <v>20</v>
      </c>
      <c r="AJ236" s="15">
        <f t="shared" si="11"/>
        <v>20</v>
      </c>
    </row>
    <row r="237" spans="2:36">
      <c r="B237" s="124"/>
      <c r="C237" s="125">
        <v>234</v>
      </c>
      <c r="D237" s="144">
        <v>4355119.0758270342</v>
      </c>
      <c r="E237" s="144">
        <v>2595717.7446677876</v>
      </c>
      <c r="F237" s="144">
        <v>0</v>
      </c>
      <c r="G237" s="144">
        <v>0</v>
      </c>
      <c r="H237" s="144">
        <v>195175.43859649118</v>
      </c>
      <c r="I237" s="145">
        <v>22</v>
      </c>
      <c r="J237" s="145"/>
      <c r="K237" s="145"/>
      <c r="L237" s="145"/>
      <c r="M237" s="145"/>
      <c r="N237" s="145"/>
      <c r="O237" s="145"/>
      <c r="P237" s="145"/>
      <c r="Q237" s="145">
        <v>29</v>
      </c>
      <c r="R237" s="145"/>
      <c r="S237" s="145"/>
      <c r="T237" s="145"/>
      <c r="U237" s="145"/>
      <c r="V237" s="145"/>
      <c r="W237" s="145"/>
      <c r="X237" s="145"/>
      <c r="Y237" s="145"/>
      <c r="Z237" s="145"/>
      <c r="AA237" s="145"/>
      <c r="AB237" s="145"/>
      <c r="AC237" s="145">
        <v>22</v>
      </c>
      <c r="AD237" s="145">
        <v>0</v>
      </c>
      <c r="AE237" s="145">
        <v>29</v>
      </c>
      <c r="AF237" s="145"/>
      <c r="AG237" s="145"/>
      <c r="AH237" s="15">
        <f t="shared" si="9"/>
        <v>0</v>
      </c>
      <c r="AI237" s="15">
        <f t="shared" si="10"/>
        <v>20</v>
      </c>
      <c r="AJ237" s="15">
        <f t="shared" si="11"/>
        <v>20</v>
      </c>
    </row>
    <row r="238" spans="2:36">
      <c r="B238" s="124"/>
      <c r="C238" s="125">
        <v>235</v>
      </c>
      <c r="D238" s="144">
        <v>2407208.3435494304</v>
      </c>
      <c r="E238" s="144">
        <v>1434733.0816154629</v>
      </c>
      <c r="F238" s="144">
        <v>0</v>
      </c>
      <c r="G238" s="144">
        <v>0</v>
      </c>
      <c r="H238" s="144">
        <v>195175.43859649118</v>
      </c>
      <c r="I238" s="145">
        <v>22</v>
      </c>
      <c r="J238" s="145"/>
      <c r="K238" s="145"/>
      <c r="L238" s="145"/>
      <c r="M238" s="145"/>
      <c r="N238" s="145"/>
      <c r="O238" s="145"/>
      <c r="P238" s="145"/>
      <c r="Q238" s="145">
        <v>0</v>
      </c>
      <c r="R238" s="145"/>
      <c r="S238" s="145"/>
      <c r="T238" s="145"/>
      <c r="U238" s="145"/>
      <c r="V238" s="145"/>
      <c r="W238" s="145"/>
      <c r="X238" s="145"/>
      <c r="Y238" s="145"/>
      <c r="Z238" s="145"/>
      <c r="AA238" s="145"/>
      <c r="AB238" s="145"/>
      <c r="AC238" s="145">
        <v>22</v>
      </c>
      <c r="AD238" s="145">
        <v>0</v>
      </c>
      <c r="AE238" s="145">
        <v>0</v>
      </c>
      <c r="AF238" s="145"/>
      <c r="AG238" s="145"/>
      <c r="AH238" s="15">
        <f t="shared" si="9"/>
        <v>0</v>
      </c>
      <c r="AI238" s="15">
        <f t="shared" si="10"/>
        <v>20</v>
      </c>
      <c r="AJ238" s="15">
        <f t="shared" si="11"/>
        <v>20</v>
      </c>
    </row>
    <row r="239" spans="2:36">
      <c r="B239" s="124"/>
      <c r="C239" s="125">
        <v>236</v>
      </c>
      <c r="D239" s="144">
        <v>2407208.3435494304</v>
      </c>
      <c r="E239" s="144">
        <v>1434733.0816154629</v>
      </c>
      <c r="F239" s="144">
        <v>0</v>
      </c>
      <c r="G239" s="144">
        <v>0</v>
      </c>
      <c r="H239" s="144">
        <v>195175.43859649118</v>
      </c>
      <c r="I239" s="145">
        <v>22</v>
      </c>
      <c r="J239" s="145"/>
      <c r="K239" s="145"/>
      <c r="L239" s="145"/>
      <c r="M239" s="145"/>
      <c r="N239" s="145"/>
      <c r="O239" s="145"/>
      <c r="P239" s="145"/>
      <c r="Q239" s="145">
        <v>0</v>
      </c>
      <c r="R239" s="145"/>
      <c r="S239" s="145"/>
      <c r="T239" s="145"/>
      <c r="U239" s="145"/>
      <c r="V239" s="145"/>
      <c r="W239" s="145"/>
      <c r="X239" s="145"/>
      <c r="Y239" s="145"/>
      <c r="Z239" s="145"/>
      <c r="AA239" s="145"/>
      <c r="AB239" s="145"/>
      <c r="AC239" s="145">
        <v>22</v>
      </c>
      <c r="AD239" s="145">
        <v>0</v>
      </c>
      <c r="AE239" s="145">
        <v>0</v>
      </c>
      <c r="AF239" s="145"/>
      <c r="AG239" s="145"/>
      <c r="AH239" s="15">
        <f t="shared" si="9"/>
        <v>0</v>
      </c>
      <c r="AI239" s="15">
        <f t="shared" si="10"/>
        <v>20</v>
      </c>
      <c r="AJ239" s="15">
        <f t="shared" si="11"/>
        <v>20</v>
      </c>
    </row>
    <row r="240" spans="2:36">
      <c r="B240" s="124"/>
      <c r="C240" s="125">
        <v>237</v>
      </c>
      <c r="D240" s="144">
        <v>5532060.1891575083</v>
      </c>
      <c r="E240" s="144">
        <v>3302682.3080034168</v>
      </c>
      <c r="F240" s="144">
        <v>0</v>
      </c>
      <c r="G240" s="144">
        <v>0</v>
      </c>
      <c r="H240" s="144">
        <v>195175.43859649118</v>
      </c>
      <c r="I240" s="145">
        <v>22</v>
      </c>
      <c r="J240" s="145"/>
      <c r="K240" s="145"/>
      <c r="L240" s="145"/>
      <c r="M240" s="145"/>
      <c r="N240" s="145"/>
      <c r="O240" s="145"/>
      <c r="P240" s="145"/>
      <c r="Q240" s="145">
        <v>30</v>
      </c>
      <c r="R240" s="145"/>
      <c r="S240" s="145"/>
      <c r="T240" s="145"/>
      <c r="U240" s="145"/>
      <c r="V240" s="145"/>
      <c r="W240" s="145"/>
      <c r="X240" s="145"/>
      <c r="Y240" s="145"/>
      <c r="Z240" s="145"/>
      <c r="AA240" s="145"/>
      <c r="AB240" s="145"/>
      <c r="AC240" s="145">
        <v>22</v>
      </c>
      <c r="AD240" s="145">
        <v>24</v>
      </c>
      <c r="AE240" s="145">
        <v>30</v>
      </c>
      <c r="AF240" s="145"/>
      <c r="AG240" s="145"/>
      <c r="AH240" s="15">
        <f t="shared" si="9"/>
        <v>0</v>
      </c>
      <c r="AI240" s="15">
        <f t="shared" si="10"/>
        <v>20</v>
      </c>
      <c r="AJ240" s="15">
        <f t="shared" si="11"/>
        <v>20</v>
      </c>
    </row>
    <row r="241" spans="2:36">
      <c r="B241" s="124"/>
      <c r="C241" s="125">
        <v>238</v>
      </c>
      <c r="D241" s="144">
        <v>5532060.1891575083</v>
      </c>
      <c r="E241" s="144">
        <v>3307896.7875918341</v>
      </c>
      <c r="F241" s="144">
        <v>0</v>
      </c>
      <c r="G241" s="144">
        <v>0</v>
      </c>
      <c r="H241" s="144">
        <v>195175.43859649118</v>
      </c>
      <c r="I241" s="145">
        <v>22</v>
      </c>
      <c r="J241" s="145"/>
      <c r="K241" s="145"/>
      <c r="L241" s="145"/>
      <c r="M241" s="145"/>
      <c r="N241" s="145"/>
      <c r="O241" s="145"/>
      <c r="P241" s="145"/>
      <c r="Q241" s="145">
        <v>30</v>
      </c>
      <c r="R241" s="145"/>
      <c r="S241" s="145"/>
      <c r="T241" s="145"/>
      <c r="U241" s="145"/>
      <c r="V241" s="145"/>
      <c r="W241" s="145"/>
      <c r="X241" s="145"/>
      <c r="Y241" s="145"/>
      <c r="Z241" s="145"/>
      <c r="AA241" s="145"/>
      <c r="AB241" s="145"/>
      <c r="AC241" s="145">
        <v>22</v>
      </c>
      <c r="AD241" s="145">
        <v>24</v>
      </c>
      <c r="AE241" s="145">
        <v>30</v>
      </c>
      <c r="AF241" s="145"/>
      <c r="AG241" s="145"/>
      <c r="AH241" s="15">
        <f t="shared" si="9"/>
        <v>0</v>
      </c>
      <c r="AI241" s="15">
        <f t="shared" si="10"/>
        <v>20</v>
      </c>
      <c r="AJ241" s="15">
        <f t="shared" si="11"/>
        <v>20</v>
      </c>
    </row>
    <row r="242" spans="2:36">
      <c r="B242" s="124"/>
      <c r="C242" s="125">
        <v>239</v>
      </c>
      <c r="D242" s="144">
        <v>4672009.2224763855</v>
      </c>
      <c r="E242" s="144">
        <v>2793629.0948025044</v>
      </c>
      <c r="F242" s="144">
        <v>0</v>
      </c>
      <c r="G242" s="144">
        <v>0</v>
      </c>
      <c r="H242" s="144">
        <v>195175.43859649118</v>
      </c>
      <c r="I242" s="145">
        <v>22</v>
      </c>
      <c r="J242" s="145"/>
      <c r="K242" s="145"/>
      <c r="L242" s="145"/>
      <c r="M242" s="145"/>
      <c r="N242" s="145"/>
      <c r="O242" s="145"/>
      <c r="P242" s="145"/>
      <c r="Q242" s="145">
        <v>0</v>
      </c>
      <c r="R242" s="145"/>
      <c r="S242" s="145"/>
      <c r="T242" s="145"/>
      <c r="U242" s="145"/>
      <c r="V242" s="145"/>
      <c r="W242" s="145"/>
      <c r="X242" s="145"/>
      <c r="Y242" s="145"/>
      <c r="Z242" s="145"/>
      <c r="AA242" s="145"/>
      <c r="AB242" s="145"/>
      <c r="AC242" s="145">
        <v>22</v>
      </c>
      <c r="AD242" s="145">
        <v>24</v>
      </c>
      <c r="AE242" s="145">
        <v>30</v>
      </c>
      <c r="AF242" s="145"/>
      <c r="AG242" s="145"/>
      <c r="AH242" s="15">
        <f t="shared" si="9"/>
        <v>0</v>
      </c>
      <c r="AI242" s="15">
        <f t="shared" si="10"/>
        <v>20</v>
      </c>
      <c r="AJ242" s="15">
        <f t="shared" si="11"/>
        <v>20</v>
      </c>
    </row>
    <row r="243" spans="2:36">
      <c r="B243" s="124"/>
      <c r="C243" s="125">
        <v>240</v>
      </c>
      <c r="D243" s="144"/>
      <c r="E243" s="144"/>
      <c r="F243" s="144"/>
      <c r="G243" s="144"/>
      <c r="H243" s="144"/>
      <c r="I243" s="145"/>
      <c r="J243" s="145"/>
      <c r="K243" s="145"/>
      <c r="L243" s="145"/>
      <c r="M243" s="145"/>
      <c r="N243" s="145"/>
      <c r="O243" s="145"/>
      <c r="P243" s="145"/>
      <c r="Q243" s="145"/>
      <c r="R243" s="145"/>
      <c r="S243" s="145"/>
      <c r="T243" s="145"/>
      <c r="U243" s="145"/>
      <c r="V243" s="145"/>
      <c r="W243" s="145"/>
      <c r="X243" s="145"/>
      <c r="Y243" s="145"/>
      <c r="Z243" s="145"/>
      <c r="AA243" s="145"/>
      <c r="AB243" s="145"/>
      <c r="AC243" s="145"/>
      <c r="AD243" s="145"/>
      <c r="AE243" s="145"/>
      <c r="AF243" s="145"/>
      <c r="AG243" s="145"/>
      <c r="AH243" s="15">
        <f t="shared" si="9"/>
        <v>0</v>
      </c>
      <c r="AI243" s="15">
        <f t="shared" si="10"/>
        <v>25</v>
      </c>
      <c r="AJ243" s="15">
        <f t="shared" si="11"/>
        <v>25</v>
      </c>
    </row>
    <row r="244" spans="2:36">
      <c r="B244" s="124"/>
      <c r="C244" s="125">
        <v>241</v>
      </c>
      <c r="D244" s="144"/>
      <c r="E244" s="144"/>
      <c r="F244" s="144"/>
      <c r="G244" s="144"/>
      <c r="H244" s="144"/>
      <c r="I244" s="145"/>
      <c r="J244" s="145"/>
      <c r="K244" s="145"/>
      <c r="L244" s="145"/>
      <c r="M244" s="145"/>
      <c r="N244" s="145"/>
      <c r="O244" s="145"/>
      <c r="P244" s="145"/>
      <c r="Q244" s="145"/>
      <c r="R244" s="145"/>
      <c r="S244" s="145"/>
      <c r="T244" s="145"/>
      <c r="U244" s="145"/>
      <c r="V244" s="145"/>
      <c r="W244" s="145"/>
      <c r="X244" s="145"/>
      <c r="Y244" s="145"/>
      <c r="Z244" s="145"/>
      <c r="AA244" s="145"/>
      <c r="AB244" s="145"/>
      <c r="AC244" s="145"/>
      <c r="AD244" s="145"/>
      <c r="AE244" s="145"/>
      <c r="AF244" s="145"/>
      <c r="AG244" s="145"/>
      <c r="AH244" s="15">
        <f t="shared" si="9"/>
        <v>0</v>
      </c>
      <c r="AI244" s="15">
        <f t="shared" si="10"/>
        <v>25</v>
      </c>
      <c r="AJ244" s="15">
        <f t="shared" si="11"/>
        <v>25</v>
      </c>
    </row>
    <row r="245" spans="2:36">
      <c r="B245" s="124"/>
      <c r="C245" s="125">
        <v>242</v>
      </c>
      <c r="D245" s="144"/>
      <c r="E245" s="144"/>
      <c r="F245" s="144"/>
      <c r="G245" s="144"/>
      <c r="H245" s="144"/>
      <c r="I245" s="145"/>
      <c r="J245" s="145"/>
      <c r="K245" s="145"/>
      <c r="L245" s="145"/>
      <c r="M245" s="145"/>
      <c r="N245" s="145"/>
      <c r="O245" s="145"/>
      <c r="P245" s="145"/>
      <c r="Q245" s="145"/>
      <c r="R245" s="145"/>
      <c r="S245" s="145"/>
      <c r="T245" s="145"/>
      <c r="U245" s="145"/>
      <c r="V245" s="145"/>
      <c r="W245" s="145"/>
      <c r="X245" s="145"/>
      <c r="Y245" s="145"/>
      <c r="Z245" s="145"/>
      <c r="AA245" s="145"/>
      <c r="AB245" s="145"/>
      <c r="AC245" s="145"/>
      <c r="AD245" s="145"/>
      <c r="AE245" s="145"/>
      <c r="AF245" s="145"/>
      <c r="AG245" s="145"/>
      <c r="AH245" s="15">
        <f t="shared" si="9"/>
        <v>0</v>
      </c>
      <c r="AI245" s="15">
        <f t="shared" si="10"/>
        <v>25</v>
      </c>
      <c r="AJ245" s="15">
        <f t="shared" si="11"/>
        <v>25</v>
      </c>
    </row>
    <row r="246" spans="2:36">
      <c r="B246" s="124"/>
      <c r="C246" s="125">
        <v>243</v>
      </c>
      <c r="D246" s="144"/>
      <c r="E246" s="144"/>
      <c r="F246" s="144"/>
      <c r="G246" s="144"/>
      <c r="H246" s="144"/>
      <c r="I246" s="145"/>
      <c r="J246" s="145"/>
      <c r="K246" s="145"/>
      <c r="L246" s="145"/>
      <c r="M246" s="145"/>
      <c r="N246" s="145"/>
      <c r="O246" s="145"/>
      <c r="P246" s="145"/>
      <c r="Q246" s="145"/>
      <c r="R246" s="145"/>
      <c r="S246" s="145"/>
      <c r="T246" s="145"/>
      <c r="U246" s="145"/>
      <c r="V246" s="145"/>
      <c r="W246" s="145"/>
      <c r="X246" s="145"/>
      <c r="Y246" s="145"/>
      <c r="Z246" s="145"/>
      <c r="AA246" s="145"/>
      <c r="AB246" s="145"/>
      <c r="AC246" s="145"/>
      <c r="AD246" s="145"/>
      <c r="AE246" s="145"/>
      <c r="AF246" s="145"/>
      <c r="AG246" s="145"/>
      <c r="AH246" s="15">
        <f t="shared" si="9"/>
        <v>0</v>
      </c>
      <c r="AI246" s="15">
        <f t="shared" si="10"/>
        <v>25</v>
      </c>
      <c r="AJ246" s="15">
        <f t="shared" si="11"/>
        <v>25</v>
      </c>
    </row>
    <row r="247" spans="2:36">
      <c r="B247" s="124"/>
      <c r="C247" s="125">
        <v>244</v>
      </c>
      <c r="D247" s="144"/>
      <c r="E247" s="144"/>
      <c r="F247" s="144"/>
      <c r="G247" s="144"/>
      <c r="H247" s="144"/>
      <c r="I247" s="145"/>
      <c r="J247" s="145"/>
      <c r="K247" s="145"/>
      <c r="L247" s="145"/>
      <c r="M247" s="145"/>
      <c r="N247" s="145"/>
      <c r="O247" s="145"/>
      <c r="P247" s="145"/>
      <c r="Q247" s="145"/>
      <c r="R247" s="145"/>
      <c r="S247" s="145"/>
      <c r="T247" s="145"/>
      <c r="U247" s="145"/>
      <c r="V247" s="145"/>
      <c r="W247" s="145"/>
      <c r="X247" s="145"/>
      <c r="Y247" s="145"/>
      <c r="Z247" s="145"/>
      <c r="AA247" s="145"/>
      <c r="AB247" s="145"/>
      <c r="AC247" s="145"/>
      <c r="AD247" s="145"/>
      <c r="AE247" s="145"/>
      <c r="AF247" s="145"/>
      <c r="AG247" s="145"/>
      <c r="AH247" s="15">
        <f t="shared" si="9"/>
        <v>0</v>
      </c>
      <c r="AI247" s="15">
        <f t="shared" si="10"/>
        <v>25</v>
      </c>
      <c r="AJ247" s="15">
        <f t="shared" si="11"/>
        <v>25</v>
      </c>
    </row>
    <row r="248" spans="2:36">
      <c r="B248" s="124"/>
      <c r="C248" s="125">
        <v>245</v>
      </c>
      <c r="D248" s="144"/>
      <c r="E248" s="144"/>
      <c r="F248" s="144"/>
      <c r="G248" s="144"/>
      <c r="H248" s="144"/>
      <c r="I248" s="145"/>
      <c r="J248" s="145"/>
      <c r="K248" s="145"/>
      <c r="L248" s="145"/>
      <c r="M248" s="145"/>
      <c r="N248" s="145"/>
      <c r="O248" s="145"/>
      <c r="P248" s="145"/>
      <c r="Q248" s="145"/>
      <c r="R248" s="145"/>
      <c r="S248" s="145"/>
      <c r="T248" s="145"/>
      <c r="U248" s="145"/>
      <c r="V248" s="145"/>
      <c r="W248" s="145"/>
      <c r="X248" s="145"/>
      <c r="Y248" s="145"/>
      <c r="Z248" s="145"/>
      <c r="AA248" s="145"/>
      <c r="AB248" s="145"/>
      <c r="AC248" s="145"/>
      <c r="AD248" s="145"/>
      <c r="AE248" s="145"/>
      <c r="AF248" s="145"/>
      <c r="AG248" s="145"/>
      <c r="AH248" s="15">
        <f t="shared" si="9"/>
        <v>0</v>
      </c>
      <c r="AI248" s="15">
        <f t="shared" si="10"/>
        <v>25</v>
      </c>
      <c r="AJ248" s="15">
        <f t="shared" si="11"/>
        <v>25</v>
      </c>
    </row>
    <row r="249" spans="2:36">
      <c r="B249" s="124"/>
      <c r="C249" s="125">
        <v>246</v>
      </c>
      <c r="D249" s="144"/>
      <c r="E249" s="144"/>
      <c r="F249" s="144"/>
      <c r="G249" s="144"/>
      <c r="H249" s="144"/>
      <c r="I249" s="145"/>
      <c r="J249" s="145"/>
      <c r="K249" s="145"/>
      <c r="L249" s="145"/>
      <c r="M249" s="145"/>
      <c r="N249" s="145"/>
      <c r="O249" s="145"/>
      <c r="P249" s="145"/>
      <c r="Q249" s="145"/>
      <c r="R249" s="145"/>
      <c r="S249" s="145"/>
      <c r="T249" s="145"/>
      <c r="U249" s="145"/>
      <c r="V249" s="145"/>
      <c r="W249" s="145"/>
      <c r="X249" s="145"/>
      <c r="Y249" s="145"/>
      <c r="Z249" s="145"/>
      <c r="AA249" s="145"/>
      <c r="AB249" s="145"/>
      <c r="AC249" s="145"/>
      <c r="AD249" s="145"/>
      <c r="AE249" s="145"/>
      <c r="AF249" s="145"/>
      <c r="AG249" s="145"/>
      <c r="AH249" s="15">
        <f t="shared" si="9"/>
        <v>0</v>
      </c>
      <c r="AI249" s="15">
        <f t="shared" si="10"/>
        <v>25</v>
      </c>
      <c r="AJ249" s="15">
        <f t="shared" si="11"/>
        <v>25</v>
      </c>
    </row>
    <row r="250" spans="2:36">
      <c r="B250" s="124"/>
      <c r="C250" s="125">
        <v>247</v>
      </c>
      <c r="D250" s="144"/>
      <c r="E250" s="144"/>
      <c r="F250" s="144"/>
      <c r="G250" s="144"/>
      <c r="H250" s="144"/>
      <c r="I250" s="145"/>
      <c r="J250" s="145"/>
      <c r="K250" s="145"/>
      <c r="L250" s="145"/>
      <c r="M250" s="145"/>
      <c r="N250" s="145"/>
      <c r="O250" s="145"/>
      <c r="P250" s="145"/>
      <c r="Q250" s="145"/>
      <c r="R250" s="145"/>
      <c r="S250" s="145"/>
      <c r="T250" s="145"/>
      <c r="U250" s="145"/>
      <c r="V250" s="145"/>
      <c r="W250" s="145"/>
      <c r="X250" s="145"/>
      <c r="Y250" s="145"/>
      <c r="Z250" s="145"/>
      <c r="AA250" s="145"/>
      <c r="AB250" s="145"/>
      <c r="AC250" s="145"/>
      <c r="AD250" s="145"/>
      <c r="AE250" s="145"/>
      <c r="AF250" s="145"/>
      <c r="AG250" s="145"/>
      <c r="AH250" s="15">
        <f t="shared" si="9"/>
        <v>0</v>
      </c>
      <c r="AI250" s="15">
        <f t="shared" si="10"/>
        <v>25</v>
      </c>
      <c r="AJ250" s="15">
        <f t="shared" si="11"/>
        <v>25</v>
      </c>
    </row>
    <row r="251" spans="2:36">
      <c r="B251" s="124"/>
      <c r="C251" s="125">
        <v>248</v>
      </c>
      <c r="D251" s="144"/>
      <c r="E251" s="144"/>
      <c r="F251" s="144"/>
      <c r="G251" s="144"/>
      <c r="H251" s="144"/>
      <c r="I251" s="145"/>
      <c r="J251" s="145"/>
      <c r="K251" s="145"/>
      <c r="L251" s="145"/>
      <c r="M251" s="145"/>
      <c r="N251" s="145"/>
      <c r="O251" s="145"/>
      <c r="P251" s="145"/>
      <c r="Q251" s="145"/>
      <c r="R251" s="145"/>
      <c r="S251" s="145"/>
      <c r="T251" s="145"/>
      <c r="U251" s="145"/>
      <c r="V251" s="145"/>
      <c r="W251" s="145"/>
      <c r="X251" s="145"/>
      <c r="Y251" s="145"/>
      <c r="Z251" s="145"/>
      <c r="AA251" s="145"/>
      <c r="AB251" s="145"/>
      <c r="AC251" s="145"/>
      <c r="AD251" s="145"/>
      <c r="AE251" s="145"/>
      <c r="AF251" s="145"/>
      <c r="AG251" s="145"/>
      <c r="AH251" s="15">
        <f t="shared" si="9"/>
        <v>0</v>
      </c>
      <c r="AI251" s="15">
        <f t="shared" si="10"/>
        <v>25</v>
      </c>
      <c r="AJ251" s="15">
        <f t="shared" si="11"/>
        <v>25</v>
      </c>
    </row>
    <row r="252" spans="2:36">
      <c r="B252" s="124"/>
      <c r="C252" s="125">
        <v>249</v>
      </c>
      <c r="D252" s="144"/>
      <c r="E252" s="144"/>
      <c r="F252" s="144"/>
      <c r="G252" s="144"/>
      <c r="H252" s="144"/>
      <c r="I252" s="145"/>
      <c r="J252" s="145"/>
      <c r="K252" s="145"/>
      <c r="L252" s="145"/>
      <c r="M252" s="145"/>
      <c r="N252" s="145"/>
      <c r="O252" s="145"/>
      <c r="P252" s="145"/>
      <c r="Q252" s="145"/>
      <c r="R252" s="145"/>
      <c r="S252" s="145"/>
      <c r="T252" s="145"/>
      <c r="U252" s="145"/>
      <c r="V252" s="145"/>
      <c r="W252" s="145"/>
      <c r="X252" s="145"/>
      <c r="Y252" s="145"/>
      <c r="Z252" s="145"/>
      <c r="AA252" s="145"/>
      <c r="AB252" s="145"/>
      <c r="AC252" s="145"/>
      <c r="AD252" s="145"/>
      <c r="AE252" s="145"/>
      <c r="AF252" s="145"/>
      <c r="AG252" s="145"/>
      <c r="AH252" s="15">
        <f t="shared" si="9"/>
        <v>0</v>
      </c>
      <c r="AI252" s="15">
        <f t="shared" si="10"/>
        <v>25</v>
      </c>
      <c r="AJ252" s="15">
        <f t="shared" si="11"/>
        <v>25</v>
      </c>
    </row>
    <row r="253" spans="2:36">
      <c r="B253" s="124"/>
      <c r="C253" s="125">
        <v>250</v>
      </c>
      <c r="D253" s="144"/>
      <c r="E253" s="144"/>
      <c r="F253" s="144"/>
      <c r="G253" s="144"/>
      <c r="H253" s="144"/>
      <c r="I253" s="145"/>
      <c r="J253" s="145"/>
      <c r="K253" s="145"/>
      <c r="L253" s="145"/>
      <c r="M253" s="145"/>
      <c r="N253" s="145"/>
      <c r="O253" s="145"/>
      <c r="P253" s="145"/>
      <c r="Q253" s="145"/>
      <c r="R253" s="145"/>
      <c r="S253" s="145"/>
      <c r="T253" s="145"/>
      <c r="U253" s="145"/>
      <c r="V253" s="145"/>
      <c r="W253" s="145"/>
      <c r="X253" s="145"/>
      <c r="Y253" s="145"/>
      <c r="Z253" s="145"/>
      <c r="AA253" s="145"/>
      <c r="AB253" s="145"/>
      <c r="AC253" s="145"/>
      <c r="AD253" s="145"/>
      <c r="AE253" s="145"/>
      <c r="AF253" s="145"/>
      <c r="AG253" s="145"/>
      <c r="AH253" s="15">
        <f t="shared" si="9"/>
        <v>0</v>
      </c>
      <c r="AI253" s="15">
        <f t="shared" si="10"/>
        <v>25</v>
      </c>
      <c r="AJ253" s="15">
        <f t="shared" si="11"/>
        <v>25</v>
      </c>
    </row>
    <row r="254" spans="2:36">
      <c r="B254" s="124"/>
      <c r="C254" s="125">
        <v>251</v>
      </c>
      <c r="D254" s="144"/>
      <c r="E254" s="144"/>
      <c r="F254" s="144"/>
      <c r="G254" s="144"/>
      <c r="H254" s="144"/>
      <c r="I254" s="145"/>
      <c r="J254" s="145"/>
      <c r="K254" s="145"/>
      <c r="L254" s="145"/>
      <c r="M254" s="145"/>
      <c r="N254" s="145"/>
      <c r="O254" s="145"/>
      <c r="P254" s="145"/>
      <c r="Q254" s="145"/>
      <c r="R254" s="145"/>
      <c r="S254" s="145"/>
      <c r="T254" s="145"/>
      <c r="U254" s="145"/>
      <c r="V254" s="145"/>
      <c r="W254" s="145"/>
      <c r="X254" s="145"/>
      <c r="Y254" s="145"/>
      <c r="Z254" s="145"/>
      <c r="AA254" s="145"/>
      <c r="AB254" s="145"/>
      <c r="AC254" s="145"/>
      <c r="AD254" s="145"/>
      <c r="AE254" s="145"/>
      <c r="AF254" s="145"/>
      <c r="AG254" s="145"/>
      <c r="AH254" s="15">
        <f t="shared" si="9"/>
        <v>0</v>
      </c>
      <c r="AI254" s="15">
        <f t="shared" si="10"/>
        <v>25</v>
      </c>
      <c r="AJ254" s="15">
        <f t="shared" si="11"/>
        <v>25</v>
      </c>
    </row>
    <row r="255" spans="2:36">
      <c r="B255" s="124"/>
      <c r="C255" s="125">
        <v>252</v>
      </c>
      <c r="D255" s="144"/>
      <c r="E255" s="144"/>
      <c r="F255" s="144"/>
      <c r="G255" s="144"/>
      <c r="H255" s="144"/>
      <c r="I255" s="145"/>
      <c r="J255" s="145"/>
      <c r="K255" s="145"/>
      <c r="L255" s="145"/>
      <c r="M255" s="145"/>
      <c r="N255" s="145"/>
      <c r="O255" s="145"/>
      <c r="P255" s="145"/>
      <c r="Q255" s="145"/>
      <c r="R255" s="145"/>
      <c r="S255" s="145"/>
      <c r="T255" s="145"/>
      <c r="U255" s="145"/>
      <c r="V255" s="145"/>
      <c r="W255" s="145"/>
      <c r="X255" s="145"/>
      <c r="Y255" s="145"/>
      <c r="Z255" s="145"/>
      <c r="AA255" s="145"/>
      <c r="AB255" s="145"/>
      <c r="AC255" s="145"/>
      <c r="AD255" s="145"/>
      <c r="AE255" s="145"/>
      <c r="AF255" s="145"/>
      <c r="AG255" s="145"/>
      <c r="AH255" s="15">
        <f t="shared" si="9"/>
        <v>0</v>
      </c>
      <c r="AI255" s="15">
        <f t="shared" si="10"/>
        <v>25</v>
      </c>
      <c r="AJ255" s="15">
        <f t="shared" si="11"/>
        <v>25</v>
      </c>
    </row>
    <row r="256" spans="2:36">
      <c r="B256" s="124"/>
      <c r="C256" s="125">
        <v>253</v>
      </c>
      <c r="D256" s="144"/>
      <c r="E256" s="144"/>
      <c r="F256" s="144"/>
      <c r="G256" s="144"/>
      <c r="H256" s="144"/>
      <c r="I256" s="145"/>
      <c r="J256" s="145"/>
      <c r="K256" s="145"/>
      <c r="L256" s="145"/>
      <c r="M256" s="145"/>
      <c r="N256" s="145"/>
      <c r="O256" s="145"/>
      <c r="P256" s="145"/>
      <c r="Q256" s="145"/>
      <c r="R256" s="145"/>
      <c r="S256" s="145"/>
      <c r="T256" s="145"/>
      <c r="U256" s="145"/>
      <c r="V256" s="145"/>
      <c r="W256" s="145"/>
      <c r="X256" s="145"/>
      <c r="Y256" s="145"/>
      <c r="Z256" s="145"/>
      <c r="AA256" s="145"/>
      <c r="AB256" s="145"/>
      <c r="AC256" s="145"/>
      <c r="AD256" s="145"/>
      <c r="AE256" s="145"/>
      <c r="AF256" s="145"/>
      <c r="AG256" s="145"/>
      <c r="AH256" s="15">
        <f t="shared" si="9"/>
        <v>0</v>
      </c>
      <c r="AI256" s="15">
        <f t="shared" si="10"/>
        <v>25</v>
      </c>
      <c r="AJ256" s="15">
        <f t="shared" si="11"/>
        <v>25</v>
      </c>
    </row>
    <row r="257" spans="2:36">
      <c r="B257" s="124"/>
      <c r="C257" s="125">
        <v>254</v>
      </c>
      <c r="D257" s="144"/>
      <c r="E257" s="144"/>
      <c r="F257" s="144"/>
      <c r="G257" s="144"/>
      <c r="H257" s="144"/>
      <c r="I257" s="145"/>
      <c r="J257" s="145"/>
      <c r="K257" s="145"/>
      <c r="L257" s="145"/>
      <c r="M257" s="145"/>
      <c r="N257" s="145"/>
      <c r="O257" s="145"/>
      <c r="P257" s="145"/>
      <c r="Q257" s="145"/>
      <c r="R257" s="145"/>
      <c r="S257" s="145"/>
      <c r="T257" s="145"/>
      <c r="U257" s="145"/>
      <c r="V257" s="145"/>
      <c r="W257" s="145"/>
      <c r="X257" s="145"/>
      <c r="Y257" s="145"/>
      <c r="Z257" s="145"/>
      <c r="AA257" s="145"/>
      <c r="AB257" s="145"/>
      <c r="AC257" s="145"/>
      <c r="AD257" s="145"/>
      <c r="AE257" s="145"/>
      <c r="AF257" s="145"/>
      <c r="AG257" s="145"/>
      <c r="AH257" s="15">
        <f t="shared" si="9"/>
        <v>0</v>
      </c>
      <c r="AI257" s="15">
        <f t="shared" si="10"/>
        <v>25</v>
      </c>
      <c r="AJ257" s="15">
        <f t="shared" si="11"/>
        <v>25</v>
      </c>
    </row>
    <row r="258" spans="2:36">
      <c r="B258" s="124"/>
      <c r="C258" s="125">
        <v>255</v>
      </c>
      <c r="D258" s="144"/>
      <c r="E258" s="144"/>
      <c r="F258" s="144"/>
      <c r="G258" s="144"/>
      <c r="H258" s="144"/>
      <c r="I258" s="145"/>
      <c r="J258" s="145"/>
      <c r="K258" s="145"/>
      <c r="L258" s="145"/>
      <c r="M258" s="145"/>
      <c r="N258" s="145"/>
      <c r="O258" s="145"/>
      <c r="P258" s="145"/>
      <c r="Q258" s="145"/>
      <c r="R258" s="145"/>
      <c r="S258" s="145"/>
      <c r="T258" s="145"/>
      <c r="U258" s="145"/>
      <c r="V258" s="145"/>
      <c r="W258" s="145"/>
      <c r="X258" s="145"/>
      <c r="Y258" s="145"/>
      <c r="Z258" s="145"/>
      <c r="AA258" s="145"/>
      <c r="AB258" s="145"/>
      <c r="AC258" s="145"/>
      <c r="AD258" s="145"/>
      <c r="AE258" s="145"/>
      <c r="AF258" s="145"/>
      <c r="AG258" s="145"/>
      <c r="AH258" s="15">
        <f t="shared" si="9"/>
        <v>0</v>
      </c>
      <c r="AI258" s="15">
        <f t="shared" si="10"/>
        <v>25</v>
      </c>
      <c r="AJ258" s="15">
        <f t="shared" si="11"/>
        <v>25</v>
      </c>
    </row>
    <row r="259" spans="2:36">
      <c r="B259" s="124"/>
      <c r="C259" s="125">
        <v>256</v>
      </c>
      <c r="D259" s="144"/>
      <c r="E259" s="144"/>
      <c r="F259" s="144"/>
      <c r="G259" s="144"/>
      <c r="H259" s="144"/>
      <c r="I259" s="145"/>
      <c r="J259" s="145"/>
      <c r="K259" s="145"/>
      <c r="L259" s="145"/>
      <c r="M259" s="145"/>
      <c r="N259" s="145"/>
      <c r="O259" s="145"/>
      <c r="P259" s="145"/>
      <c r="Q259" s="145"/>
      <c r="R259" s="145"/>
      <c r="S259" s="145"/>
      <c r="T259" s="145"/>
      <c r="U259" s="145"/>
      <c r="V259" s="145"/>
      <c r="W259" s="145"/>
      <c r="X259" s="145"/>
      <c r="Y259" s="145"/>
      <c r="Z259" s="145"/>
      <c r="AA259" s="145"/>
      <c r="AB259" s="145"/>
      <c r="AC259" s="145"/>
      <c r="AD259" s="145"/>
      <c r="AE259" s="145"/>
      <c r="AF259" s="145"/>
      <c r="AG259" s="145"/>
      <c r="AH259" s="15">
        <f t="shared" si="9"/>
        <v>0</v>
      </c>
      <c r="AI259" s="15">
        <f t="shared" si="10"/>
        <v>25</v>
      </c>
      <c r="AJ259" s="15">
        <f t="shared" si="11"/>
        <v>25</v>
      </c>
    </row>
    <row r="260" spans="2:36">
      <c r="B260" s="124"/>
      <c r="C260" s="125">
        <v>257</v>
      </c>
      <c r="D260" s="144"/>
      <c r="E260" s="144"/>
      <c r="F260" s="144"/>
      <c r="G260" s="144"/>
      <c r="H260" s="144"/>
      <c r="I260" s="145"/>
      <c r="J260" s="145"/>
      <c r="K260" s="145"/>
      <c r="L260" s="145"/>
      <c r="M260" s="145"/>
      <c r="N260" s="145"/>
      <c r="O260" s="145"/>
      <c r="P260" s="145"/>
      <c r="Q260" s="145"/>
      <c r="R260" s="145"/>
      <c r="S260" s="145"/>
      <c r="T260" s="145"/>
      <c r="U260" s="145"/>
      <c r="V260" s="145"/>
      <c r="W260" s="145"/>
      <c r="X260" s="145"/>
      <c r="Y260" s="145"/>
      <c r="Z260" s="145"/>
      <c r="AA260" s="145"/>
      <c r="AB260" s="145"/>
      <c r="AC260" s="145"/>
      <c r="AD260" s="145"/>
      <c r="AE260" s="145"/>
      <c r="AF260" s="145"/>
      <c r="AG260" s="145"/>
      <c r="AH260" s="15">
        <f t="shared" ref="AH260:AH323" si="12">FREQUENCY(I260:AG260,-1)</f>
        <v>0</v>
      </c>
      <c r="AI260" s="15">
        <f t="shared" si="10"/>
        <v>25</v>
      </c>
      <c r="AJ260" s="15">
        <f t="shared" si="11"/>
        <v>25</v>
      </c>
    </row>
    <row r="261" spans="2:36">
      <c r="B261" s="124"/>
      <c r="C261" s="125">
        <v>258</v>
      </c>
      <c r="D261" s="144"/>
      <c r="E261" s="144"/>
      <c r="F261" s="144"/>
      <c r="G261" s="144"/>
      <c r="H261" s="144"/>
      <c r="I261" s="145"/>
      <c r="J261" s="145"/>
      <c r="K261" s="145"/>
      <c r="L261" s="145"/>
      <c r="M261" s="145"/>
      <c r="N261" s="145"/>
      <c r="O261" s="145"/>
      <c r="P261" s="145"/>
      <c r="Q261" s="145"/>
      <c r="R261" s="145"/>
      <c r="S261" s="145"/>
      <c r="T261" s="145"/>
      <c r="U261" s="145"/>
      <c r="V261" s="145"/>
      <c r="W261" s="145"/>
      <c r="X261" s="145"/>
      <c r="Y261" s="145"/>
      <c r="Z261" s="145"/>
      <c r="AA261" s="145"/>
      <c r="AB261" s="145"/>
      <c r="AC261" s="145"/>
      <c r="AD261" s="145"/>
      <c r="AE261" s="145"/>
      <c r="AF261" s="145"/>
      <c r="AG261" s="145"/>
      <c r="AH261" s="15">
        <f t="shared" si="12"/>
        <v>0</v>
      </c>
      <c r="AI261" s="15">
        <f t="shared" ref="AI261:AI324" si="13">COUNTBLANK(I261:AG261)</f>
        <v>25</v>
      </c>
      <c r="AJ261" s="15">
        <f t="shared" ref="AJ261:AJ324" si="14">SUM(AH261:AI261)</f>
        <v>25</v>
      </c>
    </row>
    <row r="262" spans="2:36">
      <c r="B262" s="124"/>
      <c r="C262" s="125">
        <v>259</v>
      </c>
      <c r="D262" s="144"/>
      <c r="E262" s="144"/>
      <c r="F262" s="144"/>
      <c r="G262" s="144"/>
      <c r="H262" s="144"/>
      <c r="I262" s="145"/>
      <c r="J262" s="145"/>
      <c r="K262" s="145"/>
      <c r="L262" s="145"/>
      <c r="M262" s="145"/>
      <c r="N262" s="145"/>
      <c r="O262" s="145"/>
      <c r="P262" s="145"/>
      <c r="Q262" s="145"/>
      <c r="R262" s="145"/>
      <c r="S262" s="145"/>
      <c r="T262" s="145"/>
      <c r="U262" s="145"/>
      <c r="V262" s="145"/>
      <c r="W262" s="145"/>
      <c r="X262" s="145"/>
      <c r="Y262" s="145"/>
      <c r="Z262" s="145"/>
      <c r="AA262" s="145"/>
      <c r="AB262" s="145"/>
      <c r="AC262" s="145"/>
      <c r="AD262" s="145"/>
      <c r="AE262" s="145"/>
      <c r="AF262" s="145"/>
      <c r="AG262" s="145"/>
      <c r="AH262" s="15">
        <f t="shared" si="12"/>
        <v>0</v>
      </c>
      <c r="AI262" s="15">
        <f t="shared" si="13"/>
        <v>25</v>
      </c>
      <c r="AJ262" s="15">
        <f t="shared" si="14"/>
        <v>25</v>
      </c>
    </row>
    <row r="263" spans="2:36">
      <c r="B263" s="124"/>
      <c r="C263" s="125">
        <v>260</v>
      </c>
      <c r="D263" s="144"/>
      <c r="E263" s="144"/>
      <c r="F263" s="144"/>
      <c r="G263" s="144"/>
      <c r="H263" s="144"/>
      <c r="I263" s="145"/>
      <c r="J263" s="145"/>
      <c r="K263" s="145"/>
      <c r="L263" s="145"/>
      <c r="M263" s="145"/>
      <c r="N263" s="145"/>
      <c r="O263" s="145"/>
      <c r="P263" s="145"/>
      <c r="Q263" s="145"/>
      <c r="R263" s="145"/>
      <c r="S263" s="145"/>
      <c r="T263" s="145"/>
      <c r="U263" s="145"/>
      <c r="V263" s="145"/>
      <c r="W263" s="145"/>
      <c r="X263" s="145"/>
      <c r="Y263" s="145"/>
      <c r="Z263" s="145"/>
      <c r="AA263" s="145"/>
      <c r="AB263" s="145"/>
      <c r="AC263" s="145"/>
      <c r="AD263" s="145"/>
      <c r="AE263" s="145"/>
      <c r="AF263" s="145"/>
      <c r="AG263" s="145"/>
      <c r="AH263" s="15">
        <f t="shared" si="12"/>
        <v>0</v>
      </c>
      <c r="AI263" s="15">
        <f t="shared" si="13"/>
        <v>25</v>
      </c>
      <c r="AJ263" s="15">
        <f t="shared" si="14"/>
        <v>25</v>
      </c>
    </row>
    <row r="264" spans="2:36">
      <c r="B264" s="124"/>
      <c r="C264" s="125">
        <v>261</v>
      </c>
      <c r="D264" s="144"/>
      <c r="E264" s="144"/>
      <c r="F264" s="144"/>
      <c r="G264" s="144"/>
      <c r="H264" s="144"/>
      <c r="I264" s="145"/>
      <c r="J264" s="145"/>
      <c r="K264" s="145"/>
      <c r="L264" s="145"/>
      <c r="M264" s="145"/>
      <c r="N264" s="145"/>
      <c r="O264" s="145"/>
      <c r="P264" s="145"/>
      <c r="Q264" s="145"/>
      <c r="R264" s="145"/>
      <c r="S264" s="145"/>
      <c r="T264" s="145"/>
      <c r="U264" s="145"/>
      <c r="V264" s="145"/>
      <c r="W264" s="145"/>
      <c r="X264" s="145"/>
      <c r="Y264" s="145"/>
      <c r="Z264" s="145"/>
      <c r="AA264" s="145"/>
      <c r="AB264" s="145"/>
      <c r="AC264" s="145"/>
      <c r="AD264" s="145"/>
      <c r="AE264" s="145"/>
      <c r="AF264" s="145"/>
      <c r="AG264" s="145"/>
      <c r="AH264" s="15">
        <f t="shared" si="12"/>
        <v>0</v>
      </c>
      <c r="AI264" s="15">
        <f t="shared" si="13"/>
        <v>25</v>
      </c>
      <c r="AJ264" s="15">
        <f t="shared" si="14"/>
        <v>25</v>
      </c>
    </row>
    <row r="265" spans="2:36">
      <c r="B265" s="124"/>
      <c r="C265" s="125">
        <v>262</v>
      </c>
      <c r="D265" s="144"/>
      <c r="E265" s="144"/>
      <c r="F265" s="144"/>
      <c r="G265" s="144"/>
      <c r="H265" s="144"/>
      <c r="I265" s="145"/>
      <c r="J265" s="145"/>
      <c r="K265" s="145"/>
      <c r="L265" s="145"/>
      <c r="M265" s="145"/>
      <c r="N265" s="145"/>
      <c r="O265" s="145"/>
      <c r="P265" s="145"/>
      <c r="Q265" s="145"/>
      <c r="R265" s="145"/>
      <c r="S265" s="145"/>
      <c r="T265" s="145"/>
      <c r="U265" s="145"/>
      <c r="V265" s="145"/>
      <c r="W265" s="145"/>
      <c r="X265" s="145"/>
      <c r="Y265" s="145"/>
      <c r="Z265" s="145"/>
      <c r="AA265" s="145"/>
      <c r="AB265" s="145"/>
      <c r="AC265" s="145"/>
      <c r="AD265" s="145"/>
      <c r="AE265" s="145"/>
      <c r="AF265" s="145"/>
      <c r="AG265" s="145"/>
      <c r="AH265" s="15">
        <f t="shared" si="12"/>
        <v>0</v>
      </c>
      <c r="AI265" s="15">
        <f t="shared" si="13"/>
        <v>25</v>
      </c>
      <c r="AJ265" s="15">
        <f t="shared" si="14"/>
        <v>25</v>
      </c>
    </row>
    <row r="266" spans="2:36">
      <c r="B266" s="124"/>
      <c r="C266" s="125">
        <v>263</v>
      </c>
      <c r="D266" s="144"/>
      <c r="E266" s="144"/>
      <c r="F266" s="144"/>
      <c r="G266" s="144"/>
      <c r="H266" s="144"/>
      <c r="I266" s="145"/>
      <c r="J266" s="145"/>
      <c r="K266" s="145"/>
      <c r="L266" s="145"/>
      <c r="M266" s="145"/>
      <c r="N266" s="145"/>
      <c r="O266" s="145"/>
      <c r="P266" s="145"/>
      <c r="Q266" s="145"/>
      <c r="R266" s="145"/>
      <c r="S266" s="145"/>
      <c r="T266" s="145"/>
      <c r="U266" s="145"/>
      <c r="V266" s="145"/>
      <c r="W266" s="145"/>
      <c r="X266" s="145"/>
      <c r="Y266" s="145"/>
      <c r="Z266" s="145"/>
      <c r="AA266" s="145"/>
      <c r="AB266" s="145"/>
      <c r="AC266" s="145"/>
      <c r="AD266" s="145"/>
      <c r="AE266" s="145"/>
      <c r="AF266" s="145"/>
      <c r="AG266" s="145"/>
      <c r="AH266" s="15">
        <f t="shared" si="12"/>
        <v>0</v>
      </c>
      <c r="AI266" s="15">
        <f t="shared" si="13"/>
        <v>25</v>
      </c>
      <c r="AJ266" s="15">
        <f t="shared" si="14"/>
        <v>25</v>
      </c>
    </row>
    <row r="267" spans="2:36">
      <c r="B267" s="124"/>
      <c r="C267" s="125">
        <v>264</v>
      </c>
      <c r="D267" s="144"/>
      <c r="E267" s="144"/>
      <c r="F267" s="144"/>
      <c r="G267" s="144"/>
      <c r="H267" s="144"/>
      <c r="I267" s="145"/>
      <c r="J267" s="145"/>
      <c r="K267" s="145"/>
      <c r="L267" s="145"/>
      <c r="M267" s="145"/>
      <c r="N267" s="145"/>
      <c r="O267" s="145"/>
      <c r="P267" s="145"/>
      <c r="Q267" s="145"/>
      <c r="R267" s="145"/>
      <c r="S267" s="145"/>
      <c r="T267" s="145"/>
      <c r="U267" s="145"/>
      <c r="V267" s="145"/>
      <c r="W267" s="145"/>
      <c r="X267" s="145"/>
      <c r="Y267" s="145"/>
      <c r="Z267" s="145"/>
      <c r="AA267" s="145"/>
      <c r="AB267" s="145"/>
      <c r="AC267" s="145"/>
      <c r="AD267" s="145"/>
      <c r="AE267" s="145"/>
      <c r="AF267" s="145"/>
      <c r="AG267" s="145"/>
      <c r="AH267" s="15">
        <f t="shared" si="12"/>
        <v>0</v>
      </c>
      <c r="AI267" s="15">
        <f t="shared" si="13"/>
        <v>25</v>
      </c>
      <c r="AJ267" s="15">
        <f t="shared" si="14"/>
        <v>25</v>
      </c>
    </row>
    <row r="268" spans="2:36">
      <c r="B268" s="124"/>
      <c r="C268" s="125">
        <v>265</v>
      </c>
      <c r="D268" s="144"/>
      <c r="E268" s="144"/>
      <c r="F268" s="144"/>
      <c r="G268" s="144"/>
      <c r="H268" s="144"/>
      <c r="I268" s="145"/>
      <c r="J268" s="145"/>
      <c r="K268" s="145"/>
      <c r="L268" s="145"/>
      <c r="M268" s="145"/>
      <c r="N268" s="145"/>
      <c r="O268" s="145"/>
      <c r="P268" s="145"/>
      <c r="Q268" s="145"/>
      <c r="R268" s="145"/>
      <c r="S268" s="145"/>
      <c r="T268" s="145"/>
      <c r="U268" s="145"/>
      <c r="V268" s="145"/>
      <c r="W268" s="145"/>
      <c r="X268" s="145"/>
      <c r="Y268" s="145"/>
      <c r="Z268" s="145"/>
      <c r="AA268" s="145"/>
      <c r="AB268" s="145"/>
      <c r="AC268" s="145"/>
      <c r="AD268" s="145"/>
      <c r="AE268" s="145"/>
      <c r="AF268" s="145"/>
      <c r="AG268" s="145"/>
      <c r="AH268" s="15">
        <f t="shared" si="12"/>
        <v>0</v>
      </c>
      <c r="AI268" s="15">
        <f t="shared" si="13"/>
        <v>25</v>
      </c>
      <c r="AJ268" s="15">
        <f t="shared" si="14"/>
        <v>25</v>
      </c>
    </row>
    <row r="269" spans="2:36">
      <c r="B269" s="124"/>
      <c r="C269" s="125">
        <v>266</v>
      </c>
      <c r="D269" s="144"/>
      <c r="E269" s="144"/>
      <c r="F269" s="144"/>
      <c r="G269" s="144"/>
      <c r="H269" s="144"/>
      <c r="I269" s="145"/>
      <c r="J269" s="145"/>
      <c r="K269" s="145"/>
      <c r="L269" s="145"/>
      <c r="M269" s="145"/>
      <c r="N269" s="145"/>
      <c r="O269" s="145"/>
      <c r="P269" s="145"/>
      <c r="Q269" s="145"/>
      <c r="R269" s="145"/>
      <c r="S269" s="145"/>
      <c r="T269" s="145"/>
      <c r="U269" s="145"/>
      <c r="V269" s="145"/>
      <c r="W269" s="145"/>
      <c r="X269" s="145"/>
      <c r="Y269" s="145"/>
      <c r="Z269" s="145"/>
      <c r="AA269" s="145"/>
      <c r="AB269" s="145"/>
      <c r="AC269" s="145"/>
      <c r="AD269" s="145"/>
      <c r="AE269" s="145"/>
      <c r="AF269" s="145"/>
      <c r="AG269" s="145"/>
      <c r="AH269" s="15">
        <f t="shared" si="12"/>
        <v>0</v>
      </c>
      <c r="AI269" s="15">
        <f t="shared" si="13"/>
        <v>25</v>
      </c>
      <c r="AJ269" s="15">
        <f t="shared" si="14"/>
        <v>25</v>
      </c>
    </row>
    <row r="270" spans="2:36">
      <c r="B270" s="124"/>
      <c r="C270" s="125">
        <v>267</v>
      </c>
      <c r="D270" s="144"/>
      <c r="E270" s="144"/>
      <c r="F270" s="144"/>
      <c r="G270" s="144"/>
      <c r="H270" s="144"/>
      <c r="I270" s="145"/>
      <c r="J270" s="145"/>
      <c r="K270" s="145"/>
      <c r="L270" s="145"/>
      <c r="M270" s="145"/>
      <c r="N270" s="145"/>
      <c r="O270" s="145"/>
      <c r="P270" s="145"/>
      <c r="Q270" s="145"/>
      <c r="R270" s="145"/>
      <c r="S270" s="145"/>
      <c r="T270" s="145"/>
      <c r="U270" s="145"/>
      <c r="V270" s="145"/>
      <c r="W270" s="145"/>
      <c r="X270" s="145"/>
      <c r="Y270" s="145"/>
      <c r="Z270" s="145"/>
      <c r="AA270" s="145"/>
      <c r="AB270" s="145"/>
      <c r="AC270" s="145"/>
      <c r="AD270" s="145"/>
      <c r="AE270" s="145"/>
      <c r="AF270" s="145"/>
      <c r="AG270" s="145"/>
      <c r="AH270" s="15">
        <f t="shared" si="12"/>
        <v>0</v>
      </c>
      <c r="AI270" s="15">
        <f t="shared" si="13"/>
        <v>25</v>
      </c>
      <c r="AJ270" s="15">
        <f t="shared" si="14"/>
        <v>25</v>
      </c>
    </row>
    <row r="271" spans="2:36">
      <c r="B271" s="124"/>
      <c r="C271" s="125">
        <v>268</v>
      </c>
      <c r="D271" s="144"/>
      <c r="E271" s="144"/>
      <c r="F271" s="144"/>
      <c r="G271" s="144"/>
      <c r="H271" s="144"/>
      <c r="I271" s="145"/>
      <c r="J271" s="145"/>
      <c r="K271" s="145"/>
      <c r="L271" s="145"/>
      <c r="M271" s="145"/>
      <c r="N271" s="145"/>
      <c r="O271" s="145"/>
      <c r="P271" s="145"/>
      <c r="Q271" s="145"/>
      <c r="R271" s="145"/>
      <c r="S271" s="145"/>
      <c r="T271" s="145"/>
      <c r="U271" s="145"/>
      <c r="V271" s="145"/>
      <c r="W271" s="145"/>
      <c r="X271" s="145"/>
      <c r="Y271" s="145"/>
      <c r="Z271" s="145"/>
      <c r="AA271" s="145"/>
      <c r="AB271" s="145"/>
      <c r="AC271" s="145"/>
      <c r="AD271" s="145"/>
      <c r="AE271" s="145"/>
      <c r="AF271" s="145"/>
      <c r="AG271" s="145"/>
      <c r="AH271" s="15">
        <f t="shared" si="12"/>
        <v>0</v>
      </c>
      <c r="AI271" s="15">
        <f t="shared" si="13"/>
        <v>25</v>
      </c>
      <c r="AJ271" s="15">
        <f t="shared" si="14"/>
        <v>25</v>
      </c>
    </row>
    <row r="272" spans="2:36">
      <c r="B272" s="124"/>
      <c r="C272" s="125">
        <v>269</v>
      </c>
      <c r="D272" s="144"/>
      <c r="E272" s="144"/>
      <c r="F272" s="144"/>
      <c r="G272" s="144"/>
      <c r="H272" s="144"/>
      <c r="I272" s="145"/>
      <c r="J272" s="145"/>
      <c r="K272" s="145"/>
      <c r="L272" s="145"/>
      <c r="M272" s="145"/>
      <c r="N272" s="145"/>
      <c r="O272" s="145"/>
      <c r="P272" s="145"/>
      <c r="Q272" s="145"/>
      <c r="R272" s="145"/>
      <c r="S272" s="145"/>
      <c r="T272" s="145"/>
      <c r="U272" s="145"/>
      <c r="V272" s="145"/>
      <c r="W272" s="145"/>
      <c r="X272" s="145"/>
      <c r="Y272" s="145"/>
      <c r="Z272" s="145"/>
      <c r="AA272" s="145"/>
      <c r="AB272" s="145"/>
      <c r="AC272" s="145"/>
      <c r="AD272" s="145"/>
      <c r="AE272" s="145"/>
      <c r="AF272" s="145"/>
      <c r="AG272" s="145"/>
      <c r="AH272" s="15">
        <f t="shared" si="12"/>
        <v>0</v>
      </c>
      <c r="AI272" s="15">
        <f t="shared" si="13"/>
        <v>25</v>
      </c>
      <c r="AJ272" s="15">
        <f t="shared" si="14"/>
        <v>25</v>
      </c>
    </row>
    <row r="273" spans="2:36">
      <c r="B273" s="124"/>
      <c r="C273" s="125">
        <v>270</v>
      </c>
      <c r="D273" s="144"/>
      <c r="E273" s="144"/>
      <c r="F273" s="144"/>
      <c r="G273" s="144"/>
      <c r="H273" s="144"/>
      <c r="I273" s="145"/>
      <c r="J273" s="145"/>
      <c r="K273" s="145"/>
      <c r="L273" s="145"/>
      <c r="M273" s="145"/>
      <c r="N273" s="145"/>
      <c r="O273" s="145"/>
      <c r="P273" s="145"/>
      <c r="Q273" s="145"/>
      <c r="R273" s="145"/>
      <c r="S273" s="145"/>
      <c r="T273" s="145"/>
      <c r="U273" s="145"/>
      <c r="V273" s="145"/>
      <c r="W273" s="145"/>
      <c r="X273" s="145"/>
      <c r="Y273" s="145"/>
      <c r="Z273" s="145"/>
      <c r="AA273" s="145"/>
      <c r="AB273" s="145"/>
      <c r="AC273" s="145"/>
      <c r="AD273" s="145"/>
      <c r="AE273" s="145"/>
      <c r="AF273" s="145"/>
      <c r="AG273" s="145"/>
      <c r="AH273" s="15">
        <f t="shared" si="12"/>
        <v>0</v>
      </c>
      <c r="AI273" s="15">
        <f t="shared" si="13"/>
        <v>25</v>
      </c>
      <c r="AJ273" s="15">
        <f t="shared" si="14"/>
        <v>25</v>
      </c>
    </row>
    <row r="274" spans="2:36">
      <c r="B274" s="124"/>
      <c r="C274" s="125">
        <v>271</v>
      </c>
      <c r="D274" s="144"/>
      <c r="E274" s="144"/>
      <c r="F274" s="144"/>
      <c r="G274" s="144"/>
      <c r="H274" s="144"/>
      <c r="I274" s="145"/>
      <c r="J274" s="145"/>
      <c r="K274" s="145"/>
      <c r="L274" s="145"/>
      <c r="M274" s="145"/>
      <c r="N274" s="145"/>
      <c r="O274" s="145"/>
      <c r="P274" s="145"/>
      <c r="Q274" s="145"/>
      <c r="R274" s="145"/>
      <c r="S274" s="145"/>
      <c r="T274" s="145"/>
      <c r="U274" s="145"/>
      <c r="V274" s="145"/>
      <c r="W274" s="145"/>
      <c r="X274" s="145"/>
      <c r="Y274" s="145"/>
      <c r="Z274" s="145"/>
      <c r="AA274" s="145"/>
      <c r="AB274" s="145"/>
      <c r="AC274" s="145"/>
      <c r="AD274" s="145"/>
      <c r="AE274" s="145"/>
      <c r="AF274" s="145"/>
      <c r="AG274" s="145"/>
      <c r="AH274" s="15">
        <f t="shared" si="12"/>
        <v>0</v>
      </c>
      <c r="AI274" s="15">
        <f t="shared" si="13"/>
        <v>25</v>
      </c>
      <c r="AJ274" s="15">
        <f t="shared" si="14"/>
        <v>25</v>
      </c>
    </row>
    <row r="275" spans="2:36">
      <c r="B275" s="124"/>
      <c r="C275" s="125">
        <v>272</v>
      </c>
      <c r="D275" s="144"/>
      <c r="E275" s="144"/>
      <c r="F275" s="144"/>
      <c r="G275" s="144"/>
      <c r="H275" s="144"/>
      <c r="I275" s="145"/>
      <c r="J275" s="145"/>
      <c r="K275" s="145"/>
      <c r="L275" s="145"/>
      <c r="M275" s="145"/>
      <c r="N275" s="145"/>
      <c r="O275" s="145"/>
      <c r="P275" s="145"/>
      <c r="Q275" s="145"/>
      <c r="R275" s="145"/>
      <c r="S275" s="145"/>
      <c r="T275" s="145"/>
      <c r="U275" s="145"/>
      <c r="V275" s="145"/>
      <c r="W275" s="145"/>
      <c r="X275" s="145"/>
      <c r="Y275" s="145"/>
      <c r="Z275" s="145"/>
      <c r="AA275" s="145"/>
      <c r="AB275" s="145"/>
      <c r="AC275" s="145"/>
      <c r="AD275" s="145"/>
      <c r="AE275" s="145"/>
      <c r="AF275" s="145"/>
      <c r="AG275" s="145"/>
      <c r="AH275" s="15">
        <f t="shared" si="12"/>
        <v>0</v>
      </c>
      <c r="AI275" s="15">
        <f t="shared" si="13"/>
        <v>25</v>
      </c>
      <c r="AJ275" s="15">
        <f t="shared" si="14"/>
        <v>25</v>
      </c>
    </row>
    <row r="276" spans="2:36">
      <c r="B276" s="124"/>
      <c r="C276" s="125">
        <v>273</v>
      </c>
      <c r="D276" s="144"/>
      <c r="E276" s="144"/>
      <c r="F276" s="144"/>
      <c r="G276" s="144"/>
      <c r="H276" s="144"/>
      <c r="I276" s="145"/>
      <c r="J276" s="145"/>
      <c r="K276" s="145"/>
      <c r="L276" s="145"/>
      <c r="M276" s="145"/>
      <c r="N276" s="145"/>
      <c r="O276" s="145"/>
      <c r="P276" s="145"/>
      <c r="Q276" s="145"/>
      <c r="R276" s="145"/>
      <c r="S276" s="145"/>
      <c r="T276" s="145"/>
      <c r="U276" s="145"/>
      <c r="V276" s="145"/>
      <c r="W276" s="145"/>
      <c r="X276" s="145"/>
      <c r="Y276" s="145"/>
      <c r="Z276" s="145"/>
      <c r="AA276" s="145"/>
      <c r="AB276" s="145"/>
      <c r="AC276" s="145"/>
      <c r="AD276" s="145"/>
      <c r="AE276" s="145"/>
      <c r="AF276" s="145"/>
      <c r="AG276" s="145"/>
      <c r="AH276" s="15">
        <f t="shared" si="12"/>
        <v>0</v>
      </c>
      <c r="AI276" s="15">
        <f t="shared" si="13"/>
        <v>25</v>
      </c>
      <c r="AJ276" s="15">
        <f t="shared" si="14"/>
        <v>25</v>
      </c>
    </row>
    <row r="277" spans="2:36">
      <c r="B277" s="124"/>
      <c r="C277" s="125">
        <v>274</v>
      </c>
      <c r="D277" s="144"/>
      <c r="E277" s="144"/>
      <c r="F277" s="144"/>
      <c r="G277" s="144"/>
      <c r="H277" s="144"/>
      <c r="I277" s="145"/>
      <c r="J277" s="145"/>
      <c r="K277" s="145"/>
      <c r="L277" s="145"/>
      <c r="M277" s="145"/>
      <c r="N277" s="145"/>
      <c r="O277" s="145"/>
      <c r="P277" s="145"/>
      <c r="Q277" s="145"/>
      <c r="R277" s="145"/>
      <c r="S277" s="145"/>
      <c r="T277" s="145"/>
      <c r="U277" s="145"/>
      <c r="V277" s="145"/>
      <c r="W277" s="145"/>
      <c r="X277" s="145"/>
      <c r="Y277" s="145"/>
      <c r="Z277" s="145"/>
      <c r="AA277" s="145"/>
      <c r="AB277" s="145"/>
      <c r="AC277" s="145"/>
      <c r="AD277" s="145"/>
      <c r="AE277" s="145"/>
      <c r="AF277" s="145"/>
      <c r="AG277" s="145"/>
      <c r="AH277" s="15">
        <f t="shared" si="12"/>
        <v>0</v>
      </c>
      <c r="AI277" s="15">
        <f t="shared" si="13"/>
        <v>25</v>
      </c>
      <c r="AJ277" s="15">
        <f t="shared" si="14"/>
        <v>25</v>
      </c>
    </row>
    <row r="278" spans="2:36">
      <c r="B278" s="124"/>
      <c r="C278" s="125">
        <v>275</v>
      </c>
      <c r="D278" s="144"/>
      <c r="E278" s="144"/>
      <c r="F278" s="144"/>
      <c r="G278" s="144"/>
      <c r="H278" s="144"/>
      <c r="I278" s="145"/>
      <c r="J278" s="145"/>
      <c r="K278" s="145"/>
      <c r="L278" s="145"/>
      <c r="M278" s="145"/>
      <c r="N278" s="145"/>
      <c r="O278" s="145"/>
      <c r="P278" s="145"/>
      <c r="Q278" s="145"/>
      <c r="R278" s="145"/>
      <c r="S278" s="145"/>
      <c r="T278" s="145"/>
      <c r="U278" s="145"/>
      <c r="V278" s="145"/>
      <c r="W278" s="145"/>
      <c r="X278" s="145"/>
      <c r="Y278" s="145"/>
      <c r="Z278" s="145"/>
      <c r="AA278" s="145"/>
      <c r="AB278" s="145"/>
      <c r="AC278" s="145"/>
      <c r="AD278" s="145"/>
      <c r="AE278" s="145"/>
      <c r="AF278" s="145"/>
      <c r="AG278" s="145"/>
      <c r="AH278" s="15">
        <f t="shared" si="12"/>
        <v>0</v>
      </c>
      <c r="AI278" s="15">
        <f t="shared" si="13"/>
        <v>25</v>
      </c>
      <c r="AJ278" s="15">
        <f t="shared" si="14"/>
        <v>25</v>
      </c>
    </row>
    <row r="279" spans="2:36">
      <c r="B279" s="124"/>
      <c r="C279" s="125">
        <v>276</v>
      </c>
      <c r="D279" s="144"/>
      <c r="E279" s="144"/>
      <c r="F279" s="144"/>
      <c r="G279" s="144"/>
      <c r="H279" s="144"/>
      <c r="I279" s="145"/>
      <c r="J279" s="145"/>
      <c r="K279" s="145"/>
      <c r="L279" s="145"/>
      <c r="M279" s="145"/>
      <c r="N279" s="145"/>
      <c r="O279" s="145"/>
      <c r="P279" s="145"/>
      <c r="Q279" s="145"/>
      <c r="R279" s="145"/>
      <c r="S279" s="145"/>
      <c r="T279" s="145"/>
      <c r="U279" s="145"/>
      <c r="V279" s="145"/>
      <c r="W279" s="145"/>
      <c r="X279" s="145"/>
      <c r="Y279" s="145"/>
      <c r="Z279" s="145"/>
      <c r="AA279" s="145"/>
      <c r="AB279" s="145"/>
      <c r="AC279" s="145"/>
      <c r="AD279" s="145"/>
      <c r="AE279" s="145"/>
      <c r="AF279" s="145"/>
      <c r="AG279" s="145"/>
      <c r="AH279" s="15">
        <f t="shared" si="12"/>
        <v>0</v>
      </c>
      <c r="AI279" s="15">
        <f t="shared" si="13"/>
        <v>25</v>
      </c>
      <c r="AJ279" s="15">
        <f t="shared" si="14"/>
        <v>25</v>
      </c>
    </row>
    <row r="280" spans="2:36">
      <c r="B280" s="124"/>
      <c r="C280" s="125">
        <v>277</v>
      </c>
      <c r="D280" s="144"/>
      <c r="E280" s="144"/>
      <c r="F280" s="144"/>
      <c r="G280" s="144"/>
      <c r="H280" s="144"/>
      <c r="I280" s="145"/>
      <c r="J280" s="145"/>
      <c r="K280" s="145"/>
      <c r="L280" s="145"/>
      <c r="M280" s="145"/>
      <c r="N280" s="145"/>
      <c r="O280" s="145"/>
      <c r="P280" s="145"/>
      <c r="Q280" s="145"/>
      <c r="R280" s="145"/>
      <c r="S280" s="145"/>
      <c r="T280" s="145"/>
      <c r="U280" s="145"/>
      <c r="V280" s="145"/>
      <c r="W280" s="145"/>
      <c r="X280" s="145"/>
      <c r="Y280" s="145"/>
      <c r="Z280" s="145"/>
      <c r="AA280" s="145"/>
      <c r="AB280" s="145"/>
      <c r="AC280" s="145"/>
      <c r="AD280" s="145"/>
      <c r="AE280" s="145"/>
      <c r="AF280" s="145"/>
      <c r="AG280" s="145"/>
      <c r="AH280" s="15">
        <f t="shared" si="12"/>
        <v>0</v>
      </c>
      <c r="AI280" s="15">
        <f t="shared" si="13"/>
        <v>25</v>
      </c>
      <c r="AJ280" s="15">
        <f t="shared" si="14"/>
        <v>25</v>
      </c>
    </row>
    <row r="281" spans="2:36">
      <c r="B281" s="124"/>
      <c r="C281" s="125">
        <v>278</v>
      </c>
      <c r="D281" s="144"/>
      <c r="E281" s="144"/>
      <c r="F281" s="144"/>
      <c r="G281" s="144"/>
      <c r="H281" s="144"/>
      <c r="I281" s="145"/>
      <c r="J281" s="145"/>
      <c r="K281" s="145"/>
      <c r="L281" s="145"/>
      <c r="M281" s="145"/>
      <c r="N281" s="145"/>
      <c r="O281" s="145"/>
      <c r="P281" s="145"/>
      <c r="Q281" s="145"/>
      <c r="R281" s="145"/>
      <c r="S281" s="145"/>
      <c r="T281" s="145"/>
      <c r="U281" s="145"/>
      <c r="V281" s="145"/>
      <c r="W281" s="145"/>
      <c r="X281" s="145"/>
      <c r="Y281" s="145"/>
      <c r="Z281" s="145"/>
      <c r="AA281" s="145"/>
      <c r="AB281" s="145"/>
      <c r="AC281" s="145"/>
      <c r="AD281" s="145"/>
      <c r="AE281" s="145"/>
      <c r="AF281" s="145"/>
      <c r="AG281" s="145"/>
      <c r="AH281" s="15">
        <f t="shared" si="12"/>
        <v>0</v>
      </c>
      <c r="AI281" s="15">
        <f t="shared" si="13"/>
        <v>25</v>
      </c>
      <c r="AJ281" s="15">
        <f t="shared" si="14"/>
        <v>25</v>
      </c>
    </row>
    <row r="282" spans="2:36">
      <c r="B282" s="124"/>
      <c r="C282" s="125">
        <v>279</v>
      </c>
      <c r="D282" s="144"/>
      <c r="E282" s="144"/>
      <c r="F282" s="144"/>
      <c r="G282" s="144"/>
      <c r="H282" s="144"/>
      <c r="I282" s="145"/>
      <c r="J282" s="145"/>
      <c r="K282" s="145"/>
      <c r="L282" s="145"/>
      <c r="M282" s="145"/>
      <c r="N282" s="145"/>
      <c r="O282" s="145"/>
      <c r="P282" s="145"/>
      <c r="Q282" s="145"/>
      <c r="R282" s="145"/>
      <c r="S282" s="145"/>
      <c r="T282" s="145"/>
      <c r="U282" s="145"/>
      <c r="V282" s="145"/>
      <c r="W282" s="145"/>
      <c r="X282" s="145"/>
      <c r="Y282" s="145"/>
      <c r="Z282" s="145"/>
      <c r="AA282" s="145"/>
      <c r="AB282" s="145"/>
      <c r="AC282" s="145"/>
      <c r="AD282" s="145"/>
      <c r="AE282" s="145"/>
      <c r="AF282" s="145"/>
      <c r="AG282" s="145"/>
      <c r="AH282" s="15">
        <f t="shared" si="12"/>
        <v>0</v>
      </c>
      <c r="AI282" s="15">
        <f t="shared" si="13"/>
        <v>25</v>
      </c>
      <c r="AJ282" s="15">
        <f t="shared" si="14"/>
        <v>25</v>
      </c>
    </row>
    <row r="283" spans="2:36">
      <c r="B283" s="124"/>
      <c r="C283" s="125">
        <v>280</v>
      </c>
      <c r="D283" s="144"/>
      <c r="E283" s="144"/>
      <c r="F283" s="144"/>
      <c r="G283" s="144"/>
      <c r="H283" s="144"/>
      <c r="I283" s="145"/>
      <c r="J283" s="145"/>
      <c r="K283" s="145"/>
      <c r="L283" s="145"/>
      <c r="M283" s="145"/>
      <c r="N283" s="145"/>
      <c r="O283" s="145"/>
      <c r="P283" s="145"/>
      <c r="Q283" s="145"/>
      <c r="R283" s="145"/>
      <c r="S283" s="145"/>
      <c r="T283" s="145"/>
      <c r="U283" s="145"/>
      <c r="V283" s="145"/>
      <c r="W283" s="145"/>
      <c r="X283" s="145"/>
      <c r="Y283" s="145"/>
      <c r="Z283" s="145"/>
      <c r="AA283" s="145"/>
      <c r="AB283" s="145"/>
      <c r="AC283" s="145"/>
      <c r="AD283" s="145"/>
      <c r="AE283" s="145"/>
      <c r="AF283" s="145"/>
      <c r="AG283" s="145"/>
      <c r="AH283" s="15">
        <f t="shared" si="12"/>
        <v>0</v>
      </c>
      <c r="AI283" s="15">
        <f t="shared" si="13"/>
        <v>25</v>
      </c>
      <c r="AJ283" s="15">
        <f t="shared" si="14"/>
        <v>25</v>
      </c>
    </row>
    <row r="284" spans="2:36">
      <c r="B284" s="124"/>
      <c r="C284" s="125">
        <v>281</v>
      </c>
      <c r="D284" s="144"/>
      <c r="E284" s="144"/>
      <c r="F284" s="144"/>
      <c r="G284" s="144"/>
      <c r="H284" s="144"/>
      <c r="I284" s="145"/>
      <c r="J284" s="145"/>
      <c r="K284" s="145"/>
      <c r="L284" s="145"/>
      <c r="M284" s="145"/>
      <c r="N284" s="145"/>
      <c r="O284" s="145"/>
      <c r="P284" s="145"/>
      <c r="Q284" s="145"/>
      <c r="R284" s="145"/>
      <c r="S284" s="145"/>
      <c r="T284" s="145"/>
      <c r="U284" s="145"/>
      <c r="V284" s="145"/>
      <c r="W284" s="145"/>
      <c r="X284" s="145"/>
      <c r="Y284" s="145"/>
      <c r="Z284" s="145"/>
      <c r="AA284" s="145"/>
      <c r="AB284" s="145"/>
      <c r="AC284" s="145"/>
      <c r="AD284" s="145"/>
      <c r="AE284" s="145"/>
      <c r="AF284" s="145"/>
      <c r="AG284" s="145"/>
      <c r="AH284" s="15">
        <f t="shared" si="12"/>
        <v>0</v>
      </c>
      <c r="AI284" s="15">
        <f t="shared" si="13"/>
        <v>25</v>
      </c>
      <c r="AJ284" s="15">
        <f t="shared" si="14"/>
        <v>25</v>
      </c>
    </row>
    <row r="285" spans="2:36">
      <c r="B285" s="124"/>
      <c r="C285" s="125">
        <v>282</v>
      </c>
      <c r="D285" s="144"/>
      <c r="E285" s="144"/>
      <c r="F285" s="144"/>
      <c r="G285" s="144"/>
      <c r="H285" s="144"/>
      <c r="I285" s="145"/>
      <c r="J285" s="145"/>
      <c r="K285" s="145"/>
      <c r="L285" s="145"/>
      <c r="M285" s="145"/>
      <c r="N285" s="145"/>
      <c r="O285" s="145"/>
      <c r="P285" s="145"/>
      <c r="Q285" s="145"/>
      <c r="R285" s="145"/>
      <c r="S285" s="145"/>
      <c r="T285" s="145"/>
      <c r="U285" s="145"/>
      <c r="V285" s="145"/>
      <c r="W285" s="145"/>
      <c r="X285" s="145"/>
      <c r="Y285" s="145"/>
      <c r="Z285" s="145"/>
      <c r="AA285" s="145"/>
      <c r="AB285" s="145"/>
      <c r="AC285" s="145"/>
      <c r="AD285" s="145"/>
      <c r="AE285" s="145"/>
      <c r="AF285" s="145"/>
      <c r="AG285" s="145"/>
      <c r="AH285" s="15">
        <f t="shared" si="12"/>
        <v>0</v>
      </c>
      <c r="AI285" s="15">
        <f t="shared" si="13"/>
        <v>25</v>
      </c>
      <c r="AJ285" s="15">
        <f t="shared" si="14"/>
        <v>25</v>
      </c>
    </row>
    <row r="286" spans="2:36">
      <c r="B286" s="124"/>
      <c r="C286" s="125">
        <v>283</v>
      </c>
      <c r="D286" s="144"/>
      <c r="E286" s="144"/>
      <c r="F286" s="144"/>
      <c r="G286" s="144"/>
      <c r="H286" s="144"/>
      <c r="I286" s="145"/>
      <c r="J286" s="145"/>
      <c r="K286" s="145"/>
      <c r="L286" s="145"/>
      <c r="M286" s="145"/>
      <c r="N286" s="145"/>
      <c r="O286" s="145"/>
      <c r="P286" s="145"/>
      <c r="Q286" s="145"/>
      <c r="R286" s="145"/>
      <c r="S286" s="145"/>
      <c r="T286" s="145"/>
      <c r="U286" s="145"/>
      <c r="V286" s="145"/>
      <c r="W286" s="145"/>
      <c r="X286" s="145"/>
      <c r="Y286" s="145"/>
      <c r="Z286" s="145"/>
      <c r="AA286" s="145"/>
      <c r="AB286" s="145"/>
      <c r="AC286" s="145"/>
      <c r="AD286" s="145"/>
      <c r="AE286" s="145"/>
      <c r="AF286" s="145"/>
      <c r="AG286" s="145"/>
      <c r="AH286" s="15">
        <f t="shared" si="12"/>
        <v>0</v>
      </c>
      <c r="AI286" s="15">
        <f t="shared" si="13"/>
        <v>25</v>
      </c>
      <c r="AJ286" s="15">
        <f t="shared" si="14"/>
        <v>25</v>
      </c>
    </row>
    <row r="287" spans="2:36">
      <c r="B287" s="124"/>
      <c r="C287" s="125">
        <v>284</v>
      </c>
      <c r="D287" s="144"/>
      <c r="E287" s="144"/>
      <c r="F287" s="144"/>
      <c r="G287" s="144"/>
      <c r="H287" s="144"/>
      <c r="I287" s="145"/>
      <c r="J287" s="145"/>
      <c r="K287" s="145"/>
      <c r="L287" s="145"/>
      <c r="M287" s="145"/>
      <c r="N287" s="145"/>
      <c r="O287" s="145"/>
      <c r="P287" s="145"/>
      <c r="Q287" s="145"/>
      <c r="R287" s="145"/>
      <c r="S287" s="145"/>
      <c r="T287" s="145"/>
      <c r="U287" s="145"/>
      <c r="V287" s="145"/>
      <c r="W287" s="145"/>
      <c r="X287" s="145"/>
      <c r="Y287" s="145"/>
      <c r="Z287" s="145"/>
      <c r="AA287" s="145"/>
      <c r="AB287" s="145"/>
      <c r="AC287" s="145"/>
      <c r="AD287" s="145"/>
      <c r="AE287" s="145"/>
      <c r="AF287" s="145"/>
      <c r="AG287" s="145"/>
      <c r="AH287" s="15">
        <f t="shared" si="12"/>
        <v>0</v>
      </c>
      <c r="AI287" s="15">
        <f t="shared" si="13"/>
        <v>25</v>
      </c>
      <c r="AJ287" s="15">
        <f t="shared" si="14"/>
        <v>25</v>
      </c>
    </row>
    <row r="288" spans="2:36">
      <c r="B288" s="124"/>
      <c r="C288" s="125">
        <v>285</v>
      </c>
      <c r="D288" s="144"/>
      <c r="E288" s="144"/>
      <c r="F288" s="144"/>
      <c r="G288" s="144"/>
      <c r="H288" s="144"/>
      <c r="I288" s="145"/>
      <c r="J288" s="145"/>
      <c r="K288" s="145"/>
      <c r="L288" s="145"/>
      <c r="M288" s="145"/>
      <c r="N288" s="145"/>
      <c r="O288" s="145"/>
      <c r="P288" s="145"/>
      <c r="Q288" s="145"/>
      <c r="R288" s="145"/>
      <c r="S288" s="145"/>
      <c r="T288" s="145"/>
      <c r="U288" s="145"/>
      <c r="V288" s="145"/>
      <c r="W288" s="145"/>
      <c r="X288" s="145"/>
      <c r="Y288" s="145"/>
      <c r="Z288" s="145"/>
      <c r="AA288" s="145"/>
      <c r="AB288" s="145"/>
      <c r="AC288" s="145"/>
      <c r="AD288" s="145"/>
      <c r="AE288" s="145"/>
      <c r="AF288" s="145"/>
      <c r="AG288" s="145"/>
      <c r="AH288" s="15">
        <f t="shared" si="12"/>
        <v>0</v>
      </c>
      <c r="AI288" s="15">
        <f t="shared" si="13"/>
        <v>25</v>
      </c>
      <c r="AJ288" s="15">
        <f t="shared" si="14"/>
        <v>25</v>
      </c>
    </row>
    <row r="289" spans="2:36">
      <c r="B289" s="124"/>
      <c r="C289" s="125">
        <v>286</v>
      </c>
      <c r="D289" s="144"/>
      <c r="E289" s="144"/>
      <c r="F289" s="144"/>
      <c r="G289" s="144"/>
      <c r="H289" s="144"/>
      <c r="I289" s="145"/>
      <c r="J289" s="145"/>
      <c r="K289" s="145"/>
      <c r="L289" s="145"/>
      <c r="M289" s="145"/>
      <c r="N289" s="145"/>
      <c r="O289" s="145"/>
      <c r="P289" s="145"/>
      <c r="Q289" s="145"/>
      <c r="R289" s="145"/>
      <c r="S289" s="145"/>
      <c r="T289" s="145"/>
      <c r="U289" s="145"/>
      <c r="V289" s="145"/>
      <c r="W289" s="145"/>
      <c r="X289" s="145"/>
      <c r="Y289" s="145"/>
      <c r="Z289" s="145"/>
      <c r="AA289" s="145"/>
      <c r="AB289" s="145"/>
      <c r="AC289" s="145"/>
      <c r="AD289" s="145"/>
      <c r="AE289" s="145"/>
      <c r="AF289" s="145"/>
      <c r="AG289" s="145"/>
      <c r="AH289" s="15">
        <f t="shared" si="12"/>
        <v>0</v>
      </c>
      <c r="AI289" s="15">
        <f t="shared" si="13"/>
        <v>25</v>
      </c>
      <c r="AJ289" s="15">
        <f t="shared" si="14"/>
        <v>25</v>
      </c>
    </row>
    <row r="290" spans="2:36">
      <c r="B290" s="124"/>
      <c r="C290" s="125">
        <v>287</v>
      </c>
      <c r="D290" s="144"/>
      <c r="E290" s="144"/>
      <c r="F290" s="144"/>
      <c r="G290" s="144"/>
      <c r="H290" s="144"/>
      <c r="I290" s="145"/>
      <c r="J290" s="145"/>
      <c r="K290" s="145"/>
      <c r="L290" s="145"/>
      <c r="M290" s="145"/>
      <c r="N290" s="145"/>
      <c r="O290" s="145"/>
      <c r="P290" s="145"/>
      <c r="Q290" s="145"/>
      <c r="R290" s="145"/>
      <c r="S290" s="145"/>
      <c r="T290" s="145"/>
      <c r="U290" s="145"/>
      <c r="V290" s="145"/>
      <c r="W290" s="145"/>
      <c r="X290" s="145"/>
      <c r="Y290" s="145"/>
      <c r="Z290" s="145"/>
      <c r="AA290" s="145"/>
      <c r="AB290" s="145"/>
      <c r="AC290" s="145"/>
      <c r="AD290" s="145"/>
      <c r="AE290" s="145"/>
      <c r="AF290" s="145"/>
      <c r="AG290" s="145"/>
      <c r="AH290" s="15">
        <f t="shared" si="12"/>
        <v>0</v>
      </c>
      <c r="AI290" s="15">
        <f t="shared" si="13"/>
        <v>25</v>
      </c>
      <c r="AJ290" s="15">
        <f t="shared" si="14"/>
        <v>25</v>
      </c>
    </row>
    <row r="291" spans="2:36">
      <c r="B291" s="124"/>
      <c r="C291" s="125">
        <v>288</v>
      </c>
      <c r="D291" s="144"/>
      <c r="E291" s="144"/>
      <c r="F291" s="144"/>
      <c r="G291" s="144"/>
      <c r="H291" s="144"/>
      <c r="I291" s="145"/>
      <c r="J291" s="145"/>
      <c r="K291" s="145"/>
      <c r="L291" s="145"/>
      <c r="M291" s="145"/>
      <c r="N291" s="145"/>
      <c r="O291" s="145"/>
      <c r="P291" s="145"/>
      <c r="Q291" s="145"/>
      <c r="R291" s="145"/>
      <c r="S291" s="145"/>
      <c r="T291" s="145"/>
      <c r="U291" s="145"/>
      <c r="V291" s="145"/>
      <c r="W291" s="145"/>
      <c r="X291" s="145"/>
      <c r="Y291" s="145"/>
      <c r="Z291" s="145"/>
      <c r="AA291" s="145"/>
      <c r="AB291" s="145"/>
      <c r="AC291" s="145"/>
      <c r="AD291" s="145"/>
      <c r="AE291" s="145"/>
      <c r="AF291" s="145"/>
      <c r="AG291" s="145"/>
      <c r="AH291" s="15">
        <f t="shared" si="12"/>
        <v>0</v>
      </c>
      <c r="AI291" s="15">
        <f t="shared" si="13"/>
        <v>25</v>
      </c>
      <c r="AJ291" s="15">
        <f t="shared" si="14"/>
        <v>25</v>
      </c>
    </row>
    <row r="292" spans="2:36">
      <c r="B292" s="124"/>
      <c r="C292" s="125">
        <v>289</v>
      </c>
      <c r="D292" s="144"/>
      <c r="E292" s="144"/>
      <c r="F292" s="144"/>
      <c r="G292" s="144"/>
      <c r="H292" s="144"/>
      <c r="I292" s="145"/>
      <c r="J292" s="145"/>
      <c r="K292" s="145"/>
      <c r="L292" s="145"/>
      <c r="M292" s="145"/>
      <c r="N292" s="145"/>
      <c r="O292" s="145"/>
      <c r="P292" s="145"/>
      <c r="Q292" s="145"/>
      <c r="R292" s="145"/>
      <c r="S292" s="145"/>
      <c r="T292" s="145"/>
      <c r="U292" s="145"/>
      <c r="V292" s="145"/>
      <c r="W292" s="145"/>
      <c r="X292" s="145"/>
      <c r="Y292" s="145"/>
      <c r="Z292" s="145"/>
      <c r="AA292" s="145"/>
      <c r="AB292" s="145"/>
      <c r="AC292" s="145"/>
      <c r="AD292" s="145"/>
      <c r="AE292" s="145"/>
      <c r="AF292" s="145"/>
      <c r="AG292" s="145"/>
      <c r="AH292" s="15">
        <f t="shared" si="12"/>
        <v>0</v>
      </c>
      <c r="AI292" s="15">
        <f t="shared" si="13"/>
        <v>25</v>
      </c>
      <c r="AJ292" s="15">
        <f t="shared" si="14"/>
        <v>25</v>
      </c>
    </row>
    <row r="293" spans="2:36">
      <c r="B293" s="124"/>
      <c r="C293" s="125">
        <v>290</v>
      </c>
      <c r="D293" s="144"/>
      <c r="E293" s="144"/>
      <c r="F293" s="144"/>
      <c r="G293" s="144"/>
      <c r="H293" s="144"/>
      <c r="I293" s="145"/>
      <c r="J293" s="145"/>
      <c r="K293" s="145"/>
      <c r="L293" s="145"/>
      <c r="M293" s="145"/>
      <c r="N293" s="145"/>
      <c r="O293" s="145"/>
      <c r="P293" s="145"/>
      <c r="Q293" s="145"/>
      <c r="R293" s="145"/>
      <c r="S293" s="145"/>
      <c r="T293" s="145"/>
      <c r="U293" s="145"/>
      <c r="V293" s="145"/>
      <c r="W293" s="145"/>
      <c r="X293" s="145"/>
      <c r="Y293" s="145"/>
      <c r="Z293" s="145"/>
      <c r="AA293" s="145"/>
      <c r="AB293" s="145"/>
      <c r="AC293" s="145"/>
      <c r="AD293" s="145"/>
      <c r="AE293" s="145"/>
      <c r="AF293" s="145"/>
      <c r="AG293" s="145"/>
      <c r="AH293" s="15">
        <f t="shared" si="12"/>
        <v>0</v>
      </c>
      <c r="AI293" s="15">
        <f t="shared" si="13"/>
        <v>25</v>
      </c>
      <c r="AJ293" s="15">
        <f t="shared" si="14"/>
        <v>25</v>
      </c>
    </row>
    <row r="294" spans="2:36">
      <c r="B294" s="124"/>
      <c r="C294" s="125">
        <v>291</v>
      </c>
      <c r="D294" s="144"/>
      <c r="E294" s="144"/>
      <c r="F294" s="144"/>
      <c r="G294" s="144"/>
      <c r="H294" s="144"/>
      <c r="I294" s="145"/>
      <c r="J294" s="145"/>
      <c r="K294" s="145"/>
      <c r="L294" s="145"/>
      <c r="M294" s="145"/>
      <c r="N294" s="145"/>
      <c r="O294" s="145"/>
      <c r="P294" s="145"/>
      <c r="Q294" s="145"/>
      <c r="R294" s="145"/>
      <c r="S294" s="145"/>
      <c r="T294" s="145"/>
      <c r="U294" s="145"/>
      <c r="V294" s="145"/>
      <c r="W294" s="145"/>
      <c r="X294" s="145"/>
      <c r="Y294" s="145"/>
      <c r="Z294" s="145"/>
      <c r="AA294" s="145"/>
      <c r="AB294" s="145"/>
      <c r="AC294" s="145"/>
      <c r="AD294" s="145"/>
      <c r="AE294" s="145"/>
      <c r="AF294" s="145"/>
      <c r="AG294" s="145"/>
      <c r="AH294" s="15">
        <f t="shared" si="12"/>
        <v>0</v>
      </c>
      <c r="AI294" s="15">
        <f t="shared" si="13"/>
        <v>25</v>
      </c>
      <c r="AJ294" s="15">
        <f t="shared" si="14"/>
        <v>25</v>
      </c>
    </row>
    <row r="295" spans="2:36">
      <c r="B295" s="124"/>
      <c r="C295" s="125">
        <v>292</v>
      </c>
      <c r="D295" s="144"/>
      <c r="E295" s="144"/>
      <c r="F295" s="144"/>
      <c r="G295" s="144"/>
      <c r="H295" s="144"/>
      <c r="I295" s="145"/>
      <c r="J295" s="145"/>
      <c r="K295" s="145"/>
      <c r="L295" s="145"/>
      <c r="M295" s="145"/>
      <c r="N295" s="145"/>
      <c r="O295" s="145"/>
      <c r="P295" s="145"/>
      <c r="Q295" s="145"/>
      <c r="R295" s="145"/>
      <c r="S295" s="145"/>
      <c r="T295" s="145"/>
      <c r="U295" s="145"/>
      <c r="V295" s="145"/>
      <c r="W295" s="145"/>
      <c r="X295" s="145"/>
      <c r="Y295" s="145"/>
      <c r="Z295" s="145"/>
      <c r="AA295" s="145"/>
      <c r="AB295" s="145"/>
      <c r="AC295" s="145"/>
      <c r="AD295" s="145"/>
      <c r="AE295" s="145"/>
      <c r="AF295" s="145"/>
      <c r="AG295" s="145"/>
      <c r="AH295" s="15">
        <f t="shared" si="12"/>
        <v>0</v>
      </c>
      <c r="AI295" s="15">
        <f t="shared" si="13"/>
        <v>25</v>
      </c>
      <c r="AJ295" s="15">
        <f t="shared" si="14"/>
        <v>25</v>
      </c>
    </row>
    <row r="296" spans="2:36">
      <c r="B296" s="124"/>
      <c r="C296" s="125">
        <v>293</v>
      </c>
      <c r="D296" s="144"/>
      <c r="E296" s="144"/>
      <c r="F296" s="144"/>
      <c r="G296" s="144"/>
      <c r="H296" s="144"/>
      <c r="I296" s="145"/>
      <c r="J296" s="145"/>
      <c r="K296" s="145"/>
      <c r="L296" s="145"/>
      <c r="M296" s="145"/>
      <c r="N296" s="145"/>
      <c r="O296" s="145"/>
      <c r="P296" s="145"/>
      <c r="Q296" s="145"/>
      <c r="R296" s="145"/>
      <c r="S296" s="145"/>
      <c r="T296" s="145"/>
      <c r="U296" s="145"/>
      <c r="V296" s="145"/>
      <c r="W296" s="145"/>
      <c r="X296" s="145"/>
      <c r="Y296" s="145"/>
      <c r="Z296" s="145"/>
      <c r="AA296" s="145"/>
      <c r="AB296" s="145"/>
      <c r="AC296" s="145"/>
      <c r="AD296" s="145"/>
      <c r="AE296" s="145"/>
      <c r="AF296" s="145"/>
      <c r="AG296" s="145"/>
      <c r="AH296" s="15">
        <f t="shared" si="12"/>
        <v>0</v>
      </c>
      <c r="AI296" s="15">
        <f t="shared" si="13"/>
        <v>25</v>
      </c>
      <c r="AJ296" s="15">
        <f t="shared" si="14"/>
        <v>25</v>
      </c>
    </row>
    <row r="297" spans="2:36">
      <c r="B297" s="124"/>
      <c r="C297" s="125">
        <v>294</v>
      </c>
      <c r="D297" s="144"/>
      <c r="E297" s="144"/>
      <c r="F297" s="144"/>
      <c r="G297" s="144"/>
      <c r="H297" s="144"/>
      <c r="I297" s="145"/>
      <c r="J297" s="145"/>
      <c r="K297" s="145"/>
      <c r="L297" s="145"/>
      <c r="M297" s="145"/>
      <c r="N297" s="145"/>
      <c r="O297" s="145"/>
      <c r="P297" s="145"/>
      <c r="Q297" s="145"/>
      <c r="R297" s="145"/>
      <c r="S297" s="145"/>
      <c r="T297" s="145"/>
      <c r="U297" s="145"/>
      <c r="V297" s="145"/>
      <c r="W297" s="145"/>
      <c r="X297" s="145"/>
      <c r="Y297" s="145"/>
      <c r="Z297" s="145"/>
      <c r="AA297" s="145"/>
      <c r="AB297" s="145"/>
      <c r="AC297" s="145"/>
      <c r="AD297" s="145"/>
      <c r="AE297" s="145"/>
      <c r="AF297" s="145"/>
      <c r="AG297" s="145"/>
      <c r="AH297" s="15">
        <f t="shared" si="12"/>
        <v>0</v>
      </c>
      <c r="AI297" s="15">
        <f t="shared" si="13"/>
        <v>25</v>
      </c>
      <c r="AJ297" s="15">
        <f t="shared" si="14"/>
        <v>25</v>
      </c>
    </row>
    <row r="298" spans="2:36">
      <c r="B298" s="124"/>
      <c r="C298" s="125">
        <v>295</v>
      </c>
      <c r="D298" s="144"/>
      <c r="E298" s="144"/>
      <c r="F298" s="144"/>
      <c r="G298" s="144"/>
      <c r="H298" s="144"/>
      <c r="I298" s="145"/>
      <c r="J298" s="145"/>
      <c r="K298" s="145"/>
      <c r="L298" s="145"/>
      <c r="M298" s="145"/>
      <c r="N298" s="145"/>
      <c r="O298" s="145"/>
      <c r="P298" s="145"/>
      <c r="Q298" s="145"/>
      <c r="R298" s="145"/>
      <c r="S298" s="145"/>
      <c r="T298" s="145"/>
      <c r="U298" s="145"/>
      <c r="V298" s="145"/>
      <c r="W298" s="145"/>
      <c r="X298" s="145"/>
      <c r="Y298" s="145"/>
      <c r="Z298" s="145"/>
      <c r="AA298" s="145"/>
      <c r="AB298" s="145"/>
      <c r="AC298" s="145"/>
      <c r="AD298" s="145"/>
      <c r="AE298" s="145"/>
      <c r="AF298" s="145"/>
      <c r="AG298" s="145"/>
      <c r="AH298" s="15">
        <f t="shared" si="12"/>
        <v>0</v>
      </c>
      <c r="AI298" s="15">
        <f t="shared" si="13"/>
        <v>25</v>
      </c>
      <c r="AJ298" s="15">
        <f t="shared" si="14"/>
        <v>25</v>
      </c>
    </row>
    <row r="299" spans="2:36">
      <c r="B299" s="124"/>
      <c r="C299" s="125">
        <v>296</v>
      </c>
      <c r="D299" s="144"/>
      <c r="E299" s="144"/>
      <c r="F299" s="144"/>
      <c r="G299" s="144"/>
      <c r="H299" s="144"/>
      <c r="I299" s="145"/>
      <c r="J299" s="145"/>
      <c r="K299" s="145"/>
      <c r="L299" s="145"/>
      <c r="M299" s="145"/>
      <c r="N299" s="145"/>
      <c r="O299" s="145"/>
      <c r="P299" s="145"/>
      <c r="Q299" s="145"/>
      <c r="R299" s="145"/>
      <c r="S299" s="145"/>
      <c r="T299" s="145"/>
      <c r="U299" s="145"/>
      <c r="V299" s="145"/>
      <c r="W299" s="145"/>
      <c r="X299" s="145"/>
      <c r="Y299" s="145"/>
      <c r="Z299" s="145"/>
      <c r="AA299" s="145"/>
      <c r="AB299" s="145"/>
      <c r="AC299" s="145"/>
      <c r="AD299" s="145"/>
      <c r="AE299" s="145"/>
      <c r="AF299" s="145"/>
      <c r="AG299" s="145"/>
      <c r="AH299" s="15">
        <f t="shared" si="12"/>
        <v>0</v>
      </c>
      <c r="AI299" s="15">
        <f t="shared" si="13"/>
        <v>25</v>
      </c>
      <c r="AJ299" s="15">
        <f t="shared" si="14"/>
        <v>25</v>
      </c>
    </row>
    <row r="300" spans="2:36">
      <c r="B300" s="124"/>
      <c r="C300" s="125">
        <v>297</v>
      </c>
      <c r="D300" s="144"/>
      <c r="E300" s="144"/>
      <c r="F300" s="144"/>
      <c r="G300" s="144"/>
      <c r="H300" s="144"/>
      <c r="I300" s="145"/>
      <c r="J300" s="145"/>
      <c r="K300" s="145"/>
      <c r="L300" s="145"/>
      <c r="M300" s="145"/>
      <c r="N300" s="145"/>
      <c r="O300" s="145"/>
      <c r="P300" s="145"/>
      <c r="Q300" s="145"/>
      <c r="R300" s="145"/>
      <c r="S300" s="145"/>
      <c r="T300" s="145"/>
      <c r="U300" s="145"/>
      <c r="V300" s="145"/>
      <c r="W300" s="145"/>
      <c r="X300" s="145"/>
      <c r="Y300" s="145"/>
      <c r="Z300" s="145"/>
      <c r="AA300" s="145"/>
      <c r="AB300" s="145"/>
      <c r="AC300" s="145"/>
      <c r="AD300" s="145"/>
      <c r="AE300" s="145"/>
      <c r="AF300" s="145"/>
      <c r="AG300" s="145"/>
      <c r="AH300" s="15">
        <f t="shared" si="12"/>
        <v>0</v>
      </c>
      <c r="AI300" s="15">
        <f t="shared" si="13"/>
        <v>25</v>
      </c>
      <c r="AJ300" s="15">
        <f t="shared" si="14"/>
        <v>25</v>
      </c>
    </row>
    <row r="301" spans="2:36">
      <c r="B301" s="124"/>
      <c r="C301" s="125">
        <v>298</v>
      </c>
      <c r="D301" s="144"/>
      <c r="E301" s="144"/>
      <c r="F301" s="144"/>
      <c r="G301" s="144"/>
      <c r="H301" s="144"/>
      <c r="I301" s="145"/>
      <c r="J301" s="145"/>
      <c r="K301" s="145"/>
      <c r="L301" s="145"/>
      <c r="M301" s="145"/>
      <c r="N301" s="145"/>
      <c r="O301" s="145"/>
      <c r="P301" s="145"/>
      <c r="Q301" s="145"/>
      <c r="R301" s="145"/>
      <c r="S301" s="145"/>
      <c r="T301" s="145"/>
      <c r="U301" s="145"/>
      <c r="V301" s="145"/>
      <c r="W301" s="145"/>
      <c r="X301" s="145"/>
      <c r="Y301" s="145"/>
      <c r="Z301" s="145"/>
      <c r="AA301" s="145"/>
      <c r="AB301" s="145"/>
      <c r="AC301" s="145"/>
      <c r="AD301" s="145"/>
      <c r="AE301" s="145"/>
      <c r="AF301" s="145"/>
      <c r="AG301" s="145"/>
      <c r="AH301" s="15">
        <f t="shared" si="12"/>
        <v>0</v>
      </c>
      <c r="AI301" s="15">
        <f t="shared" si="13"/>
        <v>25</v>
      </c>
      <c r="AJ301" s="15">
        <f t="shared" si="14"/>
        <v>25</v>
      </c>
    </row>
    <row r="302" spans="2:36">
      <c r="B302" s="124"/>
      <c r="C302" s="125">
        <v>299</v>
      </c>
      <c r="D302" s="144"/>
      <c r="E302" s="144"/>
      <c r="F302" s="144"/>
      <c r="G302" s="144"/>
      <c r="H302" s="144"/>
      <c r="I302" s="145"/>
      <c r="J302" s="145"/>
      <c r="K302" s="145"/>
      <c r="L302" s="145"/>
      <c r="M302" s="145"/>
      <c r="N302" s="145"/>
      <c r="O302" s="145"/>
      <c r="P302" s="145"/>
      <c r="Q302" s="145"/>
      <c r="R302" s="145"/>
      <c r="S302" s="145"/>
      <c r="T302" s="145"/>
      <c r="U302" s="145"/>
      <c r="V302" s="145"/>
      <c r="W302" s="145"/>
      <c r="X302" s="145"/>
      <c r="Y302" s="145"/>
      <c r="Z302" s="145"/>
      <c r="AA302" s="145"/>
      <c r="AB302" s="145"/>
      <c r="AC302" s="145"/>
      <c r="AD302" s="145"/>
      <c r="AE302" s="145"/>
      <c r="AF302" s="145"/>
      <c r="AG302" s="145"/>
      <c r="AH302" s="15">
        <f t="shared" si="12"/>
        <v>0</v>
      </c>
      <c r="AI302" s="15">
        <f t="shared" si="13"/>
        <v>25</v>
      </c>
      <c r="AJ302" s="15">
        <f t="shared" si="14"/>
        <v>25</v>
      </c>
    </row>
    <row r="303" spans="2:36">
      <c r="B303" s="124"/>
      <c r="C303" s="125">
        <v>300</v>
      </c>
      <c r="D303" s="144"/>
      <c r="E303" s="144"/>
      <c r="F303" s="144"/>
      <c r="G303" s="144"/>
      <c r="H303" s="144"/>
      <c r="I303" s="145"/>
      <c r="J303" s="145"/>
      <c r="K303" s="145"/>
      <c r="L303" s="145"/>
      <c r="M303" s="145"/>
      <c r="N303" s="145"/>
      <c r="O303" s="145"/>
      <c r="P303" s="145"/>
      <c r="Q303" s="145"/>
      <c r="R303" s="145"/>
      <c r="S303" s="145"/>
      <c r="T303" s="145"/>
      <c r="U303" s="145"/>
      <c r="V303" s="145"/>
      <c r="W303" s="145"/>
      <c r="X303" s="145"/>
      <c r="Y303" s="145"/>
      <c r="Z303" s="145"/>
      <c r="AA303" s="145"/>
      <c r="AB303" s="145"/>
      <c r="AC303" s="145"/>
      <c r="AD303" s="145"/>
      <c r="AE303" s="145"/>
      <c r="AF303" s="145"/>
      <c r="AG303" s="145"/>
      <c r="AH303" s="15">
        <f t="shared" si="12"/>
        <v>0</v>
      </c>
      <c r="AI303" s="15">
        <f t="shared" si="13"/>
        <v>25</v>
      </c>
      <c r="AJ303" s="15">
        <f t="shared" si="14"/>
        <v>25</v>
      </c>
    </row>
    <row r="304" spans="2:36">
      <c r="B304" s="124"/>
      <c r="C304" s="125">
        <v>301</v>
      </c>
      <c r="D304" s="144"/>
      <c r="E304" s="144"/>
      <c r="F304" s="144"/>
      <c r="G304" s="144"/>
      <c r="H304" s="144"/>
      <c r="I304" s="145"/>
      <c r="J304" s="145"/>
      <c r="K304" s="145"/>
      <c r="L304" s="145"/>
      <c r="M304" s="145"/>
      <c r="N304" s="145"/>
      <c r="O304" s="145"/>
      <c r="P304" s="145"/>
      <c r="Q304" s="145"/>
      <c r="R304" s="145"/>
      <c r="S304" s="145"/>
      <c r="T304" s="145"/>
      <c r="U304" s="145"/>
      <c r="V304" s="145"/>
      <c r="W304" s="145"/>
      <c r="X304" s="145"/>
      <c r="Y304" s="145"/>
      <c r="Z304" s="145"/>
      <c r="AA304" s="145"/>
      <c r="AB304" s="145"/>
      <c r="AC304" s="145"/>
      <c r="AD304" s="145"/>
      <c r="AE304" s="145"/>
      <c r="AF304" s="145"/>
      <c r="AG304" s="145"/>
      <c r="AH304" s="15">
        <f t="shared" si="12"/>
        <v>0</v>
      </c>
      <c r="AI304" s="15">
        <f t="shared" si="13"/>
        <v>25</v>
      </c>
      <c r="AJ304" s="15">
        <f t="shared" si="14"/>
        <v>25</v>
      </c>
    </row>
    <row r="305" spans="2:36">
      <c r="B305" s="124"/>
      <c r="C305" s="125">
        <v>302</v>
      </c>
      <c r="D305" s="144"/>
      <c r="E305" s="144"/>
      <c r="F305" s="144"/>
      <c r="G305" s="144"/>
      <c r="H305" s="144"/>
      <c r="I305" s="145"/>
      <c r="J305" s="145"/>
      <c r="K305" s="145"/>
      <c r="L305" s="145"/>
      <c r="M305" s="145"/>
      <c r="N305" s="145"/>
      <c r="O305" s="145"/>
      <c r="P305" s="145"/>
      <c r="Q305" s="145"/>
      <c r="R305" s="145"/>
      <c r="S305" s="145"/>
      <c r="T305" s="145"/>
      <c r="U305" s="145"/>
      <c r="V305" s="145"/>
      <c r="W305" s="145"/>
      <c r="X305" s="145"/>
      <c r="Y305" s="145"/>
      <c r="Z305" s="145"/>
      <c r="AA305" s="145"/>
      <c r="AB305" s="145"/>
      <c r="AC305" s="145"/>
      <c r="AD305" s="145"/>
      <c r="AE305" s="145"/>
      <c r="AF305" s="145"/>
      <c r="AG305" s="145"/>
      <c r="AH305" s="15">
        <f t="shared" si="12"/>
        <v>0</v>
      </c>
      <c r="AI305" s="15">
        <f t="shared" si="13"/>
        <v>25</v>
      </c>
      <c r="AJ305" s="15">
        <f t="shared" si="14"/>
        <v>25</v>
      </c>
    </row>
    <row r="306" spans="2:36">
      <c r="B306" s="124"/>
      <c r="C306" s="125">
        <v>303</v>
      </c>
      <c r="D306" s="144"/>
      <c r="E306" s="144"/>
      <c r="F306" s="144"/>
      <c r="G306" s="144"/>
      <c r="H306" s="144"/>
      <c r="I306" s="145"/>
      <c r="J306" s="145"/>
      <c r="K306" s="145"/>
      <c r="L306" s="145"/>
      <c r="M306" s="145"/>
      <c r="N306" s="145"/>
      <c r="O306" s="145"/>
      <c r="P306" s="145"/>
      <c r="Q306" s="145"/>
      <c r="R306" s="145"/>
      <c r="S306" s="145"/>
      <c r="T306" s="145"/>
      <c r="U306" s="145"/>
      <c r="V306" s="145"/>
      <c r="W306" s="145"/>
      <c r="X306" s="145"/>
      <c r="Y306" s="145"/>
      <c r="Z306" s="145"/>
      <c r="AA306" s="145"/>
      <c r="AB306" s="145"/>
      <c r="AC306" s="145"/>
      <c r="AD306" s="145"/>
      <c r="AE306" s="145"/>
      <c r="AF306" s="145"/>
      <c r="AG306" s="145"/>
      <c r="AH306" s="15">
        <f t="shared" si="12"/>
        <v>0</v>
      </c>
      <c r="AI306" s="15">
        <f t="shared" si="13"/>
        <v>25</v>
      </c>
      <c r="AJ306" s="15">
        <f t="shared" si="14"/>
        <v>25</v>
      </c>
    </row>
    <row r="307" spans="2:36">
      <c r="B307" s="124"/>
      <c r="C307" s="125">
        <v>304</v>
      </c>
      <c r="D307" s="144"/>
      <c r="E307" s="144"/>
      <c r="F307" s="144"/>
      <c r="G307" s="144"/>
      <c r="H307" s="144"/>
      <c r="I307" s="145"/>
      <c r="J307" s="145"/>
      <c r="K307" s="145"/>
      <c r="L307" s="145"/>
      <c r="M307" s="145"/>
      <c r="N307" s="145"/>
      <c r="O307" s="145"/>
      <c r="P307" s="145"/>
      <c r="Q307" s="145"/>
      <c r="R307" s="145"/>
      <c r="S307" s="145"/>
      <c r="T307" s="145"/>
      <c r="U307" s="145"/>
      <c r="V307" s="145"/>
      <c r="W307" s="145"/>
      <c r="X307" s="145"/>
      <c r="Y307" s="145"/>
      <c r="Z307" s="145"/>
      <c r="AA307" s="145"/>
      <c r="AB307" s="145"/>
      <c r="AC307" s="145"/>
      <c r="AD307" s="145"/>
      <c r="AE307" s="145"/>
      <c r="AF307" s="145"/>
      <c r="AG307" s="145"/>
      <c r="AH307" s="15">
        <f t="shared" si="12"/>
        <v>0</v>
      </c>
      <c r="AI307" s="15">
        <f t="shared" si="13"/>
        <v>25</v>
      </c>
      <c r="AJ307" s="15">
        <f t="shared" si="14"/>
        <v>25</v>
      </c>
    </row>
    <row r="308" spans="2:36">
      <c r="B308" s="124"/>
      <c r="C308" s="125">
        <v>305</v>
      </c>
      <c r="D308" s="144"/>
      <c r="E308" s="144"/>
      <c r="F308" s="144"/>
      <c r="G308" s="144"/>
      <c r="H308" s="144"/>
      <c r="I308" s="145"/>
      <c r="J308" s="145"/>
      <c r="K308" s="145"/>
      <c r="L308" s="145"/>
      <c r="M308" s="145"/>
      <c r="N308" s="145"/>
      <c r="O308" s="145"/>
      <c r="P308" s="145"/>
      <c r="Q308" s="145"/>
      <c r="R308" s="145"/>
      <c r="S308" s="145"/>
      <c r="T308" s="145"/>
      <c r="U308" s="145"/>
      <c r="V308" s="145"/>
      <c r="W308" s="145"/>
      <c r="X308" s="145"/>
      <c r="Y308" s="145"/>
      <c r="Z308" s="145"/>
      <c r="AA308" s="145"/>
      <c r="AB308" s="145"/>
      <c r="AC308" s="145"/>
      <c r="AD308" s="145"/>
      <c r="AE308" s="145"/>
      <c r="AF308" s="145"/>
      <c r="AG308" s="145"/>
      <c r="AH308" s="15">
        <f t="shared" si="12"/>
        <v>0</v>
      </c>
      <c r="AI308" s="15">
        <f t="shared" si="13"/>
        <v>25</v>
      </c>
      <c r="AJ308" s="15">
        <f t="shared" si="14"/>
        <v>25</v>
      </c>
    </row>
    <row r="309" spans="2:36">
      <c r="B309" s="124"/>
      <c r="C309" s="125">
        <v>306</v>
      </c>
      <c r="D309" s="144"/>
      <c r="E309" s="144"/>
      <c r="F309" s="144"/>
      <c r="G309" s="144"/>
      <c r="H309" s="144"/>
      <c r="I309" s="145"/>
      <c r="J309" s="145"/>
      <c r="K309" s="145"/>
      <c r="L309" s="145"/>
      <c r="M309" s="145"/>
      <c r="N309" s="145"/>
      <c r="O309" s="145"/>
      <c r="P309" s="145"/>
      <c r="Q309" s="145"/>
      <c r="R309" s="145"/>
      <c r="S309" s="145"/>
      <c r="T309" s="145"/>
      <c r="U309" s="145"/>
      <c r="V309" s="145"/>
      <c r="W309" s="145"/>
      <c r="X309" s="145"/>
      <c r="Y309" s="145"/>
      <c r="Z309" s="145"/>
      <c r="AA309" s="145"/>
      <c r="AB309" s="145"/>
      <c r="AC309" s="145"/>
      <c r="AD309" s="145"/>
      <c r="AE309" s="145"/>
      <c r="AF309" s="145"/>
      <c r="AG309" s="145"/>
      <c r="AH309" s="15">
        <f t="shared" si="12"/>
        <v>0</v>
      </c>
      <c r="AI309" s="15">
        <f t="shared" si="13"/>
        <v>25</v>
      </c>
      <c r="AJ309" s="15">
        <f t="shared" si="14"/>
        <v>25</v>
      </c>
    </row>
    <row r="310" spans="2:36">
      <c r="B310" s="124"/>
      <c r="C310" s="125">
        <v>307</v>
      </c>
      <c r="D310" s="144"/>
      <c r="E310" s="144"/>
      <c r="F310" s="144"/>
      <c r="G310" s="144"/>
      <c r="H310" s="144"/>
      <c r="I310" s="145"/>
      <c r="J310" s="145"/>
      <c r="K310" s="145"/>
      <c r="L310" s="145"/>
      <c r="M310" s="145"/>
      <c r="N310" s="145"/>
      <c r="O310" s="145"/>
      <c r="P310" s="145"/>
      <c r="Q310" s="145"/>
      <c r="R310" s="145"/>
      <c r="S310" s="145"/>
      <c r="T310" s="145"/>
      <c r="U310" s="145"/>
      <c r="V310" s="145"/>
      <c r="W310" s="145"/>
      <c r="X310" s="145"/>
      <c r="Y310" s="145"/>
      <c r="Z310" s="145"/>
      <c r="AA310" s="145"/>
      <c r="AB310" s="145"/>
      <c r="AC310" s="145"/>
      <c r="AD310" s="145"/>
      <c r="AE310" s="145"/>
      <c r="AF310" s="145"/>
      <c r="AG310" s="145"/>
      <c r="AH310" s="15">
        <f t="shared" si="12"/>
        <v>0</v>
      </c>
      <c r="AI310" s="15">
        <f t="shared" si="13"/>
        <v>25</v>
      </c>
      <c r="AJ310" s="15">
        <f t="shared" si="14"/>
        <v>25</v>
      </c>
    </row>
    <row r="311" spans="2:36">
      <c r="B311" s="124"/>
      <c r="C311" s="125">
        <v>308</v>
      </c>
      <c r="D311" s="144"/>
      <c r="E311" s="144"/>
      <c r="F311" s="144"/>
      <c r="G311" s="144"/>
      <c r="H311" s="144"/>
      <c r="I311" s="145"/>
      <c r="J311" s="145"/>
      <c r="K311" s="145"/>
      <c r="L311" s="145"/>
      <c r="M311" s="145"/>
      <c r="N311" s="145"/>
      <c r="O311" s="145"/>
      <c r="P311" s="145"/>
      <c r="Q311" s="145"/>
      <c r="R311" s="145"/>
      <c r="S311" s="145"/>
      <c r="T311" s="145"/>
      <c r="U311" s="145"/>
      <c r="V311" s="145"/>
      <c r="W311" s="145"/>
      <c r="X311" s="145"/>
      <c r="Y311" s="145"/>
      <c r="Z311" s="145"/>
      <c r="AA311" s="145"/>
      <c r="AB311" s="145"/>
      <c r="AC311" s="145"/>
      <c r="AD311" s="145"/>
      <c r="AE311" s="145"/>
      <c r="AF311" s="145"/>
      <c r="AG311" s="145"/>
      <c r="AH311" s="15">
        <f t="shared" si="12"/>
        <v>0</v>
      </c>
      <c r="AI311" s="15">
        <f t="shared" si="13"/>
        <v>25</v>
      </c>
      <c r="AJ311" s="15">
        <f t="shared" si="14"/>
        <v>25</v>
      </c>
    </row>
    <row r="312" spans="2:36">
      <c r="B312" s="124"/>
      <c r="C312" s="125">
        <v>309</v>
      </c>
      <c r="D312" s="144"/>
      <c r="E312" s="144"/>
      <c r="F312" s="144"/>
      <c r="G312" s="144"/>
      <c r="H312" s="144"/>
      <c r="I312" s="145"/>
      <c r="J312" s="145"/>
      <c r="K312" s="145"/>
      <c r="L312" s="145"/>
      <c r="M312" s="145"/>
      <c r="N312" s="145"/>
      <c r="O312" s="145"/>
      <c r="P312" s="145"/>
      <c r="Q312" s="145"/>
      <c r="R312" s="145"/>
      <c r="S312" s="145"/>
      <c r="T312" s="145"/>
      <c r="U312" s="145"/>
      <c r="V312" s="145"/>
      <c r="W312" s="145"/>
      <c r="X312" s="145"/>
      <c r="Y312" s="145"/>
      <c r="Z312" s="145"/>
      <c r="AA312" s="145"/>
      <c r="AB312" s="145"/>
      <c r="AC312" s="145"/>
      <c r="AD312" s="145"/>
      <c r="AE312" s="145"/>
      <c r="AF312" s="145"/>
      <c r="AG312" s="145"/>
      <c r="AH312" s="15">
        <f t="shared" si="12"/>
        <v>0</v>
      </c>
      <c r="AI312" s="15">
        <f t="shared" si="13"/>
        <v>25</v>
      </c>
      <c r="AJ312" s="15">
        <f t="shared" si="14"/>
        <v>25</v>
      </c>
    </row>
    <row r="313" spans="2:36">
      <c r="B313" s="124"/>
      <c r="C313" s="125">
        <v>310</v>
      </c>
      <c r="D313" s="144"/>
      <c r="E313" s="144"/>
      <c r="F313" s="144"/>
      <c r="G313" s="144"/>
      <c r="H313" s="144"/>
      <c r="I313" s="145"/>
      <c r="J313" s="145"/>
      <c r="K313" s="145"/>
      <c r="L313" s="145"/>
      <c r="M313" s="145"/>
      <c r="N313" s="145"/>
      <c r="O313" s="145"/>
      <c r="P313" s="145"/>
      <c r="Q313" s="145"/>
      <c r="R313" s="145"/>
      <c r="S313" s="145"/>
      <c r="T313" s="145"/>
      <c r="U313" s="145"/>
      <c r="V313" s="145"/>
      <c r="W313" s="145"/>
      <c r="X313" s="145"/>
      <c r="Y313" s="145"/>
      <c r="Z313" s="145"/>
      <c r="AA313" s="145"/>
      <c r="AB313" s="145"/>
      <c r="AC313" s="145"/>
      <c r="AD313" s="145"/>
      <c r="AE313" s="145"/>
      <c r="AF313" s="145"/>
      <c r="AG313" s="145"/>
      <c r="AH313" s="15">
        <f t="shared" si="12"/>
        <v>0</v>
      </c>
      <c r="AI313" s="15">
        <f t="shared" si="13"/>
        <v>25</v>
      </c>
      <c r="AJ313" s="15">
        <f t="shared" si="14"/>
        <v>25</v>
      </c>
    </row>
    <row r="314" spans="2:36">
      <c r="B314" s="124"/>
      <c r="C314" s="125">
        <v>311</v>
      </c>
      <c r="D314" s="144"/>
      <c r="E314" s="144"/>
      <c r="F314" s="144"/>
      <c r="G314" s="144"/>
      <c r="H314" s="144"/>
      <c r="I314" s="145"/>
      <c r="J314" s="145"/>
      <c r="K314" s="145"/>
      <c r="L314" s="145"/>
      <c r="M314" s="145"/>
      <c r="N314" s="145"/>
      <c r="O314" s="145"/>
      <c r="P314" s="145"/>
      <c r="Q314" s="145"/>
      <c r="R314" s="145"/>
      <c r="S314" s="145"/>
      <c r="T314" s="145"/>
      <c r="U314" s="145"/>
      <c r="V314" s="145"/>
      <c r="W314" s="145"/>
      <c r="X314" s="145"/>
      <c r="Y314" s="145"/>
      <c r="Z314" s="145"/>
      <c r="AA314" s="145"/>
      <c r="AB314" s="145"/>
      <c r="AC314" s="145"/>
      <c r="AD314" s="145"/>
      <c r="AE314" s="145"/>
      <c r="AF314" s="145"/>
      <c r="AG314" s="145"/>
      <c r="AH314" s="15">
        <f t="shared" si="12"/>
        <v>0</v>
      </c>
      <c r="AI314" s="15">
        <f t="shared" si="13"/>
        <v>25</v>
      </c>
      <c r="AJ314" s="15">
        <f t="shared" si="14"/>
        <v>25</v>
      </c>
    </row>
    <row r="315" spans="2:36">
      <c r="B315" s="124"/>
      <c r="C315" s="125">
        <v>312</v>
      </c>
      <c r="D315" s="144"/>
      <c r="E315" s="144"/>
      <c r="F315" s="144"/>
      <c r="G315" s="144"/>
      <c r="H315" s="144"/>
      <c r="I315" s="145"/>
      <c r="J315" s="145"/>
      <c r="K315" s="145"/>
      <c r="L315" s="145"/>
      <c r="M315" s="145"/>
      <c r="N315" s="145"/>
      <c r="O315" s="145"/>
      <c r="P315" s="145"/>
      <c r="Q315" s="145"/>
      <c r="R315" s="145"/>
      <c r="S315" s="145"/>
      <c r="T315" s="145"/>
      <c r="U315" s="145"/>
      <c r="V315" s="145"/>
      <c r="W315" s="145"/>
      <c r="X315" s="145"/>
      <c r="Y315" s="145"/>
      <c r="Z315" s="145"/>
      <c r="AA315" s="145"/>
      <c r="AB315" s="145"/>
      <c r="AC315" s="145"/>
      <c r="AD315" s="145"/>
      <c r="AE315" s="145"/>
      <c r="AF315" s="145"/>
      <c r="AG315" s="145"/>
      <c r="AH315" s="15">
        <f t="shared" si="12"/>
        <v>0</v>
      </c>
      <c r="AI315" s="15">
        <f t="shared" si="13"/>
        <v>25</v>
      </c>
      <c r="AJ315" s="15">
        <f t="shared" si="14"/>
        <v>25</v>
      </c>
    </row>
    <row r="316" spans="2:36">
      <c r="B316" s="124"/>
      <c r="C316" s="125">
        <v>313</v>
      </c>
      <c r="D316" s="144"/>
      <c r="E316" s="144"/>
      <c r="F316" s="144"/>
      <c r="G316" s="144"/>
      <c r="H316" s="144"/>
      <c r="I316" s="145"/>
      <c r="J316" s="145"/>
      <c r="K316" s="145"/>
      <c r="L316" s="145"/>
      <c r="M316" s="145"/>
      <c r="N316" s="145"/>
      <c r="O316" s="145"/>
      <c r="P316" s="145"/>
      <c r="Q316" s="145"/>
      <c r="R316" s="145"/>
      <c r="S316" s="145"/>
      <c r="T316" s="145"/>
      <c r="U316" s="145"/>
      <c r="V316" s="145"/>
      <c r="W316" s="145"/>
      <c r="X316" s="145"/>
      <c r="Y316" s="145"/>
      <c r="Z316" s="145"/>
      <c r="AA316" s="145"/>
      <c r="AB316" s="145"/>
      <c r="AC316" s="145"/>
      <c r="AD316" s="145"/>
      <c r="AE316" s="145"/>
      <c r="AF316" s="145"/>
      <c r="AG316" s="145"/>
      <c r="AH316" s="15">
        <f t="shared" si="12"/>
        <v>0</v>
      </c>
      <c r="AI316" s="15">
        <f t="shared" si="13"/>
        <v>25</v>
      </c>
      <c r="AJ316" s="15">
        <f t="shared" si="14"/>
        <v>25</v>
      </c>
    </row>
    <row r="317" spans="2:36">
      <c r="B317" s="124"/>
      <c r="C317" s="125">
        <v>314</v>
      </c>
      <c r="D317" s="144"/>
      <c r="E317" s="144"/>
      <c r="F317" s="144"/>
      <c r="G317" s="144"/>
      <c r="H317" s="144"/>
      <c r="I317" s="145"/>
      <c r="J317" s="145"/>
      <c r="K317" s="145"/>
      <c r="L317" s="145"/>
      <c r="M317" s="145"/>
      <c r="N317" s="145"/>
      <c r="O317" s="145"/>
      <c r="P317" s="145"/>
      <c r="Q317" s="145"/>
      <c r="R317" s="145"/>
      <c r="S317" s="145"/>
      <c r="T317" s="145"/>
      <c r="U317" s="145"/>
      <c r="V317" s="145"/>
      <c r="W317" s="145"/>
      <c r="X317" s="145"/>
      <c r="Y317" s="145"/>
      <c r="Z317" s="145"/>
      <c r="AA317" s="145"/>
      <c r="AB317" s="145"/>
      <c r="AC317" s="145"/>
      <c r="AD317" s="145"/>
      <c r="AE317" s="145"/>
      <c r="AF317" s="145"/>
      <c r="AG317" s="145"/>
      <c r="AH317" s="15">
        <f t="shared" si="12"/>
        <v>0</v>
      </c>
      <c r="AI317" s="15">
        <f t="shared" si="13"/>
        <v>25</v>
      </c>
      <c r="AJ317" s="15">
        <f t="shared" si="14"/>
        <v>25</v>
      </c>
    </row>
    <row r="318" spans="2:36">
      <c r="B318" s="124"/>
      <c r="C318" s="125">
        <v>315</v>
      </c>
      <c r="D318" s="144"/>
      <c r="E318" s="144"/>
      <c r="F318" s="144"/>
      <c r="G318" s="144"/>
      <c r="H318" s="144"/>
      <c r="I318" s="145"/>
      <c r="J318" s="145"/>
      <c r="K318" s="145"/>
      <c r="L318" s="145"/>
      <c r="M318" s="145"/>
      <c r="N318" s="145"/>
      <c r="O318" s="145"/>
      <c r="P318" s="145"/>
      <c r="Q318" s="145"/>
      <c r="R318" s="145"/>
      <c r="S318" s="145"/>
      <c r="T318" s="145"/>
      <c r="U318" s="145"/>
      <c r="V318" s="145"/>
      <c r="W318" s="145"/>
      <c r="X318" s="145"/>
      <c r="Y318" s="145"/>
      <c r="Z318" s="145"/>
      <c r="AA318" s="145"/>
      <c r="AB318" s="145"/>
      <c r="AC318" s="145"/>
      <c r="AD318" s="145"/>
      <c r="AE318" s="145"/>
      <c r="AF318" s="145"/>
      <c r="AG318" s="145"/>
      <c r="AH318" s="15">
        <f t="shared" si="12"/>
        <v>0</v>
      </c>
      <c r="AI318" s="15">
        <f t="shared" si="13"/>
        <v>25</v>
      </c>
      <c r="AJ318" s="15">
        <f t="shared" si="14"/>
        <v>25</v>
      </c>
    </row>
    <row r="319" spans="2:36">
      <c r="B319" s="124"/>
      <c r="C319" s="125">
        <v>316</v>
      </c>
      <c r="D319" s="144"/>
      <c r="E319" s="144"/>
      <c r="F319" s="144"/>
      <c r="G319" s="144"/>
      <c r="H319" s="144"/>
      <c r="I319" s="145"/>
      <c r="J319" s="145"/>
      <c r="K319" s="145"/>
      <c r="L319" s="145"/>
      <c r="M319" s="145"/>
      <c r="N319" s="145"/>
      <c r="O319" s="145"/>
      <c r="P319" s="145"/>
      <c r="Q319" s="145"/>
      <c r="R319" s="145"/>
      <c r="S319" s="145"/>
      <c r="T319" s="145"/>
      <c r="U319" s="145"/>
      <c r="V319" s="145"/>
      <c r="W319" s="145"/>
      <c r="X319" s="145"/>
      <c r="Y319" s="145"/>
      <c r="Z319" s="145"/>
      <c r="AA319" s="145"/>
      <c r="AB319" s="145"/>
      <c r="AC319" s="145"/>
      <c r="AD319" s="145"/>
      <c r="AE319" s="145"/>
      <c r="AF319" s="145"/>
      <c r="AG319" s="145"/>
      <c r="AH319" s="15">
        <f t="shared" si="12"/>
        <v>0</v>
      </c>
      <c r="AI319" s="15">
        <f t="shared" si="13"/>
        <v>25</v>
      </c>
      <c r="AJ319" s="15">
        <f t="shared" si="14"/>
        <v>25</v>
      </c>
    </row>
    <row r="320" spans="2:36">
      <c r="B320" s="124"/>
      <c r="C320" s="125">
        <v>317</v>
      </c>
      <c r="D320" s="144"/>
      <c r="E320" s="144"/>
      <c r="F320" s="144"/>
      <c r="G320" s="144"/>
      <c r="H320" s="144"/>
      <c r="I320" s="145"/>
      <c r="J320" s="145"/>
      <c r="K320" s="145"/>
      <c r="L320" s="145"/>
      <c r="M320" s="145"/>
      <c r="N320" s="145"/>
      <c r="O320" s="145"/>
      <c r="P320" s="145"/>
      <c r="Q320" s="145"/>
      <c r="R320" s="145"/>
      <c r="S320" s="145"/>
      <c r="T320" s="145"/>
      <c r="U320" s="145"/>
      <c r="V320" s="145"/>
      <c r="W320" s="145"/>
      <c r="X320" s="145"/>
      <c r="Y320" s="145"/>
      <c r="Z320" s="145"/>
      <c r="AA320" s="145"/>
      <c r="AB320" s="145"/>
      <c r="AC320" s="145"/>
      <c r="AD320" s="145"/>
      <c r="AE320" s="145"/>
      <c r="AF320" s="145"/>
      <c r="AG320" s="145"/>
      <c r="AH320" s="15">
        <f t="shared" si="12"/>
        <v>0</v>
      </c>
      <c r="AI320" s="15">
        <f t="shared" si="13"/>
        <v>25</v>
      </c>
      <c r="AJ320" s="15">
        <f t="shared" si="14"/>
        <v>25</v>
      </c>
    </row>
    <row r="321" spans="2:36">
      <c r="B321" s="124"/>
      <c r="C321" s="125">
        <v>318</v>
      </c>
      <c r="D321" s="144"/>
      <c r="E321" s="144"/>
      <c r="F321" s="144"/>
      <c r="G321" s="144"/>
      <c r="H321" s="144"/>
      <c r="I321" s="145"/>
      <c r="J321" s="145"/>
      <c r="K321" s="145"/>
      <c r="L321" s="145"/>
      <c r="M321" s="145"/>
      <c r="N321" s="145"/>
      <c r="O321" s="145"/>
      <c r="P321" s="145"/>
      <c r="Q321" s="145"/>
      <c r="R321" s="145"/>
      <c r="S321" s="145"/>
      <c r="T321" s="145"/>
      <c r="U321" s="145"/>
      <c r="V321" s="145"/>
      <c r="W321" s="145"/>
      <c r="X321" s="145"/>
      <c r="Y321" s="145"/>
      <c r="Z321" s="145"/>
      <c r="AA321" s="145"/>
      <c r="AB321" s="145"/>
      <c r="AC321" s="145"/>
      <c r="AD321" s="145"/>
      <c r="AE321" s="145"/>
      <c r="AF321" s="145"/>
      <c r="AG321" s="145"/>
      <c r="AH321" s="15">
        <f t="shared" si="12"/>
        <v>0</v>
      </c>
      <c r="AI321" s="15">
        <f t="shared" si="13"/>
        <v>25</v>
      </c>
      <c r="AJ321" s="15">
        <f t="shared" si="14"/>
        <v>25</v>
      </c>
    </row>
    <row r="322" spans="2:36">
      <c r="B322" s="124"/>
      <c r="C322" s="125">
        <v>319</v>
      </c>
      <c r="D322" s="144"/>
      <c r="E322" s="144"/>
      <c r="F322" s="144"/>
      <c r="G322" s="144"/>
      <c r="H322" s="144"/>
      <c r="I322" s="145"/>
      <c r="J322" s="145"/>
      <c r="K322" s="145"/>
      <c r="L322" s="145"/>
      <c r="M322" s="145"/>
      <c r="N322" s="145"/>
      <c r="O322" s="145"/>
      <c r="P322" s="145"/>
      <c r="Q322" s="145"/>
      <c r="R322" s="145"/>
      <c r="S322" s="145"/>
      <c r="T322" s="145"/>
      <c r="U322" s="145"/>
      <c r="V322" s="145"/>
      <c r="W322" s="145"/>
      <c r="X322" s="145"/>
      <c r="Y322" s="145"/>
      <c r="Z322" s="145"/>
      <c r="AA322" s="145"/>
      <c r="AB322" s="145"/>
      <c r="AC322" s="145"/>
      <c r="AD322" s="145"/>
      <c r="AE322" s="145"/>
      <c r="AF322" s="145"/>
      <c r="AG322" s="145"/>
      <c r="AH322" s="15">
        <f t="shared" si="12"/>
        <v>0</v>
      </c>
      <c r="AI322" s="15">
        <f t="shared" si="13"/>
        <v>25</v>
      </c>
      <c r="AJ322" s="15">
        <f t="shared" si="14"/>
        <v>25</v>
      </c>
    </row>
    <row r="323" spans="2:36">
      <c r="B323" s="124"/>
      <c r="C323" s="125">
        <v>320</v>
      </c>
      <c r="D323" s="144"/>
      <c r="E323" s="144"/>
      <c r="F323" s="144"/>
      <c r="G323" s="144"/>
      <c r="H323" s="144"/>
      <c r="I323" s="145"/>
      <c r="J323" s="145"/>
      <c r="K323" s="145"/>
      <c r="L323" s="145"/>
      <c r="M323" s="145"/>
      <c r="N323" s="145"/>
      <c r="O323" s="145"/>
      <c r="P323" s="145"/>
      <c r="Q323" s="145"/>
      <c r="R323" s="145"/>
      <c r="S323" s="145"/>
      <c r="T323" s="145"/>
      <c r="U323" s="145"/>
      <c r="V323" s="145"/>
      <c r="W323" s="145"/>
      <c r="X323" s="145"/>
      <c r="Y323" s="145"/>
      <c r="Z323" s="145"/>
      <c r="AA323" s="145"/>
      <c r="AB323" s="145"/>
      <c r="AC323" s="145"/>
      <c r="AD323" s="145"/>
      <c r="AE323" s="145"/>
      <c r="AF323" s="145"/>
      <c r="AG323" s="145"/>
      <c r="AH323" s="15">
        <f t="shared" si="12"/>
        <v>0</v>
      </c>
      <c r="AI323" s="15">
        <f t="shared" si="13"/>
        <v>25</v>
      </c>
      <c r="AJ323" s="15">
        <f t="shared" si="14"/>
        <v>25</v>
      </c>
    </row>
    <row r="324" spans="2:36">
      <c r="B324" s="124"/>
      <c r="C324" s="125">
        <v>321</v>
      </c>
      <c r="D324" s="144"/>
      <c r="E324" s="144"/>
      <c r="F324" s="144"/>
      <c r="G324" s="144"/>
      <c r="H324" s="144"/>
      <c r="I324" s="145"/>
      <c r="J324" s="145"/>
      <c r="K324" s="145"/>
      <c r="L324" s="145"/>
      <c r="M324" s="145"/>
      <c r="N324" s="145"/>
      <c r="O324" s="145"/>
      <c r="P324" s="145"/>
      <c r="Q324" s="145"/>
      <c r="R324" s="145"/>
      <c r="S324" s="145"/>
      <c r="T324" s="145"/>
      <c r="U324" s="145"/>
      <c r="V324" s="145"/>
      <c r="W324" s="145"/>
      <c r="X324" s="145"/>
      <c r="Y324" s="145"/>
      <c r="Z324" s="145"/>
      <c r="AA324" s="145"/>
      <c r="AB324" s="145"/>
      <c r="AC324" s="145"/>
      <c r="AD324" s="145"/>
      <c r="AE324" s="145"/>
      <c r="AF324" s="145"/>
      <c r="AG324" s="145"/>
      <c r="AH324" s="15">
        <f t="shared" ref="AH324:AH363" si="15">FREQUENCY(I324:AG324,-1)</f>
        <v>0</v>
      </c>
      <c r="AI324" s="15">
        <f t="shared" si="13"/>
        <v>25</v>
      </c>
      <c r="AJ324" s="15">
        <f t="shared" si="14"/>
        <v>25</v>
      </c>
    </row>
    <row r="325" spans="2:36">
      <c r="B325" s="124"/>
      <c r="C325" s="125">
        <v>322</v>
      </c>
      <c r="D325" s="144"/>
      <c r="E325" s="144"/>
      <c r="F325" s="144"/>
      <c r="G325" s="144"/>
      <c r="H325" s="144"/>
      <c r="I325" s="145"/>
      <c r="J325" s="145"/>
      <c r="K325" s="145"/>
      <c r="L325" s="145"/>
      <c r="M325" s="145"/>
      <c r="N325" s="145"/>
      <c r="O325" s="145"/>
      <c r="P325" s="145"/>
      <c r="Q325" s="145"/>
      <c r="R325" s="145"/>
      <c r="S325" s="145"/>
      <c r="T325" s="145"/>
      <c r="U325" s="145"/>
      <c r="V325" s="145"/>
      <c r="W325" s="145"/>
      <c r="X325" s="145"/>
      <c r="Y325" s="145"/>
      <c r="Z325" s="145"/>
      <c r="AA325" s="145"/>
      <c r="AB325" s="145"/>
      <c r="AC325" s="145"/>
      <c r="AD325" s="145"/>
      <c r="AE325" s="145"/>
      <c r="AF325" s="145"/>
      <c r="AG325" s="145"/>
      <c r="AH325" s="15">
        <f t="shared" si="15"/>
        <v>0</v>
      </c>
      <c r="AI325" s="15">
        <f t="shared" ref="AI325:AI363" si="16">COUNTBLANK(I325:AG325)</f>
        <v>25</v>
      </c>
      <c r="AJ325" s="15">
        <f t="shared" ref="AJ325:AJ363" si="17">SUM(AH325:AI325)</f>
        <v>25</v>
      </c>
    </row>
    <row r="326" spans="2:36">
      <c r="B326" s="124"/>
      <c r="C326" s="125">
        <v>323</v>
      </c>
      <c r="D326" s="144"/>
      <c r="E326" s="144"/>
      <c r="F326" s="144"/>
      <c r="G326" s="144"/>
      <c r="H326" s="144"/>
      <c r="I326" s="145"/>
      <c r="J326" s="145"/>
      <c r="K326" s="145"/>
      <c r="L326" s="145"/>
      <c r="M326" s="145"/>
      <c r="N326" s="145"/>
      <c r="O326" s="145"/>
      <c r="P326" s="145"/>
      <c r="Q326" s="145"/>
      <c r="R326" s="145"/>
      <c r="S326" s="145"/>
      <c r="T326" s="145"/>
      <c r="U326" s="145"/>
      <c r="V326" s="145"/>
      <c r="W326" s="145"/>
      <c r="X326" s="145"/>
      <c r="Y326" s="145"/>
      <c r="Z326" s="145"/>
      <c r="AA326" s="145"/>
      <c r="AB326" s="145"/>
      <c r="AC326" s="145"/>
      <c r="AD326" s="145"/>
      <c r="AE326" s="145"/>
      <c r="AF326" s="145"/>
      <c r="AG326" s="145"/>
      <c r="AH326" s="15">
        <f t="shared" si="15"/>
        <v>0</v>
      </c>
      <c r="AI326" s="15">
        <f t="shared" si="16"/>
        <v>25</v>
      </c>
      <c r="AJ326" s="15">
        <f t="shared" si="17"/>
        <v>25</v>
      </c>
    </row>
    <row r="327" spans="2:36">
      <c r="B327" s="124"/>
      <c r="C327" s="125">
        <v>324</v>
      </c>
      <c r="D327" s="144"/>
      <c r="E327" s="144"/>
      <c r="F327" s="144"/>
      <c r="G327" s="144"/>
      <c r="H327" s="144"/>
      <c r="I327" s="145"/>
      <c r="J327" s="145"/>
      <c r="K327" s="145"/>
      <c r="L327" s="145"/>
      <c r="M327" s="145"/>
      <c r="N327" s="145"/>
      <c r="O327" s="145"/>
      <c r="P327" s="145"/>
      <c r="Q327" s="145"/>
      <c r="R327" s="145"/>
      <c r="S327" s="145"/>
      <c r="T327" s="145"/>
      <c r="U327" s="145"/>
      <c r="V327" s="145"/>
      <c r="W327" s="145"/>
      <c r="X327" s="145"/>
      <c r="Y327" s="145"/>
      <c r="Z327" s="145"/>
      <c r="AA327" s="145"/>
      <c r="AB327" s="145"/>
      <c r="AC327" s="145"/>
      <c r="AD327" s="145"/>
      <c r="AE327" s="145"/>
      <c r="AF327" s="145"/>
      <c r="AG327" s="145"/>
      <c r="AH327" s="15">
        <f t="shared" si="15"/>
        <v>0</v>
      </c>
      <c r="AI327" s="15">
        <f t="shared" si="16"/>
        <v>25</v>
      </c>
      <c r="AJ327" s="15">
        <f t="shared" si="17"/>
        <v>25</v>
      </c>
    </row>
    <row r="328" spans="2:36">
      <c r="B328" s="124"/>
      <c r="C328" s="125">
        <v>325</v>
      </c>
      <c r="D328" s="144"/>
      <c r="E328" s="144"/>
      <c r="F328" s="144"/>
      <c r="G328" s="144"/>
      <c r="H328" s="144"/>
      <c r="I328" s="145"/>
      <c r="J328" s="145"/>
      <c r="K328" s="145"/>
      <c r="L328" s="145"/>
      <c r="M328" s="145"/>
      <c r="N328" s="145"/>
      <c r="O328" s="145"/>
      <c r="P328" s="145"/>
      <c r="Q328" s="145"/>
      <c r="R328" s="145"/>
      <c r="S328" s="145"/>
      <c r="T328" s="145"/>
      <c r="U328" s="145"/>
      <c r="V328" s="145"/>
      <c r="W328" s="145"/>
      <c r="X328" s="145"/>
      <c r="Y328" s="145"/>
      <c r="Z328" s="145"/>
      <c r="AA328" s="145"/>
      <c r="AB328" s="145"/>
      <c r="AC328" s="145"/>
      <c r="AD328" s="145"/>
      <c r="AE328" s="145"/>
      <c r="AF328" s="145"/>
      <c r="AG328" s="145"/>
      <c r="AH328" s="15">
        <f t="shared" si="15"/>
        <v>0</v>
      </c>
      <c r="AI328" s="15">
        <f t="shared" si="16"/>
        <v>25</v>
      </c>
      <c r="AJ328" s="15">
        <f t="shared" si="17"/>
        <v>25</v>
      </c>
    </row>
    <row r="329" spans="2:36">
      <c r="B329" s="124"/>
      <c r="C329" s="125">
        <v>326</v>
      </c>
      <c r="D329" s="144"/>
      <c r="E329" s="144"/>
      <c r="F329" s="144"/>
      <c r="G329" s="144"/>
      <c r="H329" s="144"/>
      <c r="I329" s="145"/>
      <c r="J329" s="145"/>
      <c r="K329" s="145"/>
      <c r="L329" s="145"/>
      <c r="M329" s="145"/>
      <c r="N329" s="145"/>
      <c r="O329" s="145"/>
      <c r="P329" s="145"/>
      <c r="Q329" s="145"/>
      <c r="R329" s="145"/>
      <c r="S329" s="145"/>
      <c r="T329" s="145"/>
      <c r="U329" s="145"/>
      <c r="V329" s="145"/>
      <c r="W329" s="145"/>
      <c r="X329" s="145"/>
      <c r="Y329" s="145"/>
      <c r="Z329" s="145"/>
      <c r="AA329" s="145"/>
      <c r="AB329" s="145"/>
      <c r="AC329" s="145"/>
      <c r="AD329" s="145"/>
      <c r="AE329" s="145"/>
      <c r="AF329" s="145"/>
      <c r="AG329" s="145"/>
      <c r="AH329" s="15">
        <f t="shared" si="15"/>
        <v>0</v>
      </c>
      <c r="AI329" s="15">
        <f t="shared" si="16"/>
        <v>25</v>
      </c>
      <c r="AJ329" s="15">
        <f t="shared" si="17"/>
        <v>25</v>
      </c>
    </row>
    <row r="330" spans="2:36">
      <c r="B330" s="124"/>
      <c r="C330" s="125">
        <v>327</v>
      </c>
      <c r="D330" s="144"/>
      <c r="E330" s="144"/>
      <c r="F330" s="144"/>
      <c r="G330" s="144"/>
      <c r="H330" s="144"/>
      <c r="I330" s="145"/>
      <c r="J330" s="145"/>
      <c r="K330" s="145"/>
      <c r="L330" s="145"/>
      <c r="M330" s="145"/>
      <c r="N330" s="145"/>
      <c r="O330" s="145"/>
      <c r="P330" s="145"/>
      <c r="Q330" s="145"/>
      <c r="R330" s="145"/>
      <c r="S330" s="145"/>
      <c r="T330" s="145"/>
      <c r="U330" s="145"/>
      <c r="V330" s="145"/>
      <c r="W330" s="145"/>
      <c r="X330" s="145"/>
      <c r="Y330" s="145"/>
      <c r="Z330" s="145"/>
      <c r="AA330" s="145"/>
      <c r="AB330" s="145"/>
      <c r="AC330" s="145"/>
      <c r="AD330" s="145"/>
      <c r="AE330" s="145"/>
      <c r="AF330" s="145"/>
      <c r="AG330" s="145"/>
      <c r="AH330" s="15">
        <f t="shared" si="15"/>
        <v>0</v>
      </c>
      <c r="AI330" s="15">
        <f t="shared" si="16"/>
        <v>25</v>
      </c>
      <c r="AJ330" s="15">
        <f t="shared" si="17"/>
        <v>25</v>
      </c>
    </row>
    <row r="331" spans="2:36">
      <c r="B331" s="124"/>
      <c r="C331" s="125">
        <v>328</v>
      </c>
      <c r="D331" s="144"/>
      <c r="E331" s="144"/>
      <c r="F331" s="144"/>
      <c r="G331" s="144"/>
      <c r="H331" s="144"/>
      <c r="I331" s="145"/>
      <c r="J331" s="145"/>
      <c r="K331" s="145"/>
      <c r="L331" s="145"/>
      <c r="M331" s="145"/>
      <c r="N331" s="145"/>
      <c r="O331" s="145"/>
      <c r="P331" s="145"/>
      <c r="Q331" s="145"/>
      <c r="R331" s="145"/>
      <c r="S331" s="145"/>
      <c r="T331" s="145"/>
      <c r="U331" s="145"/>
      <c r="V331" s="145"/>
      <c r="W331" s="145"/>
      <c r="X331" s="145"/>
      <c r="Y331" s="145"/>
      <c r="Z331" s="145"/>
      <c r="AA331" s="145"/>
      <c r="AB331" s="145"/>
      <c r="AC331" s="145"/>
      <c r="AD331" s="145"/>
      <c r="AE331" s="145"/>
      <c r="AF331" s="145"/>
      <c r="AG331" s="145"/>
      <c r="AH331" s="15">
        <f t="shared" si="15"/>
        <v>0</v>
      </c>
      <c r="AI331" s="15">
        <f t="shared" si="16"/>
        <v>25</v>
      </c>
      <c r="AJ331" s="15">
        <f t="shared" si="17"/>
        <v>25</v>
      </c>
    </row>
    <row r="332" spans="2:36">
      <c r="B332" s="124"/>
      <c r="C332" s="125">
        <v>329</v>
      </c>
      <c r="D332" s="144"/>
      <c r="E332" s="144"/>
      <c r="F332" s="144"/>
      <c r="G332" s="144"/>
      <c r="H332" s="144"/>
      <c r="I332" s="145"/>
      <c r="J332" s="145"/>
      <c r="K332" s="145"/>
      <c r="L332" s="145"/>
      <c r="M332" s="145"/>
      <c r="N332" s="145"/>
      <c r="O332" s="145"/>
      <c r="P332" s="145"/>
      <c r="Q332" s="145"/>
      <c r="R332" s="145"/>
      <c r="S332" s="145"/>
      <c r="T332" s="145"/>
      <c r="U332" s="145"/>
      <c r="V332" s="145"/>
      <c r="W332" s="145"/>
      <c r="X332" s="145"/>
      <c r="Y332" s="145"/>
      <c r="Z332" s="145"/>
      <c r="AA332" s="145"/>
      <c r="AB332" s="145"/>
      <c r="AC332" s="145"/>
      <c r="AD332" s="145"/>
      <c r="AE332" s="145"/>
      <c r="AF332" s="145"/>
      <c r="AG332" s="145"/>
      <c r="AH332" s="15">
        <f t="shared" si="15"/>
        <v>0</v>
      </c>
      <c r="AI332" s="15">
        <f t="shared" si="16"/>
        <v>25</v>
      </c>
      <c r="AJ332" s="15">
        <f t="shared" si="17"/>
        <v>25</v>
      </c>
    </row>
    <row r="333" spans="2:36">
      <c r="B333" s="124"/>
      <c r="C333" s="125">
        <v>330</v>
      </c>
      <c r="D333" s="144"/>
      <c r="E333" s="144"/>
      <c r="F333" s="144"/>
      <c r="G333" s="144"/>
      <c r="H333" s="144"/>
      <c r="I333" s="145"/>
      <c r="J333" s="145"/>
      <c r="K333" s="145"/>
      <c r="L333" s="145"/>
      <c r="M333" s="145"/>
      <c r="N333" s="145"/>
      <c r="O333" s="145"/>
      <c r="P333" s="145"/>
      <c r="Q333" s="145"/>
      <c r="R333" s="145"/>
      <c r="S333" s="145"/>
      <c r="T333" s="145"/>
      <c r="U333" s="145"/>
      <c r="V333" s="145"/>
      <c r="W333" s="145"/>
      <c r="X333" s="145"/>
      <c r="Y333" s="145"/>
      <c r="Z333" s="145"/>
      <c r="AA333" s="145"/>
      <c r="AB333" s="145"/>
      <c r="AC333" s="145"/>
      <c r="AD333" s="145"/>
      <c r="AE333" s="145"/>
      <c r="AF333" s="145"/>
      <c r="AG333" s="145"/>
      <c r="AH333" s="15">
        <f t="shared" si="15"/>
        <v>0</v>
      </c>
      <c r="AI333" s="15">
        <f t="shared" si="16"/>
        <v>25</v>
      </c>
      <c r="AJ333" s="15">
        <f t="shared" si="17"/>
        <v>25</v>
      </c>
    </row>
    <row r="334" spans="2:36">
      <c r="B334" s="124"/>
      <c r="C334" s="125">
        <v>331</v>
      </c>
      <c r="D334" s="144"/>
      <c r="E334" s="144"/>
      <c r="F334" s="144"/>
      <c r="G334" s="144"/>
      <c r="H334" s="144"/>
      <c r="I334" s="145"/>
      <c r="J334" s="145"/>
      <c r="K334" s="145"/>
      <c r="L334" s="145"/>
      <c r="M334" s="145"/>
      <c r="N334" s="145"/>
      <c r="O334" s="145"/>
      <c r="P334" s="145"/>
      <c r="Q334" s="145"/>
      <c r="R334" s="145"/>
      <c r="S334" s="145"/>
      <c r="T334" s="145"/>
      <c r="U334" s="145"/>
      <c r="V334" s="145"/>
      <c r="W334" s="145"/>
      <c r="X334" s="145"/>
      <c r="Y334" s="145"/>
      <c r="Z334" s="145"/>
      <c r="AA334" s="145"/>
      <c r="AB334" s="145"/>
      <c r="AC334" s="145"/>
      <c r="AD334" s="145"/>
      <c r="AE334" s="145"/>
      <c r="AF334" s="145"/>
      <c r="AG334" s="145"/>
      <c r="AH334" s="15">
        <f t="shared" si="15"/>
        <v>0</v>
      </c>
      <c r="AI334" s="15">
        <f t="shared" si="16"/>
        <v>25</v>
      </c>
      <c r="AJ334" s="15">
        <f t="shared" si="17"/>
        <v>25</v>
      </c>
    </row>
    <row r="335" spans="2:36">
      <c r="B335" s="124"/>
      <c r="C335" s="125">
        <v>332</v>
      </c>
      <c r="D335" s="144"/>
      <c r="E335" s="144"/>
      <c r="F335" s="144"/>
      <c r="G335" s="144"/>
      <c r="H335" s="144"/>
      <c r="I335" s="145"/>
      <c r="J335" s="145"/>
      <c r="K335" s="145"/>
      <c r="L335" s="145"/>
      <c r="M335" s="145"/>
      <c r="N335" s="145"/>
      <c r="O335" s="145"/>
      <c r="P335" s="145"/>
      <c r="Q335" s="145"/>
      <c r="R335" s="145"/>
      <c r="S335" s="145"/>
      <c r="T335" s="145"/>
      <c r="U335" s="145"/>
      <c r="V335" s="145"/>
      <c r="W335" s="145"/>
      <c r="X335" s="145"/>
      <c r="Y335" s="145"/>
      <c r="Z335" s="145"/>
      <c r="AA335" s="145"/>
      <c r="AB335" s="145"/>
      <c r="AC335" s="145"/>
      <c r="AD335" s="145"/>
      <c r="AE335" s="145"/>
      <c r="AF335" s="145"/>
      <c r="AG335" s="145"/>
      <c r="AH335" s="15">
        <f t="shared" si="15"/>
        <v>0</v>
      </c>
      <c r="AI335" s="15">
        <f t="shared" si="16"/>
        <v>25</v>
      </c>
      <c r="AJ335" s="15">
        <f t="shared" si="17"/>
        <v>25</v>
      </c>
    </row>
    <row r="336" spans="2:36">
      <c r="B336" s="124"/>
      <c r="C336" s="125">
        <v>333</v>
      </c>
      <c r="D336" s="144"/>
      <c r="E336" s="144"/>
      <c r="F336" s="144"/>
      <c r="G336" s="144"/>
      <c r="H336" s="144"/>
      <c r="I336" s="145"/>
      <c r="J336" s="145"/>
      <c r="K336" s="145"/>
      <c r="L336" s="145"/>
      <c r="M336" s="145"/>
      <c r="N336" s="145"/>
      <c r="O336" s="145"/>
      <c r="P336" s="145"/>
      <c r="Q336" s="145"/>
      <c r="R336" s="145"/>
      <c r="S336" s="145"/>
      <c r="T336" s="145"/>
      <c r="U336" s="145"/>
      <c r="V336" s="145"/>
      <c r="W336" s="145"/>
      <c r="X336" s="145"/>
      <c r="Y336" s="145"/>
      <c r="Z336" s="145"/>
      <c r="AA336" s="145"/>
      <c r="AB336" s="145"/>
      <c r="AC336" s="145"/>
      <c r="AD336" s="145"/>
      <c r="AE336" s="145"/>
      <c r="AF336" s="145"/>
      <c r="AG336" s="145"/>
      <c r="AH336" s="15">
        <f t="shared" si="15"/>
        <v>0</v>
      </c>
      <c r="AI336" s="15">
        <f t="shared" si="16"/>
        <v>25</v>
      </c>
      <c r="AJ336" s="15">
        <f t="shared" si="17"/>
        <v>25</v>
      </c>
    </row>
    <row r="337" spans="2:36">
      <c r="B337" s="124"/>
      <c r="C337" s="125">
        <v>334</v>
      </c>
      <c r="D337" s="144"/>
      <c r="E337" s="144"/>
      <c r="F337" s="144"/>
      <c r="G337" s="144"/>
      <c r="H337" s="144"/>
      <c r="I337" s="145"/>
      <c r="J337" s="145"/>
      <c r="K337" s="145"/>
      <c r="L337" s="145"/>
      <c r="M337" s="145"/>
      <c r="N337" s="145"/>
      <c r="O337" s="145"/>
      <c r="P337" s="145"/>
      <c r="Q337" s="145"/>
      <c r="R337" s="145"/>
      <c r="S337" s="145"/>
      <c r="T337" s="145"/>
      <c r="U337" s="145"/>
      <c r="V337" s="145"/>
      <c r="W337" s="145"/>
      <c r="X337" s="145"/>
      <c r="Y337" s="145"/>
      <c r="Z337" s="145"/>
      <c r="AA337" s="145"/>
      <c r="AB337" s="145"/>
      <c r="AC337" s="145"/>
      <c r="AD337" s="145"/>
      <c r="AE337" s="145"/>
      <c r="AF337" s="145"/>
      <c r="AG337" s="145"/>
      <c r="AH337" s="15">
        <f t="shared" si="15"/>
        <v>0</v>
      </c>
      <c r="AI337" s="15">
        <f t="shared" si="16"/>
        <v>25</v>
      </c>
      <c r="AJ337" s="15">
        <f t="shared" si="17"/>
        <v>25</v>
      </c>
    </row>
    <row r="338" spans="2:36">
      <c r="B338" s="124"/>
      <c r="C338" s="125">
        <v>335</v>
      </c>
      <c r="D338" s="144"/>
      <c r="E338" s="144"/>
      <c r="F338" s="144"/>
      <c r="G338" s="144"/>
      <c r="H338" s="144"/>
      <c r="I338" s="145"/>
      <c r="J338" s="145"/>
      <c r="K338" s="145"/>
      <c r="L338" s="145"/>
      <c r="M338" s="145"/>
      <c r="N338" s="145"/>
      <c r="O338" s="145"/>
      <c r="P338" s="145"/>
      <c r="Q338" s="145"/>
      <c r="R338" s="145"/>
      <c r="S338" s="145"/>
      <c r="T338" s="145"/>
      <c r="U338" s="145"/>
      <c r="V338" s="145"/>
      <c r="W338" s="145"/>
      <c r="X338" s="145"/>
      <c r="Y338" s="145"/>
      <c r="Z338" s="145"/>
      <c r="AA338" s="145"/>
      <c r="AB338" s="145"/>
      <c r="AC338" s="145"/>
      <c r="AD338" s="145"/>
      <c r="AE338" s="145"/>
      <c r="AF338" s="145"/>
      <c r="AG338" s="145"/>
      <c r="AH338" s="15">
        <f t="shared" si="15"/>
        <v>0</v>
      </c>
      <c r="AI338" s="15">
        <f t="shared" si="16"/>
        <v>25</v>
      </c>
      <c r="AJ338" s="15">
        <f t="shared" si="17"/>
        <v>25</v>
      </c>
    </row>
    <row r="339" spans="2:36">
      <c r="B339" s="124"/>
      <c r="C339" s="125">
        <v>336</v>
      </c>
      <c r="D339" s="144"/>
      <c r="E339" s="144"/>
      <c r="F339" s="144"/>
      <c r="G339" s="144"/>
      <c r="H339" s="144"/>
      <c r="I339" s="145"/>
      <c r="J339" s="145"/>
      <c r="K339" s="145"/>
      <c r="L339" s="145"/>
      <c r="M339" s="145"/>
      <c r="N339" s="145"/>
      <c r="O339" s="145"/>
      <c r="P339" s="145"/>
      <c r="Q339" s="145"/>
      <c r="R339" s="145"/>
      <c r="S339" s="145"/>
      <c r="T339" s="145"/>
      <c r="U339" s="145"/>
      <c r="V339" s="145"/>
      <c r="W339" s="145"/>
      <c r="X339" s="145"/>
      <c r="Y339" s="145"/>
      <c r="Z339" s="145"/>
      <c r="AA339" s="145"/>
      <c r="AB339" s="145"/>
      <c r="AC339" s="145"/>
      <c r="AD339" s="145"/>
      <c r="AE339" s="145"/>
      <c r="AF339" s="145"/>
      <c r="AG339" s="145"/>
      <c r="AH339" s="15">
        <f t="shared" si="15"/>
        <v>0</v>
      </c>
      <c r="AI339" s="15">
        <f t="shared" si="16"/>
        <v>25</v>
      </c>
      <c r="AJ339" s="15">
        <f t="shared" si="17"/>
        <v>25</v>
      </c>
    </row>
    <row r="340" spans="2:36">
      <c r="B340" s="124"/>
      <c r="C340" s="125">
        <v>337</v>
      </c>
      <c r="D340" s="144"/>
      <c r="E340" s="144"/>
      <c r="F340" s="144"/>
      <c r="G340" s="144"/>
      <c r="H340" s="144"/>
      <c r="I340" s="145"/>
      <c r="J340" s="145"/>
      <c r="K340" s="145"/>
      <c r="L340" s="145"/>
      <c r="M340" s="145"/>
      <c r="N340" s="145"/>
      <c r="O340" s="145"/>
      <c r="P340" s="145"/>
      <c r="Q340" s="145"/>
      <c r="R340" s="145"/>
      <c r="S340" s="145"/>
      <c r="T340" s="145"/>
      <c r="U340" s="145"/>
      <c r="V340" s="145"/>
      <c r="W340" s="145"/>
      <c r="X340" s="145"/>
      <c r="Y340" s="145"/>
      <c r="Z340" s="145"/>
      <c r="AA340" s="145"/>
      <c r="AB340" s="145"/>
      <c r="AC340" s="145"/>
      <c r="AD340" s="145"/>
      <c r="AE340" s="145"/>
      <c r="AF340" s="145"/>
      <c r="AG340" s="145"/>
      <c r="AH340" s="15">
        <f t="shared" si="15"/>
        <v>0</v>
      </c>
      <c r="AI340" s="15">
        <f t="shared" si="16"/>
        <v>25</v>
      </c>
      <c r="AJ340" s="15">
        <f t="shared" si="17"/>
        <v>25</v>
      </c>
    </row>
    <row r="341" spans="2:36">
      <c r="B341" s="124"/>
      <c r="C341" s="125">
        <v>338</v>
      </c>
      <c r="D341" s="144"/>
      <c r="E341" s="144"/>
      <c r="F341" s="144"/>
      <c r="G341" s="144"/>
      <c r="H341" s="144"/>
      <c r="I341" s="145"/>
      <c r="J341" s="145"/>
      <c r="K341" s="145"/>
      <c r="L341" s="145"/>
      <c r="M341" s="145"/>
      <c r="N341" s="145"/>
      <c r="O341" s="145"/>
      <c r="P341" s="145"/>
      <c r="Q341" s="145"/>
      <c r="R341" s="145"/>
      <c r="S341" s="145"/>
      <c r="T341" s="145"/>
      <c r="U341" s="145"/>
      <c r="V341" s="145"/>
      <c r="W341" s="145"/>
      <c r="X341" s="145"/>
      <c r="Y341" s="145"/>
      <c r="Z341" s="145"/>
      <c r="AA341" s="145"/>
      <c r="AB341" s="145"/>
      <c r="AC341" s="145"/>
      <c r="AD341" s="145"/>
      <c r="AE341" s="145"/>
      <c r="AF341" s="145"/>
      <c r="AG341" s="145"/>
      <c r="AH341" s="15">
        <f t="shared" si="15"/>
        <v>0</v>
      </c>
      <c r="AI341" s="15">
        <f t="shared" si="16"/>
        <v>25</v>
      </c>
      <c r="AJ341" s="15">
        <f t="shared" si="17"/>
        <v>25</v>
      </c>
    </row>
    <row r="342" spans="2:36">
      <c r="B342" s="124"/>
      <c r="C342" s="125">
        <v>339</v>
      </c>
      <c r="D342" s="144"/>
      <c r="E342" s="144"/>
      <c r="F342" s="144"/>
      <c r="G342" s="144"/>
      <c r="H342" s="144"/>
      <c r="I342" s="145"/>
      <c r="J342" s="145"/>
      <c r="K342" s="145"/>
      <c r="L342" s="145"/>
      <c r="M342" s="145"/>
      <c r="N342" s="145"/>
      <c r="O342" s="145"/>
      <c r="P342" s="145"/>
      <c r="Q342" s="145"/>
      <c r="R342" s="145"/>
      <c r="S342" s="145"/>
      <c r="T342" s="145"/>
      <c r="U342" s="145"/>
      <c r="V342" s="145"/>
      <c r="W342" s="145"/>
      <c r="X342" s="145"/>
      <c r="Y342" s="145"/>
      <c r="Z342" s="145"/>
      <c r="AA342" s="145"/>
      <c r="AB342" s="145"/>
      <c r="AC342" s="145"/>
      <c r="AD342" s="145"/>
      <c r="AE342" s="145"/>
      <c r="AF342" s="145"/>
      <c r="AG342" s="145"/>
      <c r="AH342" s="15">
        <f t="shared" si="15"/>
        <v>0</v>
      </c>
      <c r="AI342" s="15">
        <f t="shared" si="16"/>
        <v>25</v>
      </c>
      <c r="AJ342" s="15">
        <f t="shared" si="17"/>
        <v>25</v>
      </c>
    </row>
    <row r="343" spans="2:36">
      <c r="B343" s="124"/>
      <c r="C343" s="125">
        <v>340</v>
      </c>
      <c r="D343" s="144"/>
      <c r="E343" s="144"/>
      <c r="F343" s="144"/>
      <c r="G343" s="144"/>
      <c r="H343" s="144"/>
      <c r="I343" s="145"/>
      <c r="J343" s="145"/>
      <c r="K343" s="145"/>
      <c r="L343" s="145"/>
      <c r="M343" s="145"/>
      <c r="N343" s="145"/>
      <c r="O343" s="145"/>
      <c r="P343" s="145"/>
      <c r="Q343" s="145"/>
      <c r="R343" s="145"/>
      <c r="S343" s="145"/>
      <c r="T343" s="145"/>
      <c r="U343" s="145"/>
      <c r="V343" s="145"/>
      <c r="W343" s="145"/>
      <c r="X343" s="145"/>
      <c r="Y343" s="145"/>
      <c r="Z343" s="145"/>
      <c r="AA343" s="145"/>
      <c r="AB343" s="145"/>
      <c r="AC343" s="145"/>
      <c r="AD343" s="145"/>
      <c r="AE343" s="145"/>
      <c r="AF343" s="145"/>
      <c r="AG343" s="145"/>
      <c r="AH343" s="15">
        <f t="shared" si="15"/>
        <v>0</v>
      </c>
      <c r="AI343" s="15">
        <f t="shared" si="16"/>
        <v>25</v>
      </c>
      <c r="AJ343" s="15">
        <f t="shared" si="17"/>
        <v>25</v>
      </c>
    </row>
    <row r="344" spans="2:36">
      <c r="B344" s="124"/>
      <c r="C344" s="125">
        <v>341</v>
      </c>
      <c r="D344" s="144"/>
      <c r="E344" s="144"/>
      <c r="F344" s="144"/>
      <c r="G344" s="144"/>
      <c r="H344" s="144"/>
      <c r="I344" s="145"/>
      <c r="J344" s="145"/>
      <c r="K344" s="145"/>
      <c r="L344" s="145"/>
      <c r="M344" s="145"/>
      <c r="N344" s="145"/>
      <c r="O344" s="145"/>
      <c r="P344" s="145"/>
      <c r="Q344" s="145"/>
      <c r="R344" s="145"/>
      <c r="S344" s="145"/>
      <c r="T344" s="145"/>
      <c r="U344" s="145"/>
      <c r="V344" s="145"/>
      <c r="W344" s="145"/>
      <c r="X344" s="145"/>
      <c r="Y344" s="145"/>
      <c r="Z344" s="145"/>
      <c r="AA344" s="145"/>
      <c r="AB344" s="145"/>
      <c r="AC344" s="145"/>
      <c r="AD344" s="145"/>
      <c r="AE344" s="145"/>
      <c r="AF344" s="145"/>
      <c r="AG344" s="145"/>
      <c r="AH344" s="15">
        <f t="shared" si="15"/>
        <v>0</v>
      </c>
      <c r="AI344" s="15">
        <f t="shared" si="16"/>
        <v>25</v>
      </c>
      <c r="AJ344" s="15">
        <f t="shared" si="17"/>
        <v>25</v>
      </c>
    </row>
    <row r="345" spans="2:36">
      <c r="B345" s="124"/>
      <c r="C345" s="125">
        <v>342</v>
      </c>
      <c r="D345" s="144"/>
      <c r="E345" s="144"/>
      <c r="F345" s="144"/>
      <c r="G345" s="144"/>
      <c r="H345" s="144"/>
      <c r="I345" s="145"/>
      <c r="J345" s="145"/>
      <c r="K345" s="145"/>
      <c r="L345" s="145"/>
      <c r="M345" s="145"/>
      <c r="N345" s="145"/>
      <c r="O345" s="145"/>
      <c r="P345" s="145"/>
      <c r="Q345" s="145"/>
      <c r="R345" s="145"/>
      <c r="S345" s="145"/>
      <c r="T345" s="145"/>
      <c r="U345" s="145"/>
      <c r="V345" s="145"/>
      <c r="W345" s="145"/>
      <c r="X345" s="145"/>
      <c r="Y345" s="145"/>
      <c r="Z345" s="145"/>
      <c r="AA345" s="145"/>
      <c r="AB345" s="145"/>
      <c r="AC345" s="145"/>
      <c r="AD345" s="145"/>
      <c r="AE345" s="145"/>
      <c r="AF345" s="145"/>
      <c r="AG345" s="145"/>
      <c r="AH345" s="15">
        <f t="shared" si="15"/>
        <v>0</v>
      </c>
      <c r="AI345" s="15">
        <f t="shared" si="16"/>
        <v>25</v>
      </c>
      <c r="AJ345" s="15">
        <f t="shared" si="17"/>
        <v>25</v>
      </c>
    </row>
    <row r="346" spans="2:36">
      <c r="B346" s="124"/>
      <c r="C346" s="125">
        <v>343</v>
      </c>
      <c r="D346" s="144"/>
      <c r="E346" s="144"/>
      <c r="F346" s="144"/>
      <c r="G346" s="144"/>
      <c r="H346" s="144"/>
      <c r="I346" s="145"/>
      <c r="J346" s="145"/>
      <c r="K346" s="145"/>
      <c r="L346" s="145"/>
      <c r="M346" s="145"/>
      <c r="N346" s="145"/>
      <c r="O346" s="145"/>
      <c r="P346" s="145"/>
      <c r="Q346" s="145"/>
      <c r="R346" s="145"/>
      <c r="S346" s="145"/>
      <c r="T346" s="145"/>
      <c r="U346" s="145"/>
      <c r="V346" s="145"/>
      <c r="W346" s="145"/>
      <c r="X346" s="145"/>
      <c r="Y346" s="145"/>
      <c r="Z346" s="145"/>
      <c r="AA346" s="145"/>
      <c r="AB346" s="145"/>
      <c r="AC346" s="145"/>
      <c r="AD346" s="145"/>
      <c r="AE346" s="145"/>
      <c r="AF346" s="145"/>
      <c r="AG346" s="145"/>
      <c r="AH346" s="15">
        <f t="shared" si="15"/>
        <v>0</v>
      </c>
      <c r="AI346" s="15">
        <f t="shared" si="16"/>
        <v>25</v>
      </c>
      <c r="AJ346" s="15">
        <f t="shared" si="17"/>
        <v>25</v>
      </c>
    </row>
    <row r="347" spans="2:36">
      <c r="B347" s="124"/>
      <c r="C347" s="125">
        <v>344</v>
      </c>
      <c r="D347" s="144"/>
      <c r="E347" s="144"/>
      <c r="F347" s="144"/>
      <c r="G347" s="144"/>
      <c r="H347" s="144"/>
      <c r="I347" s="145"/>
      <c r="J347" s="145"/>
      <c r="K347" s="145"/>
      <c r="L347" s="145"/>
      <c r="M347" s="145"/>
      <c r="N347" s="145"/>
      <c r="O347" s="145"/>
      <c r="P347" s="145"/>
      <c r="Q347" s="145"/>
      <c r="R347" s="145"/>
      <c r="S347" s="145"/>
      <c r="T347" s="145"/>
      <c r="U347" s="145"/>
      <c r="V347" s="145"/>
      <c r="W347" s="145"/>
      <c r="X347" s="145"/>
      <c r="Y347" s="145"/>
      <c r="Z347" s="145"/>
      <c r="AA347" s="145"/>
      <c r="AB347" s="145"/>
      <c r="AC347" s="145"/>
      <c r="AD347" s="145"/>
      <c r="AE347" s="145"/>
      <c r="AF347" s="145"/>
      <c r="AG347" s="145"/>
      <c r="AH347" s="15">
        <f t="shared" si="15"/>
        <v>0</v>
      </c>
      <c r="AI347" s="15">
        <f t="shared" si="16"/>
        <v>25</v>
      </c>
      <c r="AJ347" s="15">
        <f t="shared" si="17"/>
        <v>25</v>
      </c>
    </row>
    <row r="348" spans="2:36">
      <c r="B348" s="124"/>
      <c r="C348" s="125">
        <v>345</v>
      </c>
      <c r="D348" s="144"/>
      <c r="E348" s="144"/>
      <c r="F348" s="144"/>
      <c r="G348" s="144"/>
      <c r="H348" s="144"/>
      <c r="I348" s="145"/>
      <c r="J348" s="145"/>
      <c r="K348" s="145"/>
      <c r="L348" s="145"/>
      <c r="M348" s="145"/>
      <c r="N348" s="145"/>
      <c r="O348" s="145"/>
      <c r="P348" s="145"/>
      <c r="Q348" s="145"/>
      <c r="R348" s="145"/>
      <c r="S348" s="145"/>
      <c r="T348" s="145"/>
      <c r="U348" s="145"/>
      <c r="V348" s="145"/>
      <c r="W348" s="145"/>
      <c r="X348" s="145"/>
      <c r="Y348" s="145"/>
      <c r="Z348" s="145"/>
      <c r="AA348" s="145"/>
      <c r="AB348" s="145"/>
      <c r="AC348" s="145"/>
      <c r="AD348" s="145"/>
      <c r="AE348" s="145"/>
      <c r="AF348" s="145"/>
      <c r="AG348" s="145"/>
      <c r="AH348" s="15">
        <f t="shared" si="15"/>
        <v>0</v>
      </c>
      <c r="AI348" s="15">
        <f t="shared" si="16"/>
        <v>25</v>
      </c>
      <c r="AJ348" s="15">
        <f t="shared" si="17"/>
        <v>25</v>
      </c>
    </row>
    <row r="349" spans="2:36">
      <c r="B349" s="124"/>
      <c r="C349" s="125">
        <v>346</v>
      </c>
      <c r="D349" s="144"/>
      <c r="E349" s="144"/>
      <c r="F349" s="144"/>
      <c r="G349" s="144"/>
      <c r="H349" s="144"/>
      <c r="I349" s="145"/>
      <c r="J349" s="145"/>
      <c r="K349" s="145"/>
      <c r="L349" s="145"/>
      <c r="M349" s="145"/>
      <c r="N349" s="145"/>
      <c r="O349" s="145"/>
      <c r="P349" s="145"/>
      <c r="Q349" s="145"/>
      <c r="R349" s="145"/>
      <c r="S349" s="145"/>
      <c r="T349" s="145"/>
      <c r="U349" s="145"/>
      <c r="V349" s="145"/>
      <c r="W349" s="145"/>
      <c r="X349" s="145"/>
      <c r="Y349" s="145"/>
      <c r="Z349" s="145"/>
      <c r="AA349" s="145"/>
      <c r="AB349" s="145"/>
      <c r="AC349" s="145"/>
      <c r="AD349" s="145"/>
      <c r="AE349" s="145"/>
      <c r="AF349" s="145"/>
      <c r="AG349" s="145"/>
      <c r="AH349" s="15">
        <f t="shared" si="15"/>
        <v>0</v>
      </c>
      <c r="AI349" s="15">
        <f t="shared" si="16"/>
        <v>25</v>
      </c>
      <c r="AJ349" s="15">
        <f t="shared" si="17"/>
        <v>25</v>
      </c>
    </row>
    <row r="350" spans="2:36">
      <c r="B350" s="124"/>
      <c r="C350" s="125">
        <v>347</v>
      </c>
      <c r="D350" s="144"/>
      <c r="E350" s="144"/>
      <c r="F350" s="144"/>
      <c r="G350" s="144"/>
      <c r="H350" s="144"/>
      <c r="I350" s="145"/>
      <c r="J350" s="145"/>
      <c r="K350" s="145"/>
      <c r="L350" s="145"/>
      <c r="M350" s="145"/>
      <c r="N350" s="145"/>
      <c r="O350" s="145"/>
      <c r="P350" s="145"/>
      <c r="Q350" s="145"/>
      <c r="R350" s="145"/>
      <c r="S350" s="145"/>
      <c r="T350" s="145"/>
      <c r="U350" s="145"/>
      <c r="V350" s="145"/>
      <c r="W350" s="145"/>
      <c r="X350" s="145"/>
      <c r="Y350" s="145"/>
      <c r="Z350" s="145"/>
      <c r="AA350" s="145"/>
      <c r="AB350" s="145"/>
      <c r="AC350" s="145"/>
      <c r="AD350" s="145"/>
      <c r="AE350" s="145"/>
      <c r="AF350" s="145"/>
      <c r="AG350" s="145"/>
      <c r="AH350" s="15">
        <f t="shared" si="15"/>
        <v>0</v>
      </c>
      <c r="AI350" s="15">
        <f t="shared" si="16"/>
        <v>25</v>
      </c>
      <c r="AJ350" s="15">
        <f t="shared" si="17"/>
        <v>25</v>
      </c>
    </row>
    <row r="351" spans="2:36">
      <c r="B351" s="124"/>
      <c r="C351" s="125">
        <v>348</v>
      </c>
      <c r="D351" s="144"/>
      <c r="E351" s="144"/>
      <c r="F351" s="144"/>
      <c r="G351" s="144"/>
      <c r="H351" s="144"/>
      <c r="I351" s="145"/>
      <c r="J351" s="145"/>
      <c r="K351" s="145"/>
      <c r="L351" s="145"/>
      <c r="M351" s="145"/>
      <c r="N351" s="145"/>
      <c r="O351" s="145"/>
      <c r="P351" s="145"/>
      <c r="Q351" s="145"/>
      <c r="R351" s="145"/>
      <c r="S351" s="145"/>
      <c r="T351" s="145"/>
      <c r="U351" s="145"/>
      <c r="V351" s="145"/>
      <c r="W351" s="145"/>
      <c r="X351" s="145"/>
      <c r="Y351" s="145"/>
      <c r="Z351" s="145"/>
      <c r="AA351" s="145"/>
      <c r="AB351" s="145"/>
      <c r="AC351" s="145"/>
      <c r="AD351" s="145"/>
      <c r="AE351" s="145"/>
      <c r="AF351" s="145"/>
      <c r="AG351" s="145"/>
      <c r="AH351" s="15">
        <f t="shared" si="15"/>
        <v>0</v>
      </c>
      <c r="AI351" s="15">
        <f t="shared" si="16"/>
        <v>25</v>
      </c>
      <c r="AJ351" s="15">
        <f t="shared" si="17"/>
        <v>25</v>
      </c>
    </row>
    <row r="352" spans="2:36">
      <c r="B352" s="124"/>
      <c r="C352" s="125">
        <v>349</v>
      </c>
      <c r="D352" s="144"/>
      <c r="E352" s="144"/>
      <c r="F352" s="144"/>
      <c r="G352" s="144"/>
      <c r="H352" s="144"/>
      <c r="I352" s="145"/>
      <c r="J352" s="145"/>
      <c r="K352" s="145"/>
      <c r="L352" s="145"/>
      <c r="M352" s="145"/>
      <c r="N352" s="145"/>
      <c r="O352" s="145"/>
      <c r="P352" s="145"/>
      <c r="Q352" s="145"/>
      <c r="R352" s="145"/>
      <c r="S352" s="145"/>
      <c r="T352" s="145"/>
      <c r="U352" s="145"/>
      <c r="V352" s="145"/>
      <c r="W352" s="145"/>
      <c r="X352" s="145"/>
      <c r="Y352" s="145"/>
      <c r="Z352" s="145"/>
      <c r="AA352" s="145"/>
      <c r="AB352" s="145"/>
      <c r="AC352" s="145"/>
      <c r="AD352" s="145"/>
      <c r="AE352" s="145"/>
      <c r="AF352" s="145"/>
      <c r="AG352" s="145"/>
      <c r="AH352" s="15">
        <f t="shared" si="15"/>
        <v>0</v>
      </c>
      <c r="AI352" s="15">
        <f t="shared" si="16"/>
        <v>25</v>
      </c>
      <c r="AJ352" s="15">
        <f t="shared" si="17"/>
        <v>25</v>
      </c>
    </row>
    <row r="353" spans="2:36">
      <c r="B353" s="124"/>
      <c r="C353" s="125">
        <v>350</v>
      </c>
      <c r="D353" s="144"/>
      <c r="E353" s="144"/>
      <c r="F353" s="144"/>
      <c r="G353" s="144"/>
      <c r="H353" s="144"/>
      <c r="I353" s="145"/>
      <c r="J353" s="145"/>
      <c r="K353" s="145"/>
      <c r="L353" s="145"/>
      <c r="M353" s="145"/>
      <c r="N353" s="145"/>
      <c r="O353" s="145"/>
      <c r="P353" s="145"/>
      <c r="Q353" s="145"/>
      <c r="R353" s="145"/>
      <c r="S353" s="145"/>
      <c r="T353" s="145"/>
      <c r="U353" s="145"/>
      <c r="V353" s="145"/>
      <c r="W353" s="145"/>
      <c r="X353" s="145"/>
      <c r="Y353" s="145"/>
      <c r="Z353" s="145"/>
      <c r="AA353" s="145"/>
      <c r="AB353" s="145"/>
      <c r="AC353" s="145"/>
      <c r="AD353" s="145"/>
      <c r="AE353" s="145"/>
      <c r="AF353" s="145"/>
      <c r="AG353" s="145"/>
      <c r="AH353" s="15">
        <f t="shared" si="15"/>
        <v>0</v>
      </c>
      <c r="AI353" s="15">
        <f t="shared" si="16"/>
        <v>25</v>
      </c>
      <c r="AJ353" s="15">
        <f t="shared" si="17"/>
        <v>25</v>
      </c>
    </row>
    <row r="354" spans="2:36">
      <c r="B354" s="124"/>
      <c r="C354" s="125">
        <v>351</v>
      </c>
      <c r="D354" s="144"/>
      <c r="E354" s="144"/>
      <c r="F354" s="144"/>
      <c r="G354" s="144"/>
      <c r="H354" s="144"/>
      <c r="I354" s="145"/>
      <c r="J354" s="145"/>
      <c r="K354" s="145"/>
      <c r="L354" s="145"/>
      <c r="M354" s="145"/>
      <c r="N354" s="145"/>
      <c r="O354" s="145"/>
      <c r="P354" s="145"/>
      <c r="Q354" s="145"/>
      <c r="R354" s="145"/>
      <c r="S354" s="145"/>
      <c r="T354" s="145"/>
      <c r="U354" s="145"/>
      <c r="V354" s="145"/>
      <c r="W354" s="145"/>
      <c r="X354" s="145"/>
      <c r="Y354" s="145"/>
      <c r="Z354" s="145"/>
      <c r="AA354" s="145"/>
      <c r="AB354" s="145"/>
      <c r="AC354" s="145"/>
      <c r="AD354" s="145"/>
      <c r="AE354" s="145"/>
      <c r="AF354" s="145"/>
      <c r="AG354" s="145"/>
      <c r="AH354" s="15">
        <f t="shared" si="15"/>
        <v>0</v>
      </c>
      <c r="AI354" s="15">
        <f t="shared" si="16"/>
        <v>25</v>
      </c>
      <c r="AJ354" s="15">
        <f t="shared" si="17"/>
        <v>25</v>
      </c>
    </row>
    <row r="355" spans="2:36">
      <c r="B355" s="124"/>
      <c r="C355" s="125">
        <v>352</v>
      </c>
      <c r="D355" s="144"/>
      <c r="E355" s="144"/>
      <c r="F355" s="144"/>
      <c r="G355" s="144"/>
      <c r="H355" s="144"/>
      <c r="I355" s="145"/>
      <c r="J355" s="145"/>
      <c r="K355" s="145"/>
      <c r="L355" s="145"/>
      <c r="M355" s="145"/>
      <c r="N355" s="145"/>
      <c r="O355" s="145"/>
      <c r="P355" s="145"/>
      <c r="Q355" s="145"/>
      <c r="R355" s="145"/>
      <c r="S355" s="145"/>
      <c r="T355" s="145"/>
      <c r="U355" s="145"/>
      <c r="V355" s="145"/>
      <c r="W355" s="145"/>
      <c r="X355" s="145"/>
      <c r="Y355" s="145"/>
      <c r="Z355" s="145"/>
      <c r="AA355" s="145"/>
      <c r="AB355" s="145"/>
      <c r="AC355" s="145"/>
      <c r="AD355" s="145"/>
      <c r="AE355" s="145"/>
      <c r="AF355" s="145"/>
      <c r="AG355" s="145"/>
      <c r="AH355" s="15">
        <f t="shared" si="15"/>
        <v>0</v>
      </c>
      <c r="AI355" s="15">
        <f t="shared" si="16"/>
        <v>25</v>
      </c>
      <c r="AJ355" s="15">
        <f t="shared" si="17"/>
        <v>25</v>
      </c>
    </row>
    <row r="356" spans="2:36">
      <c r="B356" s="124"/>
      <c r="C356" s="125">
        <v>353</v>
      </c>
      <c r="D356" s="144"/>
      <c r="E356" s="144"/>
      <c r="F356" s="144"/>
      <c r="G356" s="144"/>
      <c r="H356" s="144"/>
      <c r="I356" s="145"/>
      <c r="J356" s="145"/>
      <c r="K356" s="145"/>
      <c r="L356" s="145"/>
      <c r="M356" s="145"/>
      <c r="N356" s="145"/>
      <c r="O356" s="145"/>
      <c r="P356" s="145"/>
      <c r="Q356" s="145"/>
      <c r="R356" s="145"/>
      <c r="S356" s="145"/>
      <c r="T356" s="145"/>
      <c r="U356" s="145"/>
      <c r="V356" s="145"/>
      <c r="W356" s="145"/>
      <c r="X356" s="145"/>
      <c r="Y356" s="145"/>
      <c r="Z356" s="145"/>
      <c r="AA356" s="145"/>
      <c r="AB356" s="145"/>
      <c r="AC356" s="145"/>
      <c r="AD356" s="145"/>
      <c r="AE356" s="145"/>
      <c r="AF356" s="145"/>
      <c r="AG356" s="145"/>
      <c r="AH356" s="15">
        <f t="shared" si="15"/>
        <v>0</v>
      </c>
      <c r="AI356" s="15">
        <f t="shared" si="16"/>
        <v>25</v>
      </c>
      <c r="AJ356" s="15">
        <f t="shared" si="17"/>
        <v>25</v>
      </c>
    </row>
    <row r="357" spans="2:36">
      <c r="B357" s="124"/>
      <c r="C357" s="125">
        <v>354</v>
      </c>
      <c r="D357" s="144"/>
      <c r="E357" s="144"/>
      <c r="F357" s="144"/>
      <c r="G357" s="144"/>
      <c r="H357" s="144"/>
      <c r="I357" s="145"/>
      <c r="J357" s="145"/>
      <c r="K357" s="145"/>
      <c r="L357" s="145"/>
      <c r="M357" s="145"/>
      <c r="N357" s="145"/>
      <c r="O357" s="145"/>
      <c r="P357" s="145"/>
      <c r="Q357" s="145"/>
      <c r="R357" s="145"/>
      <c r="S357" s="145"/>
      <c r="T357" s="145"/>
      <c r="U357" s="145"/>
      <c r="V357" s="145"/>
      <c r="W357" s="145"/>
      <c r="X357" s="145"/>
      <c r="Y357" s="145"/>
      <c r="Z357" s="145"/>
      <c r="AA357" s="145"/>
      <c r="AB357" s="145"/>
      <c r="AC357" s="145"/>
      <c r="AD357" s="145"/>
      <c r="AE357" s="145"/>
      <c r="AF357" s="145"/>
      <c r="AG357" s="145"/>
      <c r="AH357" s="15">
        <f t="shared" si="15"/>
        <v>0</v>
      </c>
      <c r="AI357" s="15">
        <f t="shared" si="16"/>
        <v>25</v>
      </c>
      <c r="AJ357" s="15">
        <f t="shared" si="17"/>
        <v>25</v>
      </c>
    </row>
    <row r="358" spans="2:36">
      <c r="B358" s="124"/>
      <c r="C358" s="125">
        <v>355</v>
      </c>
      <c r="D358" s="144"/>
      <c r="E358" s="144"/>
      <c r="F358" s="144"/>
      <c r="G358" s="144"/>
      <c r="H358" s="144"/>
      <c r="I358" s="145"/>
      <c r="J358" s="145"/>
      <c r="K358" s="145"/>
      <c r="L358" s="145"/>
      <c r="M358" s="145"/>
      <c r="N358" s="145"/>
      <c r="O358" s="145"/>
      <c r="P358" s="145"/>
      <c r="Q358" s="145"/>
      <c r="R358" s="145"/>
      <c r="S358" s="145"/>
      <c r="T358" s="145"/>
      <c r="U358" s="145"/>
      <c r="V358" s="145"/>
      <c r="W358" s="145"/>
      <c r="X358" s="145"/>
      <c r="Y358" s="145"/>
      <c r="Z358" s="145"/>
      <c r="AA358" s="145"/>
      <c r="AB358" s="145"/>
      <c r="AC358" s="145"/>
      <c r="AD358" s="145"/>
      <c r="AE358" s="145"/>
      <c r="AF358" s="145"/>
      <c r="AG358" s="145"/>
      <c r="AH358" s="15">
        <f t="shared" si="15"/>
        <v>0</v>
      </c>
      <c r="AI358" s="15">
        <f t="shared" si="16"/>
        <v>25</v>
      </c>
      <c r="AJ358" s="15">
        <f t="shared" si="17"/>
        <v>25</v>
      </c>
    </row>
    <row r="359" spans="2:36">
      <c r="B359" s="124"/>
      <c r="C359" s="125">
        <v>356</v>
      </c>
      <c r="D359" s="144"/>
      <c r="E359" s="144"/>
      <c r="F359" s="144"/>
      <c r="G359" s="144"/>
      <c r="H359" s="144"/>
      <c r="I359" s="145"/>
      <c r="J359" s="145"/>
      <c r="K359" s="145"/>
      <c r="L359" s="145"/>
      <c r="M359" s="145"/>
      <c r="N359" s="145"/>
      <c r="O359" s="145"/>
      <c r="P359" s="145"/>
      <c r="Q359" s="145"/>
      <c r="R359" s="145"/>
      <c r="S359" s="145"/>
      <c r="T359" s="145"/>
      <c r="U359" s="145"/>
      <c r="V359" s="145"/>
      <c r="W359" s="145"/>
      <c r="X359" s="145"/>
      <c r="Y359" s="145"/>
      <c r="Z359" s="145"/>
      <c r="AA359" s="145"/>
      <c r="AB359" s="145"/>
      <c r="AC359" s="145"/>
      <c r="AD359" s="145"/>
      <c r="AE359" s="145"/>
      <c r="AF359" s="145"/>
      <c r="AG359" s="145"/>
      <c r="AH359" s="15">
        <f t="shared" si="15"/>
        <v>0</v>
      </c>
      <c r="AI359" s="15">
        <f t="shared" si="16"/>
        <v>25</v>
      </c>
      <c r="AJ359" s="15">
        <f t="shared" si="17"/>
        <v>25</v>
      </c>
    </row>
    <row r="360" spans="2:36">
      <c r="B360" s="124"/>
      <c r="C360" s="125">
        <v>357</v>
      </c>
      <c r="D360" s="144"/>
      <c r="E360" s="144"/>
      <c r="F360" s="144"/>
      <c r="G360" s="144"/>
      <c r="H360" s="144"/>
      <c r="I360" s="145"/>
      <c r="J360" s="145"/>
      <c r="K360" s="145"/>
      <c r="L360" s="145"/>
      <c r="M360" s="145"/>
      <c r="N360" s="145"/>
      <c r="O360" s="145"/>
      <c r="P360" s="145"/>
      <c r="Q360" s="145"/>
      <c r="R360" s="145"/>
      <c r="S360" s="145"/>
      <c r="T360" s="145"/>
      <c r="U360" s="145"/>
      <c r="V360" s="145"/>
      <c r="W360" s="145"/>
      <c r="X360" s="145"/>
      <c r="Y360" s="145"/>
      <c r="Z360" s="145"/>
      <c r="AA360" s="145"/>
      <c r="AB360" s="145"/>
      <c r="AC360" s="145"/>
      <c r="AD360" s="145"/>
      <c r="AE360" s="145"/>
      <c r="AF360" s="145"/>
      <c r="AG360" s="145"/>
      <c r="AH360" s="15">
        <f t="shared" si="15"/>
        <v>0</v>
      </c>
      <c r="AI360" s="15">
        <f t="shared" si="16"/>
        <v>25</v>
      </c>
      <c r="AJ360" s="15">
        <f t="shared" si="17"/>
        <v>25</v>
      </c>
    </row>
    <row r="361" spans="2:36">
      <c r="B361" s="124"/>
      <c r="C361" s="125">
        <v>358</v>
      </c>
      <c r="D361" s="144"/>
      <c r="E361" s="144"/>
      <c r="F361" s="144"/>
      <c r="G361" s="144"/>
      <c r="H361" s="144"/>
      <c r="I361" s="145"/>
      <c r="J361" s="145"/>
      <c r="K361" s="145"/>
      <c r="L361" s="145"/>
      <c r="M361" s="145"/>
      <c r="N361" s="145"/>
      <c r="O361" s="145"/>
      <c r="P361" s="145"/>
      <c r="Q361" s="145"/>
      <c r="R361" s="145"/>
      <c r="S361" s="145"/>
      <c r="T361" s="145"/>
      <c r="U361" s="145"/>
      <c r="V361" s="145"/>
      <c r="W361" s="145"/>
      <c r="X361" s="145"/>
      <c r="Y361" s="145"/>
      <c r="Z361" s="145"/>
      <c r="AA361" s="145"/>
      <c r="AB361" s="145"/>
      <c r="AC361" s="145"/>
      <c r="AD361" s="145"/>
      <c r="AE361" s="145"/>
      <c r="AF361" s="145"/>
      <c r="AG361" s="145"/>
      <c r="AH361" s="15">
        <f t="shared" si="15"/>
        <v>0</v>
      </c>
      <c r="AI361" s="15">
        <f t="shared" si="16"/>
        <v>25</v>
      </c>
      <c r="AJ361" s="15">
        <f t="shared" si="17"/>
        <v>25</v>
      </c>
    </row>
    <row r="362" spans="2:36">
      <c r="B362" s="124"/>
      <c r="C362" s="125">
        <v>359</v>
      </c>
      <c r="D362" s="144"/>
      <c r="E362" s="144"/>
      <c r="F362" s="144"/>
      <c r="G362" s="144"/>
      <c r="H362" s="144"/>
      <c r="I362" s="145"/>
      <c r="J362" s="145"/>
      <c r="K362" s="145"/>
      <c r="L362" s="145"/>
      <c r="M362" s="145"/>
      <c r="N362" s="145"/>
      <c r="O362" s="145"/>
      <c r="P362" s="145"/>
      <c r="Q362" s="145"/>
      <c r="R362" s="145"/>
      <c r="S362" s="145"/>
      <c r="T362" s="145"/>
      <c r="U362" s="145"/>
      <c r="V362" s="145"/>
      <c r="W362" s="145"/>
      <c r="X362" s="145"/>
      <c r="Y362" s="145"/>
      <c r="Z362" s="145"/>
      <c r="AA362" s="145"/>
      <c r="AB362" s="145"/>
      <c r="AC362" s="145"/>
      <c r="AD362" s="145"/>
      <c r="AE362" s="145"/>
      <c r="AF362" s="145"/>
      <c r="AG362" s="145"/>
      <c r="AH362" s="15">
        <f t="shared" si="15"/>
        <v>0</v>
      </c>
      <c r="AI362" s="15">
        <f t="shared" si="16"/>
        <v>25</v>
      </c>
      <c r="AJ362" s="15">
        <f t="shared" si="17"/>
        <v>25</v>
      </c>
    </row>
    <row r="363" spans="2:36">
      <c r="B363" s="126"/>
      <c r="C363" s="127">
        <v>360</v>
      </c>
      <c r="D363" s="144"/>
      <c r="E363" s="144"/>
      <c r="F363" s="144"/>
      <c r="G363" s="144"/>
      <c r="H363" s="144"/>
      <c r="I363" s="145"/>
      <c r="J363" s="145"/>
      <c r="K363" s="145"/>
      <c r="L363" s="145"/>
      <c r="M363" s="145"/>
      <c r="N363" s="145"/>
      <c r="O363" s="145"/>
      <c r="P363" s="145"/>
      <c r="Q363" s="145"/>
      <c r="R363" s="145"/>
      <c r="S363" s="145"/>
      <c r="T363" s="145"/>
      <c r="U363" s="145"/>
      <c r="V363" s="145"/>
      <c r="W363" s="145"/>
      <c r="X363" s="145"/>
      <c r="Y363" s="145"/>
      <c r="Z363" s="145"/>
      <c r="AA363" s="145"/>
      <c r="AB363" s="145"/>
      <c r="AC363" s="145"/>
      <c r="AD363" s="145"/>
      <c r="AE363" s="145"/>
      <c r="AF363" s="145"/>
      <c r="AG363" s="145"/>
      <c r="AH363" s="15">
        <f t="shared" si="15"/>
        <v>0</v>
      </c>
      <c r="AI363" s="15">
        <f t="shared" si="16"/>
        <v>25</v>
      </c>
      <c r="AJ363" s="15">
        <f t="shared" si="17"/>
        <v>25</v>
      </c>
    </row>
    <row r="364" spans="2:36">
      <c r="AH364" s="15">
        <f>SUM(AH4:AH363)</f>
        <v>0</v>
      </c>
    </row>
  </sheetData>
  <mergeCells count="2">
    <mergeCell ref="I1:AG1"/>
    <mergeCell ref="B1:H1"/>
  </mergeCells>
  <phoneticPr fontId="18" type="noConversion"/>
  <conditionalFormatting sqref="AI2">
    <cfRule type="cellIs" dxfId="5" priority="5" operator="equal">
      <formula>-1</formula>
    </cfRule>
    <cfRule type="cellIs" dxfId="4" priority="6" operator="equal">
      <formula>0</formula>
    </cfRule>
  </conditionalFormatting>
  <conditionalFormatting sqref="I4:AG363">
    <cfRule type="cellIs" dxfId="3" priority="3" operator="equal">
      <formula>-1</formula>
    </cfRule>
    <cfRule type="cellIs" dxfId="2" priority="4" operator="equal">
      <formula>0</formula>
    </cfRule>
  </conditionalFormatting>
  <conditionalFormatting sqref="AH2">
    <cfRule type="cellIs" dxfId="1" priority="1" operator="equal">
      <formula>-1</formula>
    </cfRule>
    <cfRule type="cellIs" dxfId="0" priority="2" operator="equal">
      <formula>0</formula>
    </cfRule>
  </conditionalFormatting>
  <pageMargins left="0.7" right="0.7" top="0.75" bottom="0.75" header="0.3" footer="0.3"/>
  <ignoredErrors>
    <ignoredError sqref="AH4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J688"/>
  <sheetViews>
    <sheetView workbookViewId="0">
      <selection activeCell="A4" sqref="A4"/>
    </sheetView>
  </sheetViews>
  <sheetFormatPr defaultColWidth="11.5546875" defaultRowHeight="14.4"/>
  <cols>
    <col min="1" max="1" width="10.5546875" bestFit="1" customWidth="1"/>
    <col min="2" max="2" width="9.6640625" bestFit="1" customWidth="1"/>
    <col min="3" max="3" width="9" bestFit="1" customWidth="1"/>
    <col min="4" max="4" width="15.33203125" bestFit="1" customWidth="1"/>
    <col min="5" max="5" width="9.33203125" bestFit="1" customWidth="1"/>
    <col min="6" max="6" width="13.33203125" bestFit="1" customWidth="1"/>
    <col min="7" max="7" width="14.33203125" style="61" customWidth="1"/>
    <col min="8" max="8" width="15.109375" bestFit="1" customWidth="1"/>
    <col min="9" max="9" width="8.6640625" bestFit="1" customWidth="1"/>
    <col min="10" max="10" width="20.33203125" style="58" bestFit="1" customWidth="1"/>
  </cols>
  <sheetData>
    <row r="1" spans="1:10">
      <c r="A1" s="55" t="s">
        <v>51</v>
      </c>
      <c r="B1" s="55" t="s">
        <v>52</v>
      </c>
      <c r="C1" s="55" t="s">
        <v>53</v>
      </c>
      <c r="D1" s="55" t="s">
        <v>345</v>
      </c>
      <c r="E1" s="55" t="s">
        <v>54</v>
      </c>
      <c r="F1" s="55" t="s">
        <v>55</v>
      </c>
      <c r="G1" s="60" t="s">
        <v>56</v>
      </c>
      <c r="H1" s="55" t="s">
        <v>57</v>
      </c>
      <c r="I1" s="55" t="s">
        <v>58</v>
      </c>
      <c r="J1" s="55" t="s">
        <v>346</v>
      </c>
    </row>
    <row r="2" spans="1:10">
      <c r="A2" s="43">
        <v>43565</v>
      </c>
      <c r="B2">
        <v>2014</v>
      </c>
      <c r="C2">
        <v>1000</v>
      </c>
      <c r="D2">
        <v>1</v>
      </c>
      <c r="E2">
        <v>5850</v>
      </c>
      <c r="F2" t="s">
        <v>59</v>
      </c>
      <c r="G2" s="53">
        <v>6</v>
      </c>
      <c r="H2" t="s">
        <v>133</v>
      </c>
      <c r="I2">
        <v>5</v>
      </c>
      <c r="J2" s="59">
        <f t="shared" ref="J2:J65" si="0">IF(H2="days",ROUND(G2/30,0),IF(H2="years",G2*12,G2))</f>
        <v>6</v>
      </c>
    </row>
    <row r="3" spans="1:10">
      <c r="A3" s="43">
        <v>42795</v>
      </c>
      <c r="B3">
        <v>2014</v>
      </c>
      <c r="C3">
        <v>1000</v>
      </c>
      <c r="D3">
        <v>2</v>
      </c>
      <c r="E3">
        <v>5400</v>
      </c>
      <c r="F3" t="s">
        <v>59</v>
      </c>
      <c r="G3" s="53">
        <v>6</v>
      </c>
      <c r="H3" t="s">
        <v>133</v>
      </c>
      <c r="I3">
        <v>5</v>
      </c>
      <c r="J3" s="59">
        <f t="shared" si="0"/>
        <v>6</v>
      </c>
    </row>
    <row r="4" spans="1:10">
      <c r="A4" s="43">
        <v>42795</v>
      </c>
      <c r="B4">
        <v>2015</v>
      </c>
      <c r="C4">
        <v>1003</v>
      </c>
      <c r="D4">
        <v>3</v>
      </c>
      <c r="E4">
        <v>7000</v>
      </c>
      <c r="F4" t="s">
        <v>59</v>
      </c>
      <c r="G4" s="53">
        <v>7</v>
      </c>
      <c r="H4" t="s">
        <v>133</v>
      </c>
      <c r="I4">
        <v>4</v>
      </c>
      <c r="J4" s="59">
        <f t="shared" si="0"/>
        <v>7</v>
      </c>
    </row>
    <row r="5" spans="1:10">
      <c r="A5" s="43">
        <v>42649</v>
      </c>
      <c r="B5">
        <v>2011</v>
      </c>
      <c r="C5">
        <v>1022</v>
      </c>
      <c r="D5">
        <v>4</v>
      </c>
      <c r="E5">
        <v>6000</v>
      </c>
      <c r="F5" t="s">
        <v>59</v>
      </c>
      <c r="G5" s="53">
        <v>12</v>
      </c>
      <c r="H5" t="s">
        <v>133</v>
      </c>
      <c r="I5">
        <v>8</v>
      </c>
      <c r="J5" s="59">
        <f t="shared" si="0"/>
        <v>12</v>
      </c>
    </row>
    <row r="6" spans="1:10">
      <c r="A6" s="43">
        <v>42639</v>
      </c>
      <c r="B6">
        <v>2011</v>
      </c>
      <c r="C6">
        <v>1022</v>
      </c>
      <c r="D6">
        <v>5</v>
      </c>
      <c r="E6">
        <v>6000</v>
      </c>
      <c r="F6" t="s">
        <v>59</v>
      </c>
      <c r="G6" s="53">
        <v>13</v>
      </c>
      <c r="H6" t="s">
        <v>133</v>
      </c>
      <c r="I6">
        <v>8</v>
      </c>
      <c r="J6" s="59">
        <f t="shared" si="0"/>
        <v>13</v>
      </c>
    </row>
    <row r="7" spans="1:10">
      <c r="A7" s="43">
        <v>42510</v>
      </c>
      <c r="B7">
        <v>2011</v>
      </c>
      <c r="C7">
        <v>1022</v>
      </c>
      <c r="D7">
        <v>6</v>
      </c>
      <c r="E7">
        <v>7500</v>
      </c>
      <c r="F7" t="s">
        <v>59</v>
      </c>
      <c r="G7" s="53">
        <v>5</v>
      </c>
      <c r="H7" t="s">
        <v>133</v>
      </c>
      <c r="I7">
        <v>8</v>
      </c>
      <c r="J7" s="59">
        <f t="shared" si="0"/>
        <v>5</v>
      </c>
    </row>
    <row r="8" spans="1:10">
      <c r="A8" s="43">
        <v>42614</v>
      </c>
      <c r="B8">
        <v>2011</v>
      </c>
      <c r="C8">
        <v>1022</v>
      </c>
      <c r="D8">
        <v>7</v>
      </c>
      <c r="E8">
        <v>7300</v>
      </c>
      <c r="F8" t="s">
        <v>59</v>
      </c>
      <c r="G8" s="53">
        <v>6</v>
      </c>
      <c r="H8" t="s">
        <v>133</v>
      </c>
      <c r="I8">
        <v>8</v>
      </c>
      <c r="J8" s="59">
        <f t="shared" si="0"/>
        <v>6</v>
      </c>
    </row>
    <row r="9" spans="1:10">
      <c r="A9" s="43">
        <v>42440</v>
      </c>
      <c r="B9">
        <v>2011</v>
      </c>
      <c r="C9">
        <v>1022</v>
      </c>
      <c r="D9">
        <v>8</v>
      </c>
      <c r="E9">
        <v>6950</v>
      </c>
      <c r="F9" t="s">
        <v>59</v>
      </c>
      <c r="G9" s="53">
        <v>6</v>
      </c>
      <c r="H9" t="s">
        <v>133</v>
      </c>
      <c r="I9">
        <v>8</v>
      </c>
      <c r="J9" s="59">
        <f t="shared" si="0"/>
        <v>6</v>
      </c>
    </row>
    <row r="10" spans="1:10">
      <c r="A10" s="43">
        <v>42376</v>
      </c>
      <c r="B10">
        <v>2011</v>
      </c>
      <c r="C10">
        <v>1022</v>
      </c>
      <c r="D10">
        <v>9</v>
      </c>
      <c r="E10">
        <v>7500</v>
      </c>
      <c r="F10" t="s">
        <v>59</v>
      </c>
      <c r="G10" s="53">
        <v>6</v>
      </c>
      <c r="H10" t="s">
        <v>133</v>
      </c>
      <c r="I10">
        <v>8</v>
      </c>
      <c r="J10" s="59">
        <f t="shared" si="0"/>
        <v>6</v>
      </c>
    </row>
    <row r="11" spans="1:10">
      <c r="A11" s="43">
        <v>42458</v>
      </c>
      <c r="B11">
        <v>2012</v>
      </c>
      <c r="C11">
        <v>1025</v>
      </c>
      <c r="D11">
        <v>10</v>
      </c>
      <c r="E11">
        <v>7800</v>
      </c>
      <c r="F11" t="s">
        <v>59</v>
      </c>
      <c r="G11" s="53">
        <v>12</v>
      </c>
      <c r="H11" t="s">
        <v>133</v>
      </c>
      <c r="I11">
        <v>7</v>
      </c>
      <c r="J11" s="59">
        <f t="shared" si="0"/>
        <v>12</v>
      </c>
    </row>
    <row r="12" spans="1:10">
      <c r="A12" s="43">
        <v>42451</v>
      </c>
      <c r="B12">
        <v>2012</v>
      </c>
      <c r="C12">
        <v>1025</v>
      </c>
      <c r="D12">
        <v>11</v>
      </c>
      <c r="E12">
        <v>7800</v>
      </c>
      <c r="F12" t="s">
        <v>59</v>
      </c>
      <c r="G12" s="53">
        <v>12</v>
      </c>
      <c r="H12" t="s">
        <v>133</v>
      </c>
      <c r="I12">
        <v>7</v>
      </c>
      <c r="J12" s="59">
        <f t="shared" si="0"/>
        <v>12</v>
      </c>
    </row>
    <row r="13" spans="1:10">
      <c r="A13" s="43">
        <v>42648</v>
      </c>
      <c r="B13">
        <v>2012</v>
      </c>
      <c r="C13">
        <v>1036</v>
      </c>
      <c r="D13">
        <v>12</v>
      </c>
      <c r="E13">
        <v>7100</v>
      </c>
      <c r="F13" t="s">
        <v>59</v>
      </c>
      <c r="G13" s="53">
        <v>10</v>
      </c>
      <c r="H13" t="s">
        <v>133</v>
      </c>
      <c r="I13">
        <v>7</v>
      </c>
      <c r="J13" s="59">
        <f t="shared" si="0"/>
        <v>10</v>
      </c>
    </row>
    <row r="14" spans="1:10">
      <c r="A14" s="43">
        <v>42597</v>
      </c>
      <c r="B14">
        <v>2012</v>
      </c>
      <c r="C14">
        <v>1036</v>
      </c>
      <c r="D14">
        <v>13</v>
      </c>
      <c r="E14">
        <v>6850</v>
      </c>
      <c r="F14" t="s">
        <v>59</v>
      </c>
      <c r="G14" s="53">
        <v>10</v>
      </c>
      <c r="H14" t="s">
        <v>133</v>
      </c>
      <c r="I14">
        <v>7</v>
      </c>
      <c r="J14" s="59">
        <f t="shared" si="0"/>
        <v>10</v>
      </c>
    </row>
    <row r="15" spans="1:10">
      <c r="A15" s="43">
        <v>42401</v>
      </c>
      <c r="B15">
        <v>2012</v>
      </c>
      <c r="C15">
        <v>1036</v>
      </c>
      <c r="D15">
        <v>14</v>
      </c>
      <c r="E15">
        <v>7600</v>
      </c>
      <c r="F15" t="s">
        <v>59</v>
      </c>
      <c r="G15" s="53">
        <v>10</v>
      </c>
      <c r="H15" t="s">
        <v>133</v>
      </c>
      <c r="I15">
        <v>7</v>
      </c>
      <c r="J15" s="59">
        <f t="shared" si="0"/>
        <v>10</v>
      </c>
    </row>
    <row r="16" spans="1:10">
      <c r="A16" s="43">
        <v>43255</v>
      </c>
      <c r="B16">
        <v>2011</v>
      </c>
      <c r="C16">
        <v>1036</v>
      </c>
      <c r="D16">
        <v>15</v>
      </c>
      <c r="E16">
        <v>8100</v>
      </c>
      <c r="F16" t="s">
        <v>59</v>
      </c>
      <c r="G16" s="53">
        <v>11</v>
      </c>
      <c r="H16" t="s">
        <v>133</v>
      </c>
      <c r="I16">
        <v>8</v>
      </c>
      <c r="J16" s="59">
        <f t="shared" si="0"/>
        <v>11</v>
      </c>
    </row>
    <row r="17" spans="1:10">
      <c r="A17" s="43">
        <v>43565</v>
      </c>
      <c r="B17">
        <v>2012</v>
      </c>
      <c r="C17">
        <v>1036</v>
      </c>
      <c r="D17">
        <v>16</v>
      </c>
      <c r="E17">
        <v>8350</v>
      </c>
      <c r="F17" t="s">
        <v>59</v>
      </c>
      <c r="G17" s="53">
        <v>12</v>
      </c>
      <c r="H17" t="s">
        <v>133</v>
      </c>
      <c r="I17">
        <v>7</v>
      </c>
      <c r="J17" s="59">
        <f t="shared" si="0"/>
        <v>12</v>
      </c>
    </row>
    <row r="18" spans="1:10">
      <c r="A18" s="43">
        <v>42930</v>
      </c>
      <c r="B18">
        <v>2012</v>
      </c>
      <c r="C18">
        <v>1036</v>
      </c>
      <c r="D18">
        <v>17</v>
      </c>
      <c r="E18">
        <v>7200</v>
      </c>
      <c r="F18" t="s">
        <v>59</v>
      </c>
      <c r="G18" s="53">
        <v>12</v>
      </c>
      <c r="H18" t="s">
        <v>133</v>
      </c>
      <c r="I18">
        <v>7</v>
      </c>
      <c r="J18" s="59">
        <f t="shared" si="0"/>
        <v>12</v>
      </c>
    </row>
    <row r="19" spans="1:10">
      <c r="A19" s="43">
        <v>42898</v>
      </c>
      <c r="B19">
        <v>2011</v>
      </c>
      <c r="C19">
        <v>1036</v>
      </c>
      <c r="D19">
        <v>18</v>
      </c>
      <c r="E19">
        <v>6900</v>
      </c>
      <c r="F19" t="s">
        <v>59</v>
      </c>
      <c r="G19" s="53">
        <v>12</v>
      </c>
      <c r="H19" t="s">
        <v>133</v>
      </c>
      <c r="I19">
        <v>8</v>
      </c>
      <c r="J19" s="59">
        <f t="shared" si="0"/>
        <v>12</v>
      </c>
    </row>
    <row r="20" spans="1:10">
      <c r="A20" s="43">
        <v>42852</v>
      </c>
      <c r="B20">
        <v>2012</v>
      </c>
      <c r="C20">
        <v>1036</v>
      </c>
      <c r="D20">
        <v>19</v>
      </c>
      <c r="E20">
        <v>6250</v>
      </c>
      <c r="F20" t="s">
        <v>59</v>
      </c>
      <c r="G20" s="53">
        <v>12</v>
      </c>
      <c r="H20" t="s">
        <v>133</v>
      </c>
      <c r="I20">
        <v>7</v>
      </c>
      <c r="J20" s="59">
        <f t="shared" si="0"/>
        <v>12</v>
      </c>
    </row>
    <row r="21" spans="1:10">
      <c r="A21" s="43">
        <v>42852</v>
      </c>
      <c r="B21">
        <v>2012</v>
      </c>
      <c r="C21">
        <v>1036</v>
      </c>
      <c r="D21">
        <v>20</v>
      </c>
      <c r="E21">
        <v>6250</v>
      </c>
      <c r="F21" t="s">
        <v>59</v>
      </c>
      <c r="G21" s="53">
        <v>12</v>
      </c>
      <c r="H21" t="s">
        <v>133</v>
      </c>
      <c r="I21">
        <v>7</v>
      </c>
      <c r="J21" s="59">
        <f t="shared" si="0"/>
        <v>12</v>
      </c>
    </row>
    <row r="22" spans="1:10">
      <c r="A22" s="43">
        <v>42795</v>
      </c>
      <c r="B22">
        <v>2011</v>
      </c>
      <c r="C22">
        <v>1036</v>
      </c>
      <c r="D22">
        <v>21</v>
      </c>
      <c r="E22">
        <v>6900</v>
      </c>
      <c r="F22" t="s">
        <v>59</v>
      </c>
      <c r="G22" s="53">
        <v>12</v>
      </c>
      <c r="H22" t="s">
        <v>133</v>
      </c>
      <c r="I22">
        <v>8</v>
      </c>
      <c r="J22" s="59">
        <f t="shared" si="0"/>
        <v>12</v>
      </c>
    </row>
    <row r="23" spans="1:10">
      <c r="A23" s="43">
        <v>42597</v>
      </c>
      <c r="B23">
        <v>2012</v>
      </c>
      <c r="C23">
        <v>1036</v>
      </c>
      <c r="D23">
        <v>22</v>
      </c>
      <c r="E23">
        <v>7250</v>
      </c>
      <c r="F23" t="s">
        <v>59</v>
      </c>
      <c r="G23" s="53">
        <v>12</v>
      </c>
      <c r="H23" t="s">
        <v>133</v>
      </c>
      <c r="I23">
        <v>7</v>
      </c>
      <c r="J23" s="59">
        <f t="shared" si="0"/>
        <v>12</v>
      </c>
    </row>
    <row r="24" spans="1:10">
      <c r="A24" s="43">
        <v>42580</v>
      </c>
      <c r="B24">
        <v>2012</v>
      </c>
      <c r="C24">
        <v>1036</v>
      </c>
      <c r="D24">
        <v>23</v>
      </c>
      <c r="E24">
        <v>7150</v>
      </c>
      <c r="F24" t="s">
        <v>59</v>
      </c>
      <c r="G24" s="53">
        <v>12</v>
      </c>
      <c r="H24" t="s">
        <v>133</v>
      </c>
      <c r="I24">
        <v>7</v>
      </c>
      <c r="J24" s="59">
        <f t="shared" si="0"/>
        <v>12</v>
      </c>
    </row>
    <row r="25" spans="1:10">
      <c r="A25" s="43">
        <v>42549</v>
      </c>
      <c r="B25">
        <v>2011</v>
      </c>
      <c r="C25">
        <v>1036</v>
      </c>
      <c r="D25">
        <v>24</v>
      </c>
      <c r="E25">
        <v>7700</v>
      </c>
      <c r="F25" t="s">
        <v>59</v>
      </c>
      <c r="G25" s="53">
        <v>12</v>
      </c>
      <c r="H25" t="s">
        <v>133</v>
      </c>
      <c r="I25">
        <v>8</v>
      </c>
      <c r="J25" s="59">
        <f t="shared" si="0"/>
        <v>12</v>
      </c>
    </row>
    <row r="26" spans="1:10">
      <c r="A26" s="43">
        <v>42443</v>
      </c>
      <c r="B26">
        <v>2011</v>
      </c>
      <c r="C26">
        <v>1036</v>
      </c>
      <c r="D26">
        <v>25</v>
      </c>
      <c r="E26">
        <v>8300</v>
      </c>
      <c r="F26" t="s">
        <v>59</v>
      </c>
      <c r="G26" s="53">
        <v>12</v>
      </c>
      <c r="H26" t="s">
        <v>133</v>
      </c>
      <c r="I26">
        <v>8</v>
      </c>
      <c r="J26" s="59">
        <f t="shared" si="0"/>
        <v>12</v>
      </c>
    </row>
    <row r="27" spans="1:10">
      <c r="A27" s="43">
        <v>42423</v>
      </c>
      <c r="B27">
        <v>2011</v>
      </c>
      <c r="C27">
        <v>1036</v>
      </c>
      <c r="D27">
        <v>26</v>
      </c>
      <c r="E27">
        <v>8500</v>
      </c>
      <c r="F27" t="s">
        <v>59</v>
      </c>
      <c r="G27" s="53">
        <v>12</v>
      </c>
      <c r="H27" t="s">
        <v>133</v>
      </c>
      <c r="I27">
        <v>8</v>
      </c>
      <c r="J27" s="59">
        <f t="shared" si="0"/>
        <v>12</v>
      </c>
    </row>
    <row r="28" spans="1:10">
      <c r="A28" s="43">
        <v>42495</v>
      </c>
      <c r="B28">
        <v>2012</v>
      </c>
      <c r="C28">
        <v>1036</v>
      </c>
      <c r="D28">
        <v>27</v>
      </c>
      <c r="E28">
        <v>9100</v>
      </c>
      <c r="F28" t="s">
        <v>59</v>
      </c>
      <c r="G28" s="53">
        <v>14</v>
      </c>
      <c r="H28" t="s">
        <v>133</v>
      </c>
      <c r="I28">
        <v>7</v>
      </c>
      <c r="J28" s="59">
        <f t="shared" si="0"/>
        <v>14</v>
      </c>
    </row>
    <row r="29" spans="1:10">
      <c r="A29" s="43">
        <v>43266</v>
      </c>
      <c r="B29">
        <v>2011</v>
      </c>
      <c r="C29">
        <v>1036</v>
      </c>
      <c r="D29">
        <v>28</v>
      </c>
      <c r="E29">
        <v>8000</v>
      </c>
      <c r="F29" t="s">
        <v>59</v>
      </c>
      <c r="G29" s="53">
        <v>16</v>
      </c>
      <c r="H29" t="s">
        <v>133</v>
      </c>
      <c r="I29">
        <v>8</v>
      </c>
      <c r="J29" s="59">
        <f t="shared" si="0"/>
        <v>16</v>
      </c>
    </row>
    <row r="30" spans="1:10">
      <c r="A30" s="43">
        <v>42795</v>
      </c>
      <c r="B30">
        <v>2011</v>
      </c>
      <c r="C30">
        <v>1036</v>
      </c>
      <c r="D30">
        <v>29</v>
      </c>
      <c r="E30">
        <v>6250</v>
      </c>
      <c r="F30" t="s">
        <v>59</v>
      </c>
      <c r="G30" s="53">
        <v>2</v>
      </c>
      <c r="H30" t="s">
        <v>133</v>
      </c>
      <c r="I30">
        <v>8</v>
      </c>
      <c r="J30" s="59">
        <f t="shared" si="0"/>
        <v>2</v>
      </c>
    </row>
    <row r="31" spans="1:10">
      <c r="A31" s="43">
        <v>42795</v>
      </c>
      <c r="B31">
        <v>2012</v>
      </c>
      <c r="C31">
        <v>1036</v>
      </c>
      <c r="D31">
        <v>30</v>
      </c>
      <c r="E31">
        <v>6300</v>
      </c>
      <c r="F31" t="s">
        <v>59</v>
      </c>
      <c r="G31" s="53">
        <v>2</v>
      </c>
      <c r="H31" t="s">
        <v>133</v>
      </c>
      <c r="I31">
        <v>7</v>
      </c>
      <c r="J31" s="59">
        <f t="shared" si="0"/>
        <v>2</v>
      </c>
    </row>
    <row r="32" spans="1:10">
      <c r="A32" s="43">
        <v>42429</v>
      </c>
      <c r="B32">
        <v>2011</v>
      </c>
      <c r="C32">
        <v>1036</v>
      </c>
      <c r="D32">
        <v>31</v>
      </c>
      <c r="E32">
        <v>7600</v>
      </c>
      <c r="F32" t="s">
        <v>59</v>
      </c>
      <c r="G32" s="53">
        <v>24</v>
      </c>
      <c r="H32" t="s">
        <v>133</v>
      </c>
      <c r="I32">
        <v>8</v>
      </c>
      <c r="J32" s="59">
        <f t="shared" si="0"/>
        <v>24</v>
      </c>
    </row>
    <row r="33" spans="1:10">
      <c r="A33" s="43">
        <v>42836</v>
      </c>
      <c r="B33">
        <v>2012</v>
      </c>
      <c r="C33">
        <v>1036</v>
      </c>
      <c r="D33">
        <v>32</v>
      </c>
      <c r="E33">
        <v>6300</v>
      </c>
      <c r="F33" t="s">
        <v>59</v>
      </c>
      <c r="G33" s="53">
        <v>3</v>
      </c>
      <c r="H33" t="s">
        <v>133</v>
      </c>
      <c r="I33">
        <v>7</v>
      </c>
      <c r="J33" s="59">
        <f t="shared" si="0"/>
        <v>3</v>
      </c>
    </row>
    <row r="34" spans="1:10">
      <c r="A34" s="43">
        <v>43157</v>
      </c>
      <c r="B34">
        <v>2011</v>
      </c>
      <c r="C34">
        <v>1036</v>
      </c>
      <c r="D34">
        <v>33</v>
      </c>
      <c r="E34">
        <v>7900</v>
      </c>
      <c r="F34" t="s">
        <v>59</v>
      </c>
      <c r="G34" s="53">
        <v>3.5</v>
      </c>
      <c r="H34" t="s">
        <v>133</v>
      </c>
      <c r="I34">
        <v>8</v>
      </c>
      <c r="J34" s="59">
        <f t="shared" si="0"/>
        <v>3.5</v>
      </c>
    </row>
    <row r="35" spans="1:10">
      <c r="A35" s="43">
        <v>42663</v>
      </c>
      <c r="B35">
        <v>2011</v>
      </c>
      <c r="C35">
        <v>1036</v>
      </c>
      <c r="D35">
        <v>34</v>
      </c>
      <c r="E35">
        <v>6000</v>
      </c>
      <c r="F35" t="s">
        <v>59</v>
      </c>
      <c r="G35" s="53">
        <v>4</v>
      </c>
      <c r="H35" t="s">
        <v>133</v>
      </c>
      <c r="I35">
        <v>8</v>
      </c>
      <c r="J35" s="59">
        <f t="shared" si="0"/>
        <v>4</v>
      </c>
    </row>
    <row r="36" spans="1:10">
      <c r="A36" s="43">
        <v>42450</v>
      </c>
      <c r="B36">
        <v>2012</v>
      </c>
      <c r="C36">
        <v>1036</v>
      </c>
      <c r="D36">
        <v>35</v>
      </c>
      <c r="E36">
        <v>7500</v>
      </c>
      <c r="F36" t="s">
        <v>59</v>
      </c>
      <c r="G36" s="53">
        <v>4</v>
      </c>
      <c r="H36" t="s">
        <v>133</v>
      </c>
      <c r="I36">
        <v>7</v>
      </c>
      <c r="J36" s="59">
        <f t="shared" si="0"/>
        <v>4</v>
      </c>
    </row>
    <row r="37" spans="1:10">
      <c r="A37" s="43">
        <v>42795</v>
      </c>
      <c r="B37">
        <v>2012</v>
      </c>
      <c r="C37">
        <v>1036</v>
      </c>
      <c r="D37">
        <v>36</v>
      </c>
      <c r="E37">
        <v>6600</v>
      </c>
      <c r="F37" t="s">
        <v>59</v>
      </c>
      <c r="G37" s="61">
        <v>42</v>
      </c>
      <c r="H37" t="s">
        <v>60</v>
      </c>
      <c r="I37">
        <v>7</v>
      </c>
      <c r="J37" s="59">
        <f t="shared" si="0"/>
        <v>1</v>
      </c>
    </row>
    <row r="38" spans="1:10">
      <c r="A38" s="43">
        <v>42648</v>
      </c>
      <c r="B38">
        <v>2012</v>
      </c>
      <c r="C38">
        <v>1036</v>
      </c>
      <c r="D38">
        <v>37</v>
      </c>
      <c r="E38">
        <v>6750</v>
      </c>
      <c r="F38" t="s">
        <v>59</v>
      </c>
      <c r="G38" s="61">
        <v>42</v>
      </c>
      <c r="H38" t="s">
        <v>60</v>
      </c>
      <c r="I38">
        <v>7</v>
      </c>
      <c r="J38" s="59">
        <f t="shared" si="0"/>
        <v>1</v>
      </c>
    </row>
    <row r="39" spans="1:10">
      <c r="A39" s="43">
        <v>42639</v>
      </c>
      <c r="B39">
        <v>2012</v>
      </c>
      <c r="C39">
        <v>1036</v>
      </c>
      <c r="D39">
        <v>38</v>
      </c>
      <c r="E39">
        <v>7100</v>
      </c>
      <c r="F39" t="s">
        <v>59</v>
      </c>
      <c r="G39" s="61">
        <v>45</v>
      </c>
      <c r="H39" t="s">
        <v>60</v>
      </c>
      <c r="I39">
        <v>7</v>
      </c>
      <c r="J39" s="59">
        <f t="shared" si="0"/>
        <v>2</v>
      </c>
    </row>
    <row r="40" spans="1:10">
      <c r="A40" s="43">
        <v>43229</v>
      </c>
      <c r="B40">
        <v>2011</v>
      </c>
      <c r="C40">
        <v>1036</v>
      </c>
      <c r="D40">
        <v>39</v>
      </c>
      <c r="E40">
        <v>8250</v>
      </c>
      <c r="F40" t="s">
        <v>59</v>
      </c>
      <c r="G40" s="53">
        <v>5</v>
      </c>
      <c r="H40" t="s">
        <v>133</v>
      </c>
      <c r="I40">
        <v>8</v>
      </c>
      <c r="J40" s="59">
        <f t="shared" si="0"/>
        <v>5</v>
      </c>
    </row>
    <row r="41" spans="1:10">
      <c r="A41" s="43">
        <v>43469</v>
      </c>
      <c r="B41">
        <v>2012</v>
      </c>
      <c r="C41">
        <v>1036</v>
      </c>
      <c r="D41">
        <v>40</v>
      </c>
      <c r="E41">
        <v>7000</v>
      </c>
      <c r="F41" t="s">
        <v>59</v>
      </c>
      <c r="G41" s="53">
        <v>6</v>
      </c>
      <c r="H41" t="s">
        <v>133</v>
      </c>
      <c r="I41">
        <v>7</v>
      </c>
      <c r="J41" s="59">
        <f t="shared" si="0"/>
        <v>6</v>
      </c>
    </row>
    <row r="42" spans="1:10">
      <c r="A42" s="43">
        <v>43391</v>
      </c>
      <c r="B42">
        <v>2012</v>
      </c>
      <c r="C42">
        <v>1036</v>
      </c>
      <c r="D42">
        <v>41</v>
      </c>
      <c r="E42">
        <v>7000</v>
      </c>
      <c r="F42" t="s">
        <v>59</v>
      </c>
      <c r="G42" s="53">
        <v>6</v>
      </c>
      <c r="H42" t="s">
        <v>133</v>
      </c>
      <c r="I42">
        <v>7</v>
      </c>
      <c r="J42" s="59">
        <f t="shared" si="0"/>
        <v>6</v>
      </c>
    </row>
    <row r="43" spans="1:10">
      <c r="A43" s="43">
        <v>43358</v>
      </c>
      <c r="B43">
        <v>2012</v>
      </c>
      <c r="C43">
        <v>1036</v>
      </c>
      <c r="D43">
        <v>42</v>
      </c>
      <c r="E43">
        <v>7000</v>
      </c>
      <c r="F43" t="s">
        <v>59</v>
      </c>
      <c r="G43" s="53">
        <v>6</v>
      </c>
      <c r="H43" t="s">
        <v>133</v>
      </c>
      <c r="I43">
        <v>7</v>
      </c>
      <c r="J43" s="59">
        <f t="shared" si="0"/>
        <v>6</v>
      </c>
    </row>
    <row r="44" spans="1:10">
      <c r="A44" s="43">
        <v>43215</v>
      </c>
      <c r="B44">
        <v>2012</v>
      </c>
      <c r="C44">
        <v>1036</v>
      </c>
      <c r="D44">
        <v>43</v>
      </c>
      <c r="E44">
        <v>8250</v>
      </c>
      <c r="F44" t="s">
        <v>59</v>
      </c>
      <c r="G44" s="53">
        <v>6</v>
      </c>
      <c r="H44" t="s">
        <v>133</v>
      </c>
      <c r="I44">
        <v>7</v>
      </c>
      <c r="J44" s="59">
        <f t="shared" si="0"/>
        <v>6</v>
      </c>
    </row>
    <row r="45" spans="1:10">
      <c r="A45" s="43">
        <v>43178</v>
      </c>
      <c r="B45">
        <v>2012</v>
      </c>
      <c r="C45">
        <v>1036</v>
      </c>
      <c r="D45">
        <v>44</v>
      </c>
      <c r="E45">
        <v>10425</v>
      </c>
      <c r="F45" t="s">
        <v>59</v>
      </c>
      <c r="G45" s="53">
        <v>6</v>
      </c>
      <c r="H45" t="s">
        <v>133</v>
      </c>
      <c r="I45">
        <v>7</v>
      </c>
      <c r="J45" s="59">
        <f t="shared" si="0"/>
        <v>6</v>
      </c>
    </row>
    <row r="46" spans="1:10">
      <c r="A46" s="43">
        <v>42887</v>
      </c>
      <c r="B46">
        <v>2011</v>
      </c>
      <c r="C46">
        <v>1036</v>
      </c>
      <c r="D46">
        <v>45</v>
      </c>
      <c r="E46">
        <v>6800</v>
      </c>
      <c r="F46" t="s">
        <v>59</v>
      </c>
      <c r="G46" s="53">
        <v>6</v>
      </c>
      <c r="H46" t="s">
        <v>133</v>
      </c>
      <c r="I46">
        <v>8</v>
      </c>
      <c r="J46" s="59">
        <f t="shared" si="0"/>
        <v>6</v>
      </c>
    </row>
    <row r="47" spans="1:10">
      <c r="A47" s="43">
        <v>42887</v>
      </c>
      <c r="B47">
        <v>2012</v>
      </c>
      <c r="C47">
        <v>1036</v>
      </c>
      <c r="D47">
        <v>46</v>
      </c>
      <c r="E47">
        <v>6800</v>
      </c>
      <c r="F47" t="s">
        <v>59</v>
      </c>
      <c r="G47" s="53">
        <v>6</v>
      </c>
      <c r="H47" t="s">
        <v>133</v>
      </c>
      <c r="I47">
        <v>7</v>
      </c>
      <c r="J47" s="59">
        <f t="shared" si="0"/>
        <v>6</v>
      </c>
    </row>
    <row r="48" spans="1:10">
      <c r="A48" s="43">
        <v>42887</v>
      </c>
      <c r="B48">
        <v>2012</v>
      </c>
      <c r="C48">
        <v>1036</v>
      </c>
      <c r="D48">
        <v>47</v>
      </c>
      <c r="E48">
        <v>6800</v>
      </c>
      <c r="F48" t="s">
        <v>59</v>
      </c>
      <c r="G48" s="53">
        <v>6</v>
      </c>
      <c r="H48" t="s">
        <v>133</v>
      </c>
      <c r="I48">
        <v>7</v>
      </c>
      <c r="J48" s="59">
        <f t="shared" si="0"/>
        <v>6</v>
      </c>
    </row>
    <row r="49" spans="1:10">
      <c r="A49" s="43">
        <v>42887</v>
      </c>
      <c r="B49">
        <v>2012</v>
      </c>
      <c r="C49">
        <v>1036</v>
      </c>
      <c r="D49">
        <v>48</v>
      </c>
      <c r="E49">
        <v>6800</v>
      </c>
      <c r="F49" t="s">
        <v>59</v>
      </c>
      <c r="G49" s="53">
        <v>6</v>
      </c>
      <c r="H49" t="s">
        <v>133</v>
      </c>
      <c r="I49">
        <v>7</v>
      </c>
      <c r="J49" s="59">
        <f t="shared" si="0"/>
        <v>6</v>
      </c>
    </row>
    <row r="50" spans="1:10">
      <c r="A50" s="43">
        <v>42664</v>
      </c>
      <c r="B50">
        <v>2012</v>
      </c>
      <c r="C50">
        <v>1036</v>
      </c>
      <c r="D50">
        <v>49</v>
      </c>
      <c r="E50">
        <v>5950</v>
      </c>
      <c r="F50" t="s">
        <v>59</v>
      </c>
      <c r="G50" s="61">
        <v>60</v>
      </c>
      <c r="H50" t="s">
        <v>60</v>
      </c>
      <c r="I50">
        <v>7</v>
      </c>
      <c r="J50" s="59">
        <f t="shared" si="0"/>
        <v>2</v>
      </c>
    </row>
    <row r="51" spans="1:10">
      <c r="A51" s="43">
        <v>43559</v>
      </c>
      <c r="B51">
        <v>2012</v>
      </c>
      <c r="C51">
        <v>1036</v>
      </c>
      <c r="D51">
        <v>50</v>
      </c>
      <c r="E51">
        <v>7050</v>
      </c>
      <c r="F51" t="s">
        <v>59</v>
      </c>
      <c r="G51" s="53">
        <v>7</v>
      </c>
      <c r="H51" t="s">
        <v>133</v>
      </c>
      <c r="I51">
        <v>7</v>
      </c>
      <c r="J51" s="59">
        <f t="shared" si="0"/>
        <v>7</v>
      </c>
    </row>
    <row r="52" spans="1:10">
      <c r="A52" s="43">
        <v>43311</v>
      </c>
      <c r="B52">
        <v>2012</v>
      </c>
      <c r="C52">
        <v>1036</v>
      </c>
      <c r="D52">
        <v>51</v>
      </c>
      <c r="E52">
        <v>8940</v>
      </c>
      <c r="F52" t="s">
        <v>59</v>
      </c>
      <c r="G52" s="53">
        <v>7</v>
      </c>
      <c r="H52" t="s">
        <v>133</v>
      </c>
      <c r="I52">
        <v>7</v>
      </c>
      <c r="J52" s="59">
        <f t="shared" si="0"/>
        <v>7</v>
      </c>
    </row>
    <row r="53" spans="1:10">
      <c r="A53" s="43">
        <v>42663</v>
      </c>
      <c r="B53">
        <v>2011</v>
      </c>
      <c r="C53">
        <v>1036</v>
      </c>
      <c r="D53">
        <v>52</v>
      </c>
      <c r="E53">
        <v>7100</v>
      </c>
      <c r="F53" t="s">
        <v>59</v>
      </c>
      <c r="G53" s="53">
        <v>8</v>
      </c>
      <c r="H53" t="s">
        <v>133</v>
      </c>
      <c r="I53">
        <v>8</v>
      </c>
      <c r="J53" s="59">
        <f t="shared" si="0"/>
        <v>8</v>
      </c>
    </row>
    <row r="54" spans="1:10">
      <c r="A54" s="43">
        <v>43483</v>
      </c>
      <c r="B54">
        <v>2012</v>
      </c>
      <c r="C54">
        <v>1036</v>
      </c>
      <c r="D54">
        <v>53</v>
      </c>
      <c r="E54">
        <v>6650</v>
      </c>
      <c r="F54" t="s">
        <v>59</v>
      </c>
      <c r="G54" s="53">
        <v>9</v>
      </c>
      <c r="H54" t="s">
        <v>133</v>
      </c>
      <c r="I54">
        <v>7</v>
      </c>
      <c r="J54" s="59">
        <f t="shared" si="0"/>
        <v>9</v>
      </c>
    </row>
    <row r="55" spans="1:10">
      <c r="A55" s="43">
        <v>43266</v>
      </c>
      <c r="B55">
        <v>2011</v>
      </c>
      <c r="C55">
        <v>1036</v>
      </c>
      <c r="D55">
        <v>54</v>
      </c>
      <c r="E55">
        <v>8000</v>
      </c>
      <c r="F55" t="s">
        <v>59</v>
      </c>
      <c r="G55" s="53">
        <v>9</v>
      </c>
      <c r="H55" t="s">
        <v>133</v>
      </c>
      <c r="I55">
        <v>8</v>
      </c>
      <c r="J55" s="59">
        <f t="shared" si="0"/>
        <v>9</v>
      </c>
    </row>
    <row r="56" spans="1:10">
      <c r="A56" s="43">
        <v>43500</v>
      </c>
      <c r="B56">
        <v>2012</v>
      </c>
      <c r="C56">
        <v>1042</v>
      </c>
      <c r="D56">
        <v>55</v>
      </c>
      <c r="E56">
        <v>8000</v>
      </c>
      <c r="F56" t="s">
        <v>59</v>
      </c>
      <c r="G56" s="53">
        <v>6</v>
      </c>
      <c r="H56" t="s">
        <v>133</v>
      </c>
      <c r="I56">
        <v>7</v>
      </c>
      <c r="J56" s="59">
        <f t="shared" si="0"/>
        <v>6</v>
      </c>
    </row>
    <row r="57" spans="1:10">
      <c r="A57" s="43">
        <v>43383</v>
      </c>
      <c r="B57">
        <v>2012</v>
      </c>
      <c r="C57">
        <v>1042</v>
      </c>
      <c r="D57">
        <v>56</v>
      </c>
      <c r="E57">
        <v>8200</v>
      </c>
      <c r="F57" t="s">
        <v>59</v>
      </c>
      <c r="G57" s="53">
        <v>6</v>
      </c>
      <c r="H57" t="s">
        <v>133</v>
      </c>
      <c r="I57">
        <v>7</v>
      </c>
      <c r="J57" s="59">
        <f t="shared" si="0"/>
        <v>6</v>
      </c>
    </row>
    <row r="58" spans="1:10">
      <c r="A58" s="43">
        <v>43234</v>
      </c>
      <c r="B58">
        <v>2012</v>
      </c>
      <c r="C58">
        <v>1042</v>
      </c>
      <c r="D58">
        <v>57</v>
      </c>
      <c r="E58">
        <v>9250</v>
      </c>
      <c r="F58" t="s">
        <v>59</v>
      </c>
      <c r="G58" s="53">
        <v>6</v>
      </c>
      <c r="H58" t="s">
        <v>133</v>
      </c>
      <c r="I58">
        <v>7</v>
      </c>
      <c r="J58" s="59">
        <f t="shared" si="0"/>
        <v>6</v>
      </c>
    </row>
    <row r="59" spans="1:10">
      <c r="A59" s="43">
        <v>42982</v>
      </c>
      <c r="B59">
        <v>2013</v>
      </c>
      <c r="C59">
        <v>1042</v>
      </c>
      <c r="D59">
        <v>58</v>
      </c>
      <c r="E59">
        <v>7500</v>
      </c>
      <c r="F59" t="s">
        <v>59</v>
      </c>
      <c r="G59" s="53">
        <v>6</v>
      </c>
      <c r="H59" t="s">
        <v>133</v>
      </c>
      <c r="I59">
        <v>6</v>
      </c>
      <c r="J59" s="59">
        <f t="shared" si="0"/>
        <v>6</v>
      </c>
    </row>
    <row r="60" spans="1:10">
      <c r="A60" s="43">
        <v>42836</v>
      </c>
      <c r="B60">
        <v>2013</v>
      </c>
      <c r="C60">
        <v>1042</v>
      </c>
      <c r="D60">
        <v>59</v>
      </c>
      <c r="E60">
        <v>7100</v>
      </c>
      <c r="F60" t="s">
        <v>59</v>
      </c>
      <c r="G60" s="53">
        <v>6</v>
      </c>
      <c r="H60" t="s">
        <v>133</v>
      </c>
      <c r="I60">
        <v>6</v>
      </c>
      <c r="J60" s="59">
        <f t="shared" si="0"/>
        <v>6</v>
      </c>
    </row>
    <row r="61" spans="1:10">
      <c r="A61" s="43">
        <v>42800</v>
      </c>
      <c r="B61">
        <v>2012</v>
      </c>
      <c r="C61">
        <v>1042</v>
      </c>
      <c r="D61">
        <v>60</v>
      </c>
      <c r="E61">
        <v>6900</v>
      </c>
      <c r="F61" t="s">
        <v>59</v>
      </c>
      <c r="G61" s="53">
        <v>6</v>
      </c>
      <c r="H61" t="s">
        <v>133</v>
      </c>
      <c r="I61">
        <v>7</v>
      </c>
      <c r="J61" s="59">
        <f t="shared" si="0"/>
        <v>6</v>
      </c>
    </row>
    <row r="62" spans="1:10">
      <c r="A62" s="43">
        <v>42608</v>
      </c>
      <c r="B62">
        <v>2012</v>
      </c>
      <c r="C62">
        <v>1042</v>
      </c>
      <c r="D62">
        <v>61</v>
      </c>
      <c r="E62">
        <v>7000</v>
      </c>
      <c r="F62" t="s">
        <v>59</v>
      </c>
      <c r="G62" s="53">
        <v>6</v>
      </c>
      <c r="H62" t="s">
        <v>133</v>
      </c>
      <c r="I62">
        <v>7</v>
      </c>
      <c r="J62" s="59">
        <f t="shared" si="0"/>
        <v>6</v>
      </c>
    </row>
    <row r="63" spans="1:10">
      <c r="A63" s="43">
        <v>42499</v>
      </c>
      <c r="B63">
        <v>2013</v>
      </c>
      <c r="C63">
        <v>1042</v>
      </c>
      <c r="D63">
        <v>62</v>
      </c>
      <c r="E63">
        <v>7200</v>
      </c>
      <c r="F63" t="s">
        <v>59</v>
      </c>
      <c r="G63" s="53">
        <v>6</v>
      </c>
      <c r="H63" t="s">
        <v>133</v>
      </c>
      <c r="I63">
        <v>6</v>
      </c>
      <c r="J63" s="59">
        <f t="shared" si="0"/>
        <v>6</v>
      </c>
    </row>
    <row r="64" spans="1:10">
      <c r="A64" s="43">
        <v>42437</v>
      </c>
      <c r="B64">
        <v>2012</v>
      </c>
      <c r="C64">
        <v>1042</v>
      </c>
      <c r="D64">
        <v>63</v>
      </c>
      <c r="E64">
        <v>7300</v>
      </c>
      <c r="F64" t="s">
        <v>59</v>
      </c>
      <c r="G64" s="53">
        <v>6</v>
      </c>
      <c r="H64" t="s">
        <v>133</v>
      </c>
      <c r="I64">
        <v>7</v>
      </c>
      <c r="J64" s="59">
        <f t="shared" si="0"/>
        <v>6</v>
      </c>
    </row>
    <row r="65" spans="1:10">
      <c r="A65" s="43">
        <v>43578</v>
      </c>
      <c r="B65">
        <v>2012</v>
      </c>
      <c r="C65">
        <v>1042</v>
      </c>
      <c r="D65">
        <v>64</v>
      </c>
      <c r="E65">
        <v>7950</v>
      </c>
      <c r="F65" t="s">
        <v>59</v>
      </c>
      <c r="G65" s="53">
        <v>7</v>
      </c>
      <c r="H65" t="s">
        <v>133</v>
      </c>
      <c r="I65">
        <v>7</v>
      </c>
      <c r="J65" s="59">
        <f t="shared" si="0"/>
        <v>7</v>
      </c>
    </row>
    <row r="66" spans="1:10">
      <c r="A66" s="43">
        <v>43080</v>
      </c>
      <c r="B66">
        <v>2012</v>
      </c>
      <c r="C66">
        <v>1042</v>
      </c>
      <c r="D66">
        <v>65</v>
      </c>
      <c r="E66">
        <v>7675</v>
      </c>
      <c r="F66" t="s">
        <v>59</v>
      </c>
      <c r="G66" s="53">
        <v>7</v>
      </c>
      <c r="H66" t="s">
        <v>133</v>
      </c>
      <c r="I66">
        <v>7</v>
      </c>
      <c r="J66" s="59">
        <f t="shared" ref="J66:J129" si="1">IF(H66="days",ROUND(G66/30,0),IF(H66="years",G66*12,G66))</f>
        <v>7</v>
      </c>
    </row>
    <row r="67" spans="1:10">
      <c r="A67" s="43">
        <v>42641</v>
      </c>
      <c r="B67">
        <v>2013</v>
      </c>
      <c r="C67">
        <v>1042</v>
      </c>
      <c r="D67">
        <v>66</v>
      </c>
      <c r="E67">
        <v>7150</v>
      </c>
      <c r="F67" t="s">
        <v>59</v>
      </c>
      <c r="G67" s="53">
        <v>8</v>
      </c>
      <c r="H67" t="s">
        <v>133</v>
      </c>
      <c r="I67">
        <v>6</v>
      </c>
      <c r="J67" s="59">
        <f t="shared" si="1"/>
        <v>8</v>
      </c>
    </row>
    <row r="68" spans="1:10">
      <c r="A68" s="43">
        <v>42459</v>
      </c>
      <c r="B68">
        <v>2012</v>
      </c>
      <c r="C68">
        <v>1049</v>
      </c>
      <c r="D68">
        <v>67</v>
      </c>
      <c r="E68">
        <v>7500</v>
      </c>
      <c r="F68" t="s">
        <v>59</v>
      </c>
      <c r="G68" s="53">
        <v>6</v>
      </c>
      <c r="H68" t="s">
        <v>133</v>
      </c>
      <c r="I68">
        <v>7</v>
      </c>
      <c r="J68" s="59">
        <f t="shared" si="1"/>
        <v>6</v>
      </c>
    </row>
    <row r="69" spans="1:10">
      <c r="A69" s="43">
        <v>43343</v>
      </c>
      <c r="B69">
        <v>2012</v>
      </c>
      <c r="C69">
        <v>1049</v>
      </c>
      <c r="D69">
        <v>68</v>
      </c>
      <c r="E69">
        <v>8525</v>
      </c>
      <c r="F69" t="s">
        <v>59</v>
      </c>
      <c r="G69" s="53">
        <v>7</v>
      </c>
      <c r="H69" t="s">
        <v>133</v>
      </c>
      <c r="I69">
        <v>7</v>
      </c>
      <c r="J69" s="59">
        <f t="shared" si="1"/>
        <v>7</v>
      </c>
    </row>
    <row r="70" spans="1:10">
      <c r="A70" s="43">
        <v>42754</v>
      </c>
      <c r="B70">
        <v>2012</v>
      </c>
      <c r="C70">
        <v>1049</v>
      </c>
      <c r="D70">
        <v>69</v>
      </c>
      <c r="E70">
        <v>7000</v>
      </c>
      <c r="F70" t="s">
        <v>59</v>
      </c>
      <c r="G70" s="53">
        <v>8</v>
      </c>
      <c r="H70" t="s">
        <v>133</v>
      </c>
      <c r="I70">
        <v>7</v>
      </c>
      <c r="J70" s="59">
        <f t="shared" si="1"/>
        <v>8</v>
      </c>
    </row>
    <row r="71" spans="1:10">
      <c r="A71" s="43">
        <v>42404</v>
      </c>
      <c r="B71">
        <v>2012</v>
      </c>
      <c r="C71">
        <v>1049</v>
      </c>
      <c r="D71">
        <v>70</v>
      </c>
      <c r="E71">
        <v>7600</v>
      </c>
      <c r="F71" t="s">
        <v>59</v>
      </c>
      <c r="G71" s="53">
        <v>9</v>
      </c>
      <c r="H71" t="s">
        <v>133</v>
      </c>
      <c r="I71">
        <v>7</v>
      </c>
      <c r="J71" s="59">
        <f t="shared" si="1"/>
        <v>9</v>
      </c>
    </row>
    <row r="72" spans="1:10">
      <c r="A72" s="43">
        <v>42961</v>
      </c>
      <c r="B72">
        <v>2014</v>
      </c>
      <c r="C72">
        <v>1073</v>
      </c>
      <c r="D72">
        <v>71</v>
      </c>
      <c r="E72">
        <v>6300</v>
      </c>
      <c r="F72" t="s">
        <v>59</v>
      </c>
      <c r="G72" s="53">
        <v>11</v>
      </c>
      <c r="H72" t="s">
        <v>133</v>
      </c>
      <c r="I72">
        <v>5</v>
      </c>
      <c r="J72" s="59">
        <f t="shared" si="1"/>
        <v>11</v>
      </c>
    </row>
    <row r="73" spans="1:10">
      <c r="A73" s="43">
        <v>42388</v>
      </c>
      <c r="B73">
        <v>2014</v>
      </c>
      <c r="C73">
        <v>1073</v>
      </c>
      <c r="D73">
        <v>72</v>
      </c>
      <c r="E73">
        <v>6500</v>
      </c>
      <c r="F73" t="s">
        <v>59</v>
      </c>
      <c r="G73" s="53">
        <v>12</v>
      </c>
      <c r="H73" t="s">
        <v>133</v>
      </c>
      <c r="I73">
        <v>5</v>
      </c>
      <c r="J73" s="59">
        <f t="shared" si="1"/>
        <v>12</v>
      </c>
    </row>
    <row r="74" spans="1:10">
      <c r="A74" s="43">
        <v>43266</v>
      </c>
      <c r="B74">
        <v>2014</v>
      </c>
      <c r="C74">
        <v>1073</v>
      </c>
      <c r="D74">
        <v>73</v>
      </c>
      <c r="E74">
        <v>7250</v>
      </c>
      <c r="F74" t="s">
        <v>59</v>
      </c>
      <c r="G74" s="53">
        <v>24</v>
      </c>
      <c r="H74" t="s">
        <v>133</v>
      </c>
      <c r="I74">
        <v>5</v>
      </c>
      <c r="J74" s="59">
        <f t="shared" si="1"/>
        <v>24</v>
      </c>
    </row>
    <row r="75" spans="1:10">
      <c r="A75" s="43">
        <v>43266</v>
      </c>
      <c r="B75">
        <v>2013</v>
      </c>
      <c r="C75">
        <v>1073</v>
      </c>
      <c r="D75">
        <v>74</v>
      </c>
      <c r="E75">
        <v>7250</v>
      </c>
      <c r="F75" t="s">
        <v>59</v>
      </c>
      <c r="G75" s="53">
        <v>24</v>
      </c>
      <c r="H75" t="s">
        <v>133</v>
      </c>
      <c r="I75">
        <v>6</v>
      </c>
      <c r="J75" s="59">
        <f t="shared" si="1"/>
        <v>24</v>
      </c>
    </row>
    <row r="76" spans="1:10">
      <c r="A76" s="43">
        <v>42877</v>
      </c>
      <c r="B76">
        <v>2013</v>
      </c>
      <c r="C76">
        <v>1073</v>
      </c>
      <c r="D76">
        <v>75</v>
      </c>
      <c r="E76">
        <v>6700</v>
      </c>
      <c r="F76" t="s">
        <v>59</v>
      </c>
      <c r="G76" s="53">
        <v>6</v>
      </c>
      <c r="H76" t="s">
        <v>133</v>
      </c>
      <c r="I76">
        <v>6</v>
      </c>
      <c r="J76" s="59">
        <f t="shared" si="1"/>
        <v>6</v>
      </c>
    </row>
    <row r="77" spans="1:10">
      <c r="A77" s="43">
        <v>43125</v>
      </c>
      <c r="B77">
        <v>2012</v>
      </c>
      <c r="C77">
        <v>1082</v>
      </c>
      <c r="D77">
        <v>76</v>
      </c>
      <c r="E77">
        <v>7400</v>
      </c>
      <c r="F77" t="s">
        <v>59</v>
      </c>
      <c r="G77" s="53">
        <v>14</v>
      </c>
      <c r="H77" t="s">
        <v>133</v>
      </c>
      <c r="I77">
        <v>7</v>
      </c>
      <c r="J77" s="59">
        <f t="shared" si="1"/>
        <v>14</v>
      </c>
    </row>
    <row r="78" spans="1:10">
      <c r="A78" s="43">
        <v>43070</v>
      </c>
      <c r="B78">
        <v>2012</v>
      </c>
      <c r="C78">
        <v>1082</v>
      </c>
      <c r="D78">
        <v>77</v>
      </c>
      <c r="E78">
        <v>7000</v>
      </c>
      <c r="F78" t="s">
        <v>59</v>
      </c>
      <c r="G78" s="53">
        <v>2</v>
      </c>
      <c r="H78" t="s">
        <v>133</v>
      </c>
      <c r="I78">
        <v>7</v>
      </c>
      <c r="J78" s="59">
        <f t="shared" si="1"/>
        <v>2</v>
      </c>
    </row>
    <row r="79" spans="1:10">
      <c r="A79" s="43">
        <v>42940</v>
      </c>
      <c r="B79">
        <v>2012</v>
      </c>
      <c r="C79">
        <v>1082</v>
      </c>
      <c r="D79">
        <v>78</v>
      </c>
      <c r="E79">
        <v>6700</v>
      </c>
      <c r="F79" t="s">
        <v>59</v>
      </c>
      <c r="G79" s="53">
        <v>2</v>
      </c>
      <c r="H79" t="s">
        <v>133</v>
      </c>
      <c r="I79">
        <v>7</v>
      </c>
      <c r="J79" s="59">
        <f t="shared" si="1"/>
        <v>2</v>
      </c>
    </row>
    <row r="80" spans="1:10">
      <c r="A80" s="43">
        <v>42569</v>
      </c>
      <c r="B80">
        <v>2012</v>
      </c>
      <c r="C80">
        <v>1082</v>
      </c>
      <c r="D80">
        <v>79</v>
      </c>
      <c r="E80">
        <v>7000</v>
      </c>
      <c r="F80" t="s">
        <v>59</v>
      </c>
      <c r="G80" s="53">
        <v>3</v>
      </c>
      <c r="H80" t="s">
        <v>133</v>
      </c>
      <c r="I80">
        <v>7</v>
      </c>
      <c r="J80" s="59">
        <f t="shared" si="1"/>
        <v>3</v>
      </c>
    </row>
    <row r="81" spans="1:10">
      <c r="A81" s="43">
        <v>42795</v>
      </c>
      <c r="B81">
        <v>2012</v>
      </c>
      <c r="C81">
        <v>1082</v>
      </c>
      <c r="D81">
        <v>80</v>
      </c>
      <c r="E81">
        <v>6500</v>
      </c>
      <c r="F81" t="s">
        <v>59</v>
      </c>
      <c r="G81" s="53">
        <v>3.5</v>
      </c>
      <c r="H81" t="s">
        <v>133</v>
      </c>
      <c r="I81">
        <v>7</v>
      </c>
      <c r="J81" s="59">
        <f t="shared" si="1"/>
        <v>3.5</v>
      </c>
    </row>
    <row r="82" spans="1:10">
      <c r="A82" s="43">
        <v>42479</v>
      </c>
      <c r="B82">
        <v>2012</v>
      </c>
      <c r="C82">
        <v>1082</v>
      </c>
      <c r="D82">
        <v>81</v>
      </c>
      <c r="E82">
        <v>7000</v>
      </c>
      <c r="F82" t="s">
        <v>59</v>
      </c>
      <c r="G82" s="61">
        <v>56</v>
      </c>
      <c r="H82" t="s">
        <v>60</v>
      </c>
      <c r="I82">
        <v>7</v>
      </c>
      <c r="J82" s="59">
        <f t="shared" si="1"/>
        <v>2</v>
      </c>
    </row>
    <row r="83" spans="1:10">
      <c r="A83" s="43">
        <v>43018</v>
      </c>
      <c r="B83">
        <v>2012</v>
      </c>
      <c r="C83">
        <v>1082</v>
      </c>
      <c r="D83">
        <v>82</v>
      </c>
      <c r="E83">
        <v>6900</v>
      </c>
      <c r="F83" t="s">
        <v>59</v>
      </c>
      <c r="G83" s="53">
        <v>7</v>
      </c>
      <c r="H83" t="s">
        <v>133</v>
      </c>
      <c r="I83">
        <v>7</v>
      </c>
      <c r="J83" s="59">
        <f t="shared" si="1"/>
        <v>7</v>
      </c>
    </row>
    <row r="84" spans="1:10">
      <c r="A84" s="43">
        <v>42971</v>
      </c>
      <c r="B84">
        <v>2011</v>
      </c>
      <c r="C84">
        <v>1084</v>
      </c>
      <c r="D84">
        <v>83</v>
      </c>
      <c r="E84">
        <v>7000</v>
      </c>
      <c r="F84" t="s">
        <v>59</v>
      </c>
      <c r="G84" s="53">
        <v>3</v>
      </c>
      <c r="H84" t="s">
        <v>133</v>
      </c>
      <c r="I84">
        <v>8</v>
      </c>
      <c r="J84" s="59">
        <f t="shared" si="1"/>
        <v>3</v>
      </c>
    </row>
    <row r="85" spans="1:10">
      <c r="A85" s="43">
        <v>42417</v>
      </c>
      <c r="B85">
        <v>2011</v>
      </c>
      <c r="C85">
        <v>1084</v>
      </c>
      <c r="D85">
        <v>84</v>
      </c>
      <c r="E85">
        <v>7000</v>
      </c>
      <c r="F85" t="s">
        <v>59</v>
      </c>
      <c r="G85" s="53">
        <v>3</v>
      </c>
      <c r="H85" t="s">
        <v>133</v>
      </c>
      <c r="I85">
        <v>8</v>
      </c>
      <c r="J85" s="59">
        <f t="shared" si="1"/>
        <v>3</v>
      </c>
    </row>
    <row r="86" spans="1:10">
      <c r="A86" s="43">
        <v>42703</v>
      </c>
      <c r="B86">
        <v>2011</v>
      </c>
      <c r="C86">
        <v>1084</v>
      </c>
      <c r="D86">
        <v>85</v>
      </c>
      <c r="E86">
        <v>6950</v>
      </c>
      <c r="F86" t="s">
        <v>59</v>
      </c>
      <c r="G86" s="53">
        <v>4</v>
      </c>
      <c r="H86" t="s">
        <v>133</v>
      </c>
      <c r="I86">
        <v>8</v>
      </c>
      <c r="J86" s="59">
        <f t="shared" si="1"/>
        <v>4</v>
      </c>
    </row>
    <row r="87" spans="1:10">
      <c r="A87" s="43">
        <v>42501</v>
      </c>
      <c r="B87">
        <v>2011</v>
      </c>
      <c r="C87">
        <v>1084</v>
      </c>
      <c r="D87">
        <v>86</v>
      </c>
      <c r="E87">
        <v>7000</v>
      </c>
      <c r="F87" t="s">
        <v>59</v>
      </c>
      <c r="G87" s="53">
        <v>4</v>
      </c>
      <c r="H87" t="s">
        <v>133</v>
      </c>
      <c r="I87">
        <v>8</v>
      </c>
      <c r="J87" s="59">
        <f t="shared" si="1"/>
        <v>4</v>
      </c>
    </row>
    <row r="88" spans="1:10">
      <c r="A88" s="43">
        <v>42887</v>
      </c>
      <c r="B88">
        <v>2012</v>
      </c>
      <c r="C88">
        <v>1085</v>
      </c>
      <c r="D88">
        <v>87</v>
      </c>
      <c r="E88">
        <v>6900</v>
      </c>
      <c r="F88" t="s">
        <v>59</v>
      </c>
      <c r="G88" s="53">
        <v>10</v>
      </c>
      <c r="H88" t="s">
        <v>133</v>
      </c>
      <c r="I88">
        <v>7</v>
      </c>
      <c r="J88" s="59">
        <f t="shared" si="1"/>
        <v>10</v>
      </c>
    </row>
    <row r="89" spans="1:10">
      <c r="A89" s="43">
        <v>43073</v>
      </c>
      <c r="B89">
        <v>2011</v>
      </c>
      <c r="C89">
        <v>1085</v>
      </c>
      <c r="D89">
        <v>88</v>
      </c>
      <c r="E89">
        <v>7450</v>
      </c>
      <c r="F89" t="s">
        <v>59</v>
      </c>
      <c r="G89" s="53">
        <v>11</v>
      </c>
      <c r="H89" t="s">
        <v>133</v>
      </c>
      <c r="I89">
        <v>8</v>
      </c>
      <c r="J89" s="59">
        <f t="shared" si="1"/>
        <v>11</v>
      </c>
    </row>
    <row r="90" spans="1:10">
      <c r="A90" s="43">
        <v>43264</v>
      </c>
      <c r="B90">
        <v>2011</v>
      </c>
      <c r="C90">
        <v>1085</v>
      </c>
      <c r="D90">
        <v>89</v>
      </c>
      <c r="E90">
        <v>8150</v>
      </c>
      <c r="F90" t="s">
        <v>59</v>
      </c>
      <c r="G90" s="53">
        <v>12</v>
      </c>
      <c r="H90" t="s">
        <v>133</v>
      </c>
      <c r="I90">
        <v>8</v>
      </c>
      <c r="J90" s="59">
        <f t="shared" si="1"/>
        <v>12</v>
      </c>
    </row>
    <row r="91" spans="1:10">
      <c r="A91" s="43">
        <v>43264</v>
      </c>
      <c r="B91">
        <v>2011</v>
      </c>
      <c r="C91">
        <v>1085</v>
      </c>
      <c r="D91">
        <v>90</v>
      </c>
      <c r="E91">
        <v>8150</v>
      </c>
      <c r="F91" t="s">
        <v>59</v>
      </c>
      <c r="G91" s="53">
        <v>12</v>
      </c>
      <c r="H91" t="s">
        <v>133</v>
      </c>
      <c r="I91">
        <v>8</v>
      </c>
      <c r="J91" s="59">
        <f t="shared" si="1"/>
        <v>12</v>
      </c>
    </row>
    <row r="92" spans="1:10">
      <c r="A92" s="43">
        <v>42920</v>
      </c>
      <c r="B92">
        <v>2011</v>
      </c>
      <c r="C92">
        <v>1085</v>
      </c>
      <c r="D92">
        <v>91</v>
      </c>
      <c r="E92">
        <v>7200</v>
      </c>
      <c r="F92" t="s">
        <v>59</v>
      </c>
      <c r="G92" s="53">
        <v>12</v>
      </c>
      <c r="H92" t="s">
        <v>133</v>
      </c>
      <c r="I92">
        <v>8</v>
      </c>
      <c r="J92" s="59">
        <f t="shared" si="1"/>
        <v>12</v>
      </c>
    </row>
    <row r="93" spans="1:10">
      <c r="A93" s="43">
        <v>42887</v>
      </c>
      <c r="B93">
        <v>2011</v>
      </c>
      <c r="C93">
        <v>1085</v>
      </c>
      <c r="D93">
        <v>92</v>
      </c>
      <c r="E93">
        <v>7150</v>
      </c>
      <c r="F93" t="s">
        <v>59</v>
      </c>
      <c r="G93" s="53">
        <v>12</v>
      </c>
      <c r="H93" t="s">
        <v>133</v>
      </c>
      <c r="I93">
        <v>8</v>
      </c>
      <c r="J93" s="59">
        <f t="shared" si="1"/>
        <v>12</v>
      </c>
    </row>
    <row r="94" spans="1:10">
      <c r="A94" s="43">
        <v>42660</v>
      </c>
      <c r="B94">
        <v>2011</v>
      </c>
      <c r="C94">
        <v>1085</v>
      </c>
      <c r="D94">
        <v>93</v>
      </c>
      <c r="E94">
        <v>6500</v>
      </c>
      <c r="F94" t="s">
        <v>59</v>
      </c>
      <c r="G94" s="53">
        <v>12</v>
      </c>
      <c r="H94" t="s">
        <v>133</v>
      </c>
      <c r="I94">
        <v>8</v>
      </c>
      <c r="J94" s="59">
        <f t="shared" si="1"/>
        <v>12</v>
      </c>
    </row>
    <row r="95" spans="1:10">
      <c r="A95" s="43">
        <v>42472</v>
      </c>
      <c r="B95">
        <v>2012</v>
      </c>
      <c r="C95">
        <v>1085</v>
      </c>
      <c r="D95">
        <v>94</v>
      </c>
      <c r="E95">
        <v>7900</v>
      </c>
      <c r="F95" t="s">
        <v>59</v>
      </c>
      <c r="G95" s="53">
        <v>12</v>
      </c>
      <c r="H95" t="s">
        <v>133</v>
      </c>
      <c r="I95">
        <v>7</v>
      </c>
      <c r="J95" s="59">
        <f t="shared" si="1"/>
        <v>12</v>
      </c>
    </row>
    <row r="96" spans="1:10">
      <c r="A96" s="43">
        <v>42851</v>
      </c>
      <c r="B96">
        <v>2012</v>
      </c>
      <c r="C96">
        <v>1085</v>
      </c>
      <c r="D96">
        <v>95</v>
      </c>
      <c r="E96">
        <v>6350</v>
      </c>
      <c r="F96" t="s">
        <v>59</v>
      </c>
      <c r="G96" s="53">
        <v>3</v>
      </c>
      <c r="H96" t="s">
        <v>133</v>
      </c>
      <c r="I96">
        <v>7</v>
      </c>
      <c r="J96" s="59">
        <f t="shared" si="1"/>
        <v>3</v>
      </c>
    </row>
    <row r="97" spans="1:10">
      <c r="A97" s="43">
        <v>42688</v>
      </c>
      <c r="B97">
        <v>2011</v>
      </c>
      <c r="C97">
        <v>1085</v>
      </c>
      <c r="D97">
        <v>96</v>
      </c>
      <c r="E97">
        <v>5700</v>
      </c>
      <c r="F97" t="s">
        <v>59</v>
      </c>
      <c r="G97" s="61">
        <v>30</v>
      </c>
      <c r="H97" t="s">
        <v>60</v>
      </c>
      <c r="I97">
        <v>8</v>
      </c>
      <c r="J97" s="59">
        <f t="shared" si="1"/>
        <v>1</v>
      </c>
    </row>
    <row r="98" spans="1:10">
      <c r="A98" s="43">
        <v>43391</v>
      </c>
      <c r="B98">
        <v>2012</v>
      </c>
      <c r="C98">
        <v>1085</v>
      </c>
      <c r="D98">
        <v>97</v>
      </c>
      <c r="E98">
        <v>6750</v>
      </c>
      <c r="F98" t="s">
        <v>59</v>
      </c>
      <c r="G98" s="53">
        <v>5</v>
      </c>
      <c r="H98" t="s">
        <v>133</v>
      </c>
      <c r="I98">
        <v>7</v>
      </c>
      <c r="J98" s="59">
        <f t="shared" si="1"/>
        <v>5</v>
      </c>
    </row>
    <row r="99" spans="1:10">
      <c r="A99" s="43">
        <v>43040</v>
      </c>
      <c r="B99">
        <v>2012</v>
      </c>
      <c r="C99">
        <v>1085</v>
      </c>
      <c r="D99">
        <v>98</v>
      </c>
      <c r="E99">
        <v>6500</v>
      </c>
      <c r="F99" t="s">
        <v>59</v>
      </c>
      <c r="G99" s="53">
        <v>6</v>
      </c>
      <c r="H99" t="s">
        <v>133</v>
      </c>
      <c r="I99">
        <v>7</v>
      </c>
      <c r="J99" s="59">
        <f t="shared" si="1"/>
        <v>6</v>
      </c>
    </row>
    <row r="100" spans="1:10">
      <c r="A100" s="43">
        <v>42795</v>
      </c>
      <c r="B100">
        <v>2011</v>
      </c>
      <c r="C100">
        <v>1085</v>
      </c>
      <c r="D100">
        <v>99</v>
      </c>
      <c r="E100">
        <v>5600</v>
      </c>
      <c r="F100" t="s">
        <v>59</v>
      </c>
      <c r="G100" s="61">
        <v>60</v>
      </c>
      <c r="H100" t="s">
        <v>60</v>
      </c>
      <c r="I100">
        <v>8</v>
      </c>
      <c r="J100" s="59">
        <f t="shared" si="1"/>
        <v>2</v>
      </c>
    </row>
    <row r="101" spans="1:10">
      <c r="A101" s="43">
        <v>42741</v>
      </c>
      <c r="B101">
        <v>2011</v>
      </c>
      <c r="C101">
        <v>1085</v>
      </c>
      <c r="D101">
        <v>100</v>
      </c>
      <c r="E101">
        <v>5500</v>
      </c>
      <c r="F101" t="s">
        <v>59</v>
      </c>
      <c r="G101" s="61">
        <v>60</v>
      </c>
      <c r="H101" t="s">
        <v>60</v>
      </c>
      <c r="I101">
        <v>8</v>
      </c>
      <c r="J101" s="59">
        <f t="shared" si="1"/>
        <v>2</v>
      </c>
    </row>
    <row r="102" spans="1:10">
      <c r="A102" s="43">
        <v>42663</v>
      </c>
      <c r="B102">
        <v>2011</v>
      </c>
      <c r="C102">
        <v>1085</v>
      </c>
      <c r="D102">
        <v>101</v>
      </c>
      <c r="E102">
        <v>8500</v>
      </c>
      <c r="F102" t="s">
        <v>59</v>
      </c>
      <c r="G102" s="53">
        <v>7</v>
      </c>
      <c r="H102" t="s">
        <v>133</v>
      </c>
      <c r="I102">
        <v>8</v>
      </c>
      <c r="J102" s="59">
        <f t="shared" si="1"/>
        <v>7</v>
      </c>
    </row>
    <row r="103" spans="1:10">
      <c r="A103" s="43">
        <v>42663</v>
      </c>
      <c r="B103">
        <v>2012</v>
      </c>
      <c r="C103">
        <v>1085</v>
      </c>
      <c r="D103">
        <v>102</v>
      </c>
      <c r="E103">
        <v>8500</v>
      </c>
      <c r="F103" t="s">
        <v>59</v>
      </c>
      <c r="G103" s="53">
        <v>7</v>
      </c>
      <c r="H103" t="s">
        <v>133</v>
      </c>
      <c r="I103">
        <v>7</v>
      </c>
      <c r="J103" s="59">
        <f t="shared" si="1"/>
        <v>7</v>
      </c>
    </row>
    <row r="104" spans="1:10">
      <c r="A104" s="43">
        <v>42446</v>
      </c>
      <c r="B104">
        <v>2011</v>
      </c>
      <c r="C104">
        <v>1085</v>
      </c>
      <c r="D104">
        <v>103</v>
      </c>
      <c r="E104">
        <v>7600</v>
      </c>
      <c r="F104" t="s">
        <v>59</v>
      </c>
      <c r="G104" s="53">
        <v>7</v>
      </c>
      <c r="H104" t="s">
        <v>133</v>
      </c>
      <c r="I104">
        <v>8</v>
      </c>
      <c r="J104" s="59">
        <f t="shared" si="1"/>
        <v>7</v>
      </c>
    </row>
    <row r="105" spans="1:10">
      <c r="A105" s="43">
        <v>42418</v>
      </c>
      <c r="B105">
        <v>2011</v>
      </c>
      <c r="C105">
        <v>1085</v>
      </c>
      <c r="D105">
        <v>104</v>
      </c>
      <c r="E105">
        <v>8600</v>
      </c>
      <c r="F105" t="s">
        <v>59</v>
      </c>
      <c r="G105" s="53">
        <v>7</v>
      </c>
      <c r="H105" t="s">
        <v>133</v>
      </c>
      <c r="I105">
        <v>8</v>
      </c>
      <c r="J105" s="59">
        <f t="shared" si="1"/>
        <v>7</v>
      </c>
    </row>
    <row r="106" spans="1:10">
      <c r="A106" s="43">
        <v>42824</v>
      </c>
      <c r="B106">
        <v>2011</v>
      </c>
      <c r="C106">
        <v>1085</v>
      </c>
      <c r="D106">
        <v>105</v>
      </c>
      <c r="E106">
        <v>6500</v>
      </c>
      <c r="F106" t="s">
        <v>59</v>
      </c>
      <c r="G106" s="53">
        <v>8</v>
      </c>
      <c r="H106" t="s">
        <v>133</v>
      </c>
      <c r="I106">
        <v>8</v>
      </c>
      <c r="J106" s="59">
        <f t="shared" si="1"/>
        <v>8</v>
      </c>
    </row>
    <row r="107" spans="1:10">
      <c r="A107" s="43">
        <v>43575</v>
      </c>
      <c r="B107">
        <v>2017</v>
      </c>
      <c r="C107">
        <v>1096</v>
      </c>
      <c r="D107">
        <v>106</v>
      </c>
      <c r="E107">
        <v>8700</v>
      </c>
      <c r="F107" t="s">
        <v>59</v>
      </c>
      <c r="G107" s="53">
        <v>6</v>
      </c>
      <c r="H107" t="s">
        <v>133</v>
      </c>
      <c r="I107">
        <v>2</v>
      </c>
      <c r="J107" s="59">
        <f t="shared" si="1"/>
        <v>6</v>
      </c>
    </row>
    <row r="108" spans="1:10">
      <c r="A108" s="43">
        <v>43172</v>
      </c>
      <c r="B108">
        <v>2016</v>
      </c>
      <c r="C108">
        <v>1100</v>
      </c>
      <c r="D108">
        <v>107</v>
      </c>
      <c r="E108">
        <v>7800</v>
      </c>
      <c r="F108" t="s">
        <v>59</v>
      </c>
      <c r="G108" s="53">
        <v>5</v>
      </c>
      <c r="H108" t="s">
        <v>133</v>
      </c>
      <c r="I108">
        <v>3</v>
      </c>
      <c r="J108" s="59">
        <f t="shared" si="1"/>
        <v>5</v>
      </c>
    </row>
    <row r="109" spans="1:10">
      <c r="A109" s="43">
        <v>43108</v>
      </c>
      <c r="B109">
        <v>2015</v>
      </c>
      <c r="C109">
        <v>1100</v>
      </c>
      <c r="D109">
        <v>108</v>
      </c>
      <c r="E109">
        <v>7675</v>
      </c>
      <c r="F109" t="s">
        <v>59</v>
      </c>
      <c r="G109" s="53">
        <v>6</v>
      </c>
      <c r="H109" t="s">
        <v>133</v>
      </c>
      <c r="I109">
        <v>4</v>
      </c>
      <c r="J109" s="59">
        <f t="shared" si="1"/>
        <v>6</v>
      </c>
    </row>
    <row r="110" spans="1:10">
      <c r="A110" s="43">
        <v>43264</v>
      </c>
      <c r="B110">
        <v>2014</v>
      </c>
      <c r="C110">
        <v>1102</v>
      </c>
      <c r="D110">
        <v>109</v>
      </c>
      <c r="E110">
        <v>0</v>
      </c>
      <c r="F110" t="s">
        <v>59</v>
      </c>
      <c r="G110" s="53">
        <v>11</v>
      </c>
      <c r="H110" t="s">
        <v>133</v>
      </c>
      <c r="I110">
        <v>5</v>
      </c>
      <c r="J110" s="59">
        <f t="shared" si="1"/>
        <v>11</v>
      </c>
    </row>
    <row r="111" spans="1:10">
      <c r="A111" s="43">
        <v>42411</v>
      </c>
      <c r="B111">
        <v>2016</v>
      </c>
      <c r="C111">
        <v>1102</v>
      </c>
      <c r="D111">
        <v>110</v>
      </c>
      <c r="E111">
        <v>9000</v>
      </c>
      <c r="F111" t="s">
        <v>59</v>
      </c>
      <c r="G111" s="53">
        <v>12</v>
      </c>
      <c r="H111" t="s">
        <v>133</v>
      </c>
      <c r="I111">
        <v>3</v>
      </c>
      <c r="J111" s="59">
        <f t="shared" si="1"/>
        <v>12</v>
      </c>
    </row>
    <row r="112" spans="1:10">
      <c r="A112" s="43">
        <v>42430</v>
      </c>
      <c r="B112">
        <v>2014</v>
      </c>
      <c r="C112">
        <v>1102</v>
      </c>
      <c r="D112">
        <v>111</v>
      </c>
      <c r="E112">
        <v>9600</v>
      </c>
      <c r="F112" t="s">
        <v>59</v>
      </c>
      <c r="G112" s="53">
        <v>18</v>
      </c>
      <c r="H112" t="s">
        <v>133</v>
      </c>
      <c r="I112">
        <v>5</v>
      </c>
      <c r="J112" s="59">
        <f t="shared" si="1"/>
        <v>18</v>
      </c>
    </row>
    <row r="113" spans="1:10">
      <c r="A113" s="43">
        <v>43570</v>
      </c>
      <c r="B113">
        <v>2015</v>
      </c>
      <c r="C113">
        <v>1102</v>
      </c>
      <c r="D113">
        <v>112</v>
      </c>
      <c r="E113">
        <v>9000</v>
      </c>
      <c r="F113" t="s">
        <v>59</v>
      </c>
      <c r="G113" s="53">
        <v>4</v>
      </c>
      <c r="H113" t="s">
        <v>133</v>
      </c>
      <c r="I113">
        <v>4</v>
      </c>
      <c r="J113" s="59">
        <f t="shared" si="1"/>
        <v>4</v>
      </c>
    </row>
    <row r="114" spans="1:10">
      <c r="A114" s="43">
        <v>43558</v>
      </c>
      <c r="B114">
        <v>2016</v>
      </c>
      <c r="C114">
        <v>1102</v>
      </c>
      <c r="D114">
        <v>113</v>
      </c>
      <c r="E114">
        <v>8850</v>
      </c>
      <c r="F114" t="s">
        <v>59</v>
      </c>
      <c r="G114" s="53">
        <v>4</v>
      </c>
      <c r="H114" t="s">
        <v>133</v>
      </c>
      <c r="I114">
        <v>3</v>
      </c>
      <c r="J114" s="59">
        <f t="shared" si="1"/>
        <v>4</v>
      </c>
    </row>
    <row r="115" spans="1:10">
      <c r="A115" s="43">
        <v>43102</v>
      </c>
      <c r="B115">
        <v>2016</v>
      </c>
      <c r="C115">
        <v>1102</v>
      </c>
      <c r="D115">
        <v>114</v>
      </c>
      <c r="E115">
        <v>9800</v>
      </c>
      <c r="F115" t="s">
        <v>59</v>
      </c>
      <c r="G115" s="53">
        <v>5</v>
      </c>
      <c r="H115" t="s">
        <v>133</v>
      </c>
      <c r="I115">
        <v>3</v>
      </c>
      <c r="J115" s="59">
        <f t="shared" si="1"/>
        <v>5</v>
      </c>
    </row>
    <row r="116" spans="1:10">
      <c r="A116" s="43">
        <v>43542</v>
      </c>
      <c r="B116">
        <v>2015</v>
      </c>
      <c r="C116">
        <v>1102</v>
      </c>
      <c r="D116">
        <v>115</v>
      </c>
      <c r="E116">
        <v>9000</v>
      </c>
      <c r="F116" t="s">
        <v>59</v>
      </c>
      <c r="G116" s="53">
        <v>6</v>
      </c>
      <c r="H116" t="s">
        <v>133</v>
      </c>
      <c r="I116">
        <v>4</v>
      </c>
      <c r="J116" s="59">
        <f t="shared" si="1"/>
        <v>6</v>
      </c>
    </row>
    <row r="117" spans="1:10">
      <c r="A117" s="43">
        <v>43392</v>
      </c>
      <c r="B117">
        <v>2015</v>
      </c>
      <c r="C117">
        <v>1102</v>
      </c>
      <c r="D117">
        <v>116</v>
      </c>
      <c r="E117">
        <v>9000</v>
      </c>
      <c r="F117" t="s">
        <v>59</v>
      </c>
      <c r="G117" s="53">
        <v>6</v>
      </c>
      <c r="H117" t="s">
        <v>133</v>
      </c>
      <c r="I117">
        <v>4</v>
      </c>
      <c r="J117" s="59">
        <f t="shared" si="1"/>
        <v>6</v>
      </c>
    </row>
    <row r="118" spans="1:10">
      <c r="A118" s="43">
        <v>43367</v>
      </c>
      <c r="B118">
        <v>2016</v>
      </c>
      <c r="C118">
        <v>1102</v>
      </c>
      <c r="D118">
        <v>117</v>
      </c>
      <c r="E118">
        <v>9800</v>
      </c>
      <c r="F118" t="s">
        <v>59</v>
      </c>
      <c r="G118" s="53">
        <v>6</v>
      </c>
      <c r="H118" t="s">
        <v>133</v>
      </c>
      <c r="I118">
        <v>3</v>
      </c>
      <c r="J118" s="59">
        <f t="shared" si="1"/>
        <v>6</v>
      </c>
    </row>
    <row r="119" spans="1:10">
      <c r="A119" s="43">
        <v>43215</v>
      </c>
      <c r="B119">
        <v>2016</v>
      </c>
      <c r="C119">
        <v>1102</v>
      </c>
      <c r="D119">
        <v>118</v>
      </c>
      <c r="E119">
        <v>10500</v>
      </c>
      <c r="F119" t="s">
        <v>59</v>
      </c>
      <c r="G119" s="53">
        <v>6</v>
      </c>
      <c r="H119" t="s">
        <v>133</v>
      </c>
      <c r="I119">
        <v>3</v>
      </c>
      <c r="J119" s="59">
        <f t="shared" si="1"/>
        <v>6</v>
      </c>
    </row>
    <row r="120" spans="1:10">
      <c r="A120" s="43">
        <v>43200</v>
      </c>
      <c r="B120">
        <v>2015</v>
      </c>
      <c r="C120">
        <v>1102</v>
      </c>
      <c r="D120">
        <v>119</v>
      </c>
      <c r="E120">
        <v>10500</v>
      </c>
      <c r="F120" t="s">
        <v>59</v>
      </c>
      <c r="G120" s="53">
        <v>6</v>
      </c>
      <c r="H120" t="s">
        <v>133</v>
      </c>
      <c r="I120">
        <v>4</v>
      </c>
      <c r="J120" s="59">
        <f t="shared" si="1"/>
        <v>6</v>
      </c>
    </row>
    <row r="121" spans="1:10">
      <c r="A121" s="43">
        <v>42936</v>
      </c>
      <c r="B121">
        <v>2016</v>
      </c>
      <c r="C121">
        <v>1102</v>
      </c>
      <c r="D121">
        <v>120</v>
      </c>
      <c r="E121">
        <v>9000</v>
      </c>
      <c r="F121" t="s">
        <v>59</v>
      </c>
      <c r="G121" s="53">
        <v>6</v>
      </c>
      <c r="H121" t="s">
        <v>133</v>
      </c>
      <c r="I121">
        <v>3</v>
      </c>
      <c r="J121" s="59">
        <f t="shared" si="1"/>
        <v>6</v>
      </c>
    </row>
    <row r="122" spans="1:10">
      <c r="A122" s="43">
        <v>42465</v>
      </c>
      <c r="B122">
        <v>2014</v>
      </c>
      <c r="C122">
        <v>1102</v>
      </c>
      <c r="D122">
        <v>121</v>
      </c>
      <c r="E122">
        <v>9250</v>
      </c>
      <c r="F122" t="s">
        <v>59</v>
      </c>
      <c r="G122" s="53">
        <v>6</v>
      </c>
      <c r="H122" t="s">
        <v>133</v>
      </c>
      <c r="I122">
        <v>5</v>
      </c>
      <c r="J122" s="59">
        <f t="shared" si="1"/>
        <v>6</v>
      </c>
    </row>
    <row r="123" spans="1:10">
      <c r="A123" s="43">
        <v>43542</v>
      </c>
      <c r="B123">
        <v>2014</v>
      </c>
      <c r="C123">
        <v>1102</v>
      </c>
      <c r="D123">
        <v>122</v>
      </c>
      <c r="E123">
        <v>8850</v>
      </c>
      <c r="F123" t="s">
        <v>59</v>
      </c>
      <c r="G123" s="53">
        <v>7</v>
      </c>
      <c r="H123" t="s">
        <v>133</v>
      </c>
      <c r="I123">
        <v>5</v>
      </c>
      <c r="J123" s="59">
        <f t="shared" si="1"/>
        <v>7</v>
      </c>
    </row>
    <row r="124" spans="1:10">
      <c r="A124" s="43">
        <v>43374</v>
      </c>
      <c r="B124">
        <v>2014</v>
      </c>
      <c r="C124">
        <v>1102</v>
      </c>
      <c r="D124">
        <v>123</v>
      </c>
      <c r="E124">
        <v>10000</v>
      </c>
      <c r="F124" t="s">
        <v>59</v>
      </c>
      <c r="G124" s="53">
        <v>7</v>
      </c>
      <c r="H124" t="s">
        <v>133</v>
      </c>
      <c r="I124">
        <v>5</v>
      </c>
      <c r="J124" s="59">
        <f t="shared" si="1"/>
        <v>7</v>
      </c>
    </row>
    <row r="125" spans="1:10">
      <c r="A125" s="43">
        <v>43125</v>
      </c>
      <c r="B125">
        <v>2014</v>
      </c>
      <c r="C125">
        <v>1102</v>
      </c>
      <c r="D125">
        <v>124</v>
      </c>
      <c r="E125">
        <v>10500</v>
      </c>
      <c r="F125" t="s">
        <v>59</v>
      </c>
      <c r="G125" s="53">
        <v>8</v>
      </c>
      <c r="H125" t="s">
        <v>133</v>
      </c>
      <c r="I125">
        <v>5</v>
      </c>
      <c r="J125" s="59">
        <f t="shared" si="1"/>
        <v>8</v>
      </c>
    </row>
    <row r="126" spans="1:10">
      <c r="A126" s="43">
        <v>42948</v>
      </c>
      <c r="B126">
        <v>2014</v>
      </c>
      <c r="C126">
        <v>1102</v>
      </c>
      <c r="D126">
        <v>125</v>
      </c>
      <c r="E126">
        <v>9750</v>
      </c>
      <c r="F126" t="s">
        <v>59</v>
      </c>
      <c r="G126" s="53">
        <v>8</v>
      </c>
      <c r="H126" t="s">
        <v>133</v>
      </c>
      <c r="I126">
        <v>5</v>
      </c>
      <c r="J126" s="59">
        <f t="shared" si="1"/>
        <v>8</v>
      </c>
    </row>
    <row r="127" spans="1:10">
      <c r="A127" s="43">
        <v>42870</v>
      </c>
      <c r="B127">
        <v>2014</v>
      </c>
      <c r="C127">
        <v>1102</v>
      </c>
      <c r="D127">
        <v>126</v>
      </c>
      <c r="E127">
        <v>9400</v>
      </c>
      <c r="F127" t="s">
        <v>59</v>
      </c>
      <c r="G127" s="53">
        <v>8</v>
      </c>
      <c r="H127" t="s">
        <v>133</v>
      </c>
      <c r="I127">
        <v>5</v>
      </c>
      <c r="J127" s="59">
        <f t="shared" si="1"/>
        <v>8</v>
      </c>
    </row>
    <row r="128" spans="1:10">
      <c r="A128" s="43">
        <v>43587</v>
      </c>
      <c r="B128">
        <v>2019</v>
      </c>
      <c r="C128">
        <v>1162</v>
      </c>
      <c r="D128">
        <v>127</v>
      </c>
      <c r="E128">
        <v>12500</v>
      </c>
      <c r="F128" t="s">
        <v>59</v>
      </c>
      <c r="G128" s="53">
        <v>24</v>
      </c>
      <c r="H128" t="s">
        <v>133</v>
      </c>
      <c r="I128">
        <v>0</v>
      </c>
      <c r="J128" s="59">
        <f t="shared" si="1"/>
        <v>24</v>
      </c>
    </row>
    <row r="129" spans="1:10">
      <c r="A129" s="43">
        <v>43587</v>
      </c>
      <c r="B129">
        <v>2019</v>
      </c>
      <c r="C129">
        <v>1162</v>
      </c>
      <c r="D129">
        <v>128</v>
      </c>
      <c r="E129">
        <v>12500</v>
      </c>
      <c r="F129" t="s">
        <v>59</v>
      </c>
      <c r="G129" s="53">
        <v>24</v>
      </c>
      <c r="H129" t="s">
        <v>133</v>
      </c>
      <c r="I129">
        <v>0</v>
      </c>
      <c r="J129" s="59">
        <f t="shared" si="1"/>
        <v>24</v>
      </c>
    </row>
    <row r="130" spans="1:10">
      <c r="A130" s="43">
        <v>43383</v>
      </c>
      <c r="B130">
        <v>2011</v>
      </c>
      <c r="C130">
        <v>1304</v>
      </c>
      <c r="D130">
        <v>129</v>
      </c>
      <c r="E130">
        <v>6500</v>
      </c>
      <c r="F130" t="s">
        <v>59</v>
      </c>
      <c r="G130" s="61">
        <v>30</v>
      </c>
      <c r="H130" t="s">
        <v>60</v>
      </c>
      <c r="I130">
        <v>8</v>
      </c>
      <c r="J130" s="59">
        <f t="shared" ref="J130:J193" si="2">IF(H130="days",ROUND(G130/30,0),IF(H130="years",G130*12,G130))</f>
        <v>1</v>
      </c>
    </row>
    <row r="131" spans="1:10">
      <c r="A131" s="43">
        <v>42524</v>
      </c>
      <c r="B131">
        <v>2011</v>
      </c>
      <c r="C131">
        <v>1304</v>
      </c>
      <c r="D131">
        <v>130</v>
      </c>
      <c r="E131">
        <v>6750</v>
      </c>
      <c r="F131" t="s">
        <v>59</v>
      </c>
      <c r="G131" s="53">
        <v>5</v>
      </c>
      <c r="H131" t="s">
        <v>133</v>
      </c>
      <c r="I131">
        <v>8</v>
      </c>
      <c r="J131" s="59">
        <f t="shared" si="2"/>
        <v>5</v>
      </c>
    </row>
    <row r="132" spans="1:10">
      <c r="A132" s="43">
        <v>43059</v>
      </c>
      <c r="B132">
        <v>2011</v>
      </c>
      <c r="C132">
        <v>1304</v>
      </c>
      <c r="D132">
        <v>131</v>
      </c>
      <c r="E132">
        <v>7500</v>
      </c>
      <c r="F132" t="s">
        <v>59</v>
      </c>
      <c r="G132" s="53">
        <v>6</v>
      </c>
      <c r="H132" t="s">
        <v>133</v>
      </c>
      <c r="I132">
        <v>8</v>
      </c>
      <c r="J132" s="59">
        <f t="shared" si="2"/>
        <v>6</v>
      </c>
    </row>
    <row r="133" spans="1:10">
      <c r="A133" s="43">
        <v>42472</v>
      </c>
      <c r="B133">
        <v>2011</v>
      </c>
      <c r="C133">
        <v>1345</v>
      </c>
      <c r="D133">
        <v>132</v>
      </c>
      <c r="E133">
        <v>7900</v>
      </c>
      <c r="F133" t="s">
        <v>59</v>
      </c>
      <c r="G133" s="53">
        <v>12</v>
      </c>
      <c r="H133" t="s">
        <v>133</v>
      </c>
      <c r="I133">
        <v>8</v>
      </c>
      <c r="J133" s="59">
        <f t="shared" si="2"/>
        <v>12</v>
      </c>
    </row>
    <row r="134" spans="1:10">
      <c r="A134" s="43">
        <v>42468</v>
      </c>
      <c r="B134">
        <v>2011</v>
      </c>
      <c r="C134">
        <v>1345</v>
      </c>
      <c r="D134">
        <v>133</v>
      </c>
      <c r="E134">
        <v>7900</v>
      </c>
      <c r="F134" t="s">
        <v>59</v>
      </c>
      <c r="G134" s="53">
        <v>12</v>
      </c>
      <c r="H134" t="s">
        <v>133</v>
      </c>
      <c r="I134">
        <v>8</v>
      </c>
      <c r="J134" s="59">
        <f t="shared" si="2"/>
        <v>12</v>
      </c>
    </row>
    <row r="135" spans="1:10">
      <c r="A135" s="43">
        <v>43493</v>
      </c>
      <c r="B135">
        <v>2011</v>
      </c>
      <c r="C135">
        <v>1345</v>
      </c>
      <c r="D135">
        <v>134</v>
      </c>
      <c r="E135">
        <v>8500</v>
      </c>
      <c r="F135" t="s">
        <v>59</v>
      </c>
      <c r="G135" s="53">
        <v>13</v>
      </c>
      <c r="H135" t="s">
        <v>133</v>
      </c>
      <c r="I135">
        <v>8</v>
      </c>
      <c r="J135" s="59">
        <f t="shared" si="2"/>
        <v>13</v>
      </c>
    </row>
    <row r="136" spans="1:10">
      <c r="A136" s="43">
        <v>42887</v>
      </c>
      <c r="B136">
        <v>2011</v>
      </c>
      <c r="C136">
        <v>1440</v>
      </c>
      <c r="D136">
        <v>135</v>
      </c>
      <c r="E136">
        <v>9000</v>
      </c>
      <c r="F136" t="s">
        <v>59</v>
      </c>
      <c r="G136" s="53">
        <v>10</v>
      </c>
      <c r="H136" t="s">
        <v>133</v>
      </c>
      <c r="I136">
        <v>8</v>
      </c>
      <c r="J136" s="59">
        <f t="shared" si="2"/>
        <v>10</v>
      </c>
    </row>
    <row r="137" spans="1:10">
      <c r="A137" s="43">
        <v>43374</v>
      </c>
      <c r="B137">
        <v>2011</v>
      </c>
      <c r="C137">
        <v>1440</v>
      </c>
      <c r="D137">
        <v>136</v>
      </c>
      <c r="E137">
        <v>9200</v>
      </c>
      <c r="F137" t="s">
        <v>59</v>
      </c>
      <c r="G137" s="53">
        <v>12</v>
      </c>
      <c r="H137" t="s">
        <v>133</v>
      </c>
      <c r="I137">
        <v>8</v>
      </c>
      <c r="J137" s="59">
        <f t="shared" si="2"/>
        <v>12</v>
      </c>
    </row>
    <row r="138" spans="1:10">
      <c r="A138" s="43">
        <v>42948</v>
      </c>
      <c r="B138">
        <v>2011</v>
      </c>
      <c r="C138">
        <v>1440</v>
      </c>
      <c r="D138">
        <v>137</v>
      </c>
      <c r="E138">
        <v>9200</v>
      </c>
      <c r="F138" t="s">
        <v>59</v>
      </c>
      <c r="G138" s="53">
        <v>12</v>
      </c>
      <c r="H138" t="s">
        <v>133</v>
      </c>
      <c r="I138">
        <v>8</v>
      </c>
      <c r="J138" s="59">
        <f t="shared" si="2"/>
        <v>12</v>
      </c>
    </row>
    <row r="139" spans="1:10">
      <c r="A139" s="43">
        <v>42445</v>
      </c>
      <c r="B139">
        <v>2011</v>
      </c>
      <c r="C139">
        <v>1440</v>
      </c>
      <c r="D139">
        <v>138</v>
      </c>
      <c r="E139">
        <v>10000</v>
      </c>
      <c r="F139" t="s">
        <v>59</v>
      </c>
      <c r="G139" s="53">
        <v>12</v>
      </c>
      <c r="H139" t="s">
        <v>133</v>
      </c>
      <c r="I139">
        <v>8</v>
      </c>
      <c r="J139" s="59">
        <f t="shared" si="2"/>
        <v>12</v>
      </c>
    </row>
    <row r="140" spans="1:10">
      <c r="A140" s="43">
        <v>42430</v>
      </c>
      <c r="B140">
        <v>2011</v>
      </c>
      <c r="C140">
        <v>1440</v>
      </c>
      <c r="D140">
        <v>139</v>
      </c>
      <c r="E140">
        <v>9000</v>
      </c>
      <c r="F140" t="s">
        <v>59</v>
      </c>
      <c r="G140" s="53">
        <v>13</v>
      </c>
      <c r="H140" t="s">
        <v>133</v>
      </c>
      <c r="I140">
        <v>8</v>
      </c>
      <c r="J140" s="59">
        <f t="shared" si="2"/>
        <v>13</v>
      </c>
    </row>
    <row r="141" spans="1:10">
      <c r="A141" s="43">
        <v>42692</v>
      </c>
      <c r="B141">
        <v>2011</v>
      </c>
      <c r="C141">
        <v>1440</v>
      </c>
      <c r="D141">
        <v>140</v>
      </c>
      <c r="E141">
        <v>9500</v>
      </c>
      <c r="F141" t="s">
        <v>59</v>
      </c>
      <c r="G141" s="61">
        <v>30</v>
      </c>
      <c r="H141" t="s">
        <v>60</v>
      </c>
      <c r="I141">
        <v>8</v>
      </c>
      <c r="J141" s="59">
        <f t="shared" si="2"/>
        <v>1</v>
      </c>
    </row>
    <row r="142" spans="1:10">
      <c r="A142" s="43">
        <v>42585</v>
      </c>
      <c r="B142">
        <v>2011</v>
      </c>
      <c r="C142">
        <v>1440</v>
      </c>
      <c r="D142">
        <v>141</v>
      </c>
      <c r="E142">
        <v>9000</v>
      </c>
      <c r="F142" t="s">
        <v>59</v>
      </c>
      <c r="G142" s="61">
        <v>30</v>
      </c>
      <c r="H142" t="s">
        <v>60</v>
      </c>
      <c r="I142">
        <v>8</v>
      </c>
      <c r="J142" s="59">
        <f t="shared" si="2"/>
        <v>1</v>
      </c>
    </row>
    <row r="143" spans="1:10">
      <c r="A143" s="43">
        <v>43549</v>
      </c>
      <c r="B143">
        <v>2011</v>
      </c>
      <c r="C143">
        <v>1440</v>
      </c>
      <c r="D143">
        <v>142</v>
      </c>
      <c r="E143">
        <v>9350</v>
      </c>
      <c r="F143" t="s">
        <v>59</v>
      </c>
      <c r="G143" s="53">
        <v>5</v>
      </c>
      <c r="H143" t="s">
        <v>133</v>
      </c>
      <c r="I143">
        <v>8</v>
      </c>
      <c r="J143" s="59">
        <f t="shared" si="2"/>
        <v>5</v>
      </c>
    </row>
    <row r="144" spans="1:10">
      <c r="A144" s="43">
        <v>43444</v>
      </c>
      <c r="B144">
        <v>2011</v>
      </c>
      <c r="C144">
        <v>1440</v>
      </c>
      <c r="D144">
        <v>143</v>
      </c>
      <c r="E144">
        <v>9200</v>
      </c>
      <c r="F144" t="s">
        <v>59</v>
      </c>
      <c r="G144" s="53">
        <v>5</v>
      </c>
      <c r="H144" t="s">
        <v>133</v>
      </c>
      <c r="I144">
        <v>8</v>
      </c>
      <c r="J144" s="59">
        <f t="shared" si="2"/>
        <v>5</v>
      </c>
    </row>
    <row r="145" spans="1:10">
      <c r="A145" s="43">
        <v>42822</v>
      </c>
      <c r="B145">
        <v>2011</v>
      </c>
      <c r="C145">
        <v>1440</v>
      </c>
      <c r="D145">
        <v>144</v>
      </c>
      <c r="E145">
        <v>7950</v>
      </c>
      <c r="F145" t="s">
        <v>59</v>
      </c>
      <c r="G145" s="53">
        <v>5</v>
      </c>
      <c r="H145" t="s">
        <v>133</v>
      </c>
      <c r="I145">
        <v>8</v>
      </c>
      <c r="J145" s="59">
        <f t="shared" si="2"/>
        <v>5</v>
      </c>
    </row>
    <row r="146" spans="1:10">
      <c r="A146" s="43">
        <v>43529</v>
      </c>
      <c r="B146">
        <v>2011</v>
      </c>
      <c r="C146">
        <v>1440</v>
      </c>
      <c r="D146">
        <v>145</v>
      </c>
      <c r="E146">
        <v>9250</v>
      </c>
      <c r="F146" t="s">
        <v>59</v>
      </c>
      <c r="G146" s="53">
        <v>6</v>
      </c>
      <c r="H146" t="s">
        <v>133</v>
      </c>
      <c r="I146">
        <v>8</v>
      </c>
      <c r="J146" s="59">
        <f t="shared" si="2"/>
        <v>6</v>
      </c>
    </row>
    <row r="147" spans="1:10">
      <c r="A147" s="43">
        <v>42962</v>
      </c>
      <c r="B147">
        <v>2011</v>
      </c>
      <c r="C147">
        <v>1440</v>
      </c>
      <c r="D147">
        <v>146</v>
      </c>
      <c r="E147">
        <v>8250</v>
      </c>
      <c r="F147" t="s">
        <v>59</v>
      </c>
      <c r="G147" s="53">
        <v>6</v>
      </c>
      <c r="H147" t="s">
        <v>133</v>
      </c>
      <c r="I147">
        <v>8</v>
      </c>
      <c r="J147" s="59">
        <f t="shared" si="2"/>
        <v>6</v>
      </c>
    </row>
    <row r="148" spans="1:10">
      <c r="A148" s="43">
        <v>42795</v>
      </c>
      <c r="B148">
        <v>2011</v>
      </c>
      <c r="C148">
        <v>1440</v>
      </c>
      <c r="D148">
        <v>147</v>
      </c>
      <c r="E148">
        <v>7500</v>
      </c>
      <c r="F148" t="s">
        <v>59</v>
      </c>
      <c r="G148" s="53">
        <v>6</v>
      </c>
      <c r="H148" t="s">
        <v>133</v>
      </c>
      <c r="I148">
        <v>8</v>
      </c>
      <c r="J148" s="59">
        <f t="shared" si="2"/>
        <v>6</v>
      </c>
    </row>
    <row r="149" spans="1:10">
      <c r="A149" s="43">
        <v>43480</v>
      </c>
      <c r="B149">
        <v>2011</v>
      </c>
      <c r="C149">
        <v>1440</v>
      </c>
      <c r="D149">
        <v>148</v>
      </c>
      <c r="E149">
        <v>9400</v>
      </c>
      <c r="F149" t="s">
        <v>59</v>
      </c>
      <c r="G149" s="53">
        <v>7</v>
      </c>
      <c r="H149" t="s">
        <v>133</v>
      </c>
      <c r="I149">
        <v>8</v>
      </c>
      <c r="J149" s="59">
        <f t="shared" si="2"/>
        <v>7</v>
      </c>
    </row>
    <row r="150" spans="1:10">
      <c r="A150" s="43">
        <v>42887</v>
      </c>
      <c r="B150">
        <v>2011</v>
      </c>
      <c r="C150">
        <v>1440</v>
      </c>
      <c r="D150">
        <v>149</v>
      </c>
      <c r="E150">
        <v>8800</v>
      </c>
      <c r="F150" t="s">
        <v>59</v>
      </c>
      <c r="G150" s="53">
        <v>7</v>
      </c>
      <c r="H150" t="s">
        <v>133</v>
      </c>
      <c r="I150">
        <v>8</v>
      </c>
      <c r="J150" s="59">
        <f t="shared" si="2"/>
        <v>7</v>
      </c>
    </row>
    <row r="151" spans="1:10">
      <c r="A151" s="43">
        <v>42787</v>
      </c>
      <c r="B151">
        <v>2011</v>
      </c>
      <c r="C151">
        <v>1440</v>
      </c>
      <c r="D151">
        <v>150</v>
      </c>
      <c r="E151">
        <v>7600</v>
      </c>
      <c r="F151" t="s">
        <v>59</v>
      </c>
      <c r="G151" s="53">
        <v>7</v>
      </c>
      <c r="H151" t="s">
        <v>133</v>
      </c>
      <c r="I151">
        <v>8</v>
      </c>
      <c r="J151" s="59">
        <f t="shared" si="2"/>
        <v>7</v>
      </c>
    </row>
    <row r="152" spans="1:10">
      <c r="A152" s="43">
        <v>43517</v>
      </c>
      <c r="B152">
        <v>2011</v>
      </c>
      <c r="C152">
        <v>1440</v>
      </c>
      <c r="D152">
        <v>151</v>
      </c>
      <c r="E152">
        <v>9400</v>
      </c>
      <c r="F152" t="s">
        <v>59</v>
      </c>
      <c r="G152" s="53">
        <v>8</v>
      </c>
      <c r="H152" t="s">
        <v>133</v>
      </c>
      <c r="I152">
        <v>8</v>
      </c>
      <c r="J152" s="59">
        <f t="shared" si="2"/>
        <v>8</v>
      </c>
    </row>
    <row r="153" spans="1:10">
      <c r="A153" s="43">
        <v>43326</v>
      </c>
      <c r="B153">
        <v>2011</v>
      </c>
      <c r="C153">
        <v>1440</v>
      </c>
      <c r="D153">
        <v>152</v>
      </c>
      <c r="E153">
        <v>10200</v>
      </c>
      <c r="F153" t="s">
        <v>59</v>
      </c>
      <c r="G153" s="53">
        <v>9</v>
      </c>
      <c r="H153" t="s">
        <v>133</v>
      </c>
      <c r="I153">
        <v>8</v>
      </c>
      <c r="J153" s="59">
        <f t="shared" si="2"/>
        <v>9</v>
      </c>
    </row>
    <row r="154" spans="1:10">
      <c r="A154" s="43">
        <v>43137</v>
      </c>
      <c r="B154">
        <v>2011</v>
      </c>
      <c r="C154">
        <v>1440</v>
      </c>
      <c r="D154">
        <v>153</v>
      </c>
      <c r="E154">
        <v>10500</v>
      </c>
      <c r="F154" t="s">
        <v>59</v>
      </c>
      <c r="G154" s="53">
        <v>9</v>
      </c>
      <c r="H154" t="s">
        <v>133</v>
      </c>
      <c r="I154">
        <v>8</v>
      </c>
      <c r="J154" s="59">
        <f t="shared" si="2"/>
        <v>9</v>
      </c>
    </row>
    <row r="155" spans="1:10">
      <c r="A155" s="43">
        <v>42384</v>
      </c>
      <c r="B155">
        <v>2011</v>
      </c>
      <c r="C155">
        <v>1440</v>
      </c>
      <c r="D155">
        <v>154</v>
      </c>
      <c r="E155">
        <v>11000</v>
      </c>
      <c r="F155" t="s">
        <v>59</v>
      </c>
      <c r="G155" s="53">
        <v>9</v>
      </c>
      <c r="H155" t="s">
        <v>133</v>
      </c>
      <c r="I155">
        <v>8</v>
      </c>
      <c r="J155" s="59">
        <f t="shared" si="2"/>
        <v>9</v>
      </c>
    </row>
    <row r="156" spans="1:10">
      <c r="A156" s="43">
        <v>43447</v>
      </c>
      <c r="B156">
        <v>2012</v>
      </c>
      <c r="C156">
        <v>1496</v>
      </c>
      <c r="D156">
        <v>155</v>
      </c>
      <c r="E156">
        <v>6950</v>
      </c>
      <c r="F156" t="s">
        <v>59</v>
      </c>
      <c r="G156" s="53">
        <v>3</v>
      </c>
      <c r="H156" t="s">
        <v>133</v>
      </c>
      <c r="I156">
        <v>7</v>
      </c>
      <c r="J156" s="59">
        <f t="shared" si="2"/>
        <v>3</v>
      </c>
    </row>
    <row r="157" spans="1:10">
      <c r="A157" s="43">
        <v>43276</v>
      </c>
      <c r="B157">
        <v>2012</v>
      </c>
      <c r="C157">
        <v>1496</v>
      </c>
      <c r="D157">
        <v>156</v>
      </c>
      <c r="E157">
        <v>10000</v>
      </c>
      <c r="F157" t="s">
        <v>59</v>
      </c>
      <c r="G157" s="61">
        <v>35</v>
      </c>
      <c r="H157" t="s">
        <v>60</v>
      </c>
      <c r="I157">
        <v>7</v>
      </c>
      <c r="J157" s="59">
        <f t="shared" si="2"/>
        <v>1</v>
      </c>
    </row>
    <row r="158" spans="1:10">
      <c r="A158" s="43">
        <v>43235</v>
      </c>
      <c r="B158">
        <v>2012</v>
      </c>
      <c r="C158">
        <v>1496</v>
      </c>
      <c r="D158">
        <v>157</v>
      </c>
      <c r="E158">
        <v>10700</v>
      </c>
      <c r="F158" t="s">
        <v>59</v>
      </c>
      <c r="G158" s="53">
        <v>5</v>
      </c>
      <c r="H158" t="s">
        <v>133</v>
      </c>
      <c r="I158">
        <v>7</v>
      </c>
      <c r="J158" s="59">
        <f t="shared" si="2"/>
        <v>5</v>
      </c>
    </row>
    <row r="159" spans="1:10">
      <c r="A159" s="43">
        <v>42436</v>
      </c>
      <c r="B159">
        <v>2012</v>
      </c>
      <c r="C159">
        <v>1496</v>
      </c>
      <c r="D159">
        <v>158</v>
      </c>
      <c r="E159">
        <v>6250</v>
      </c>
      <c r="F159" t="s">
        <v>59</v>
      </c>
      <c r="G159" s="53">
        <v>5</v>
      </c>
      <c r="H159" t="s">
        <v>133</v>
      </c>
      <c r="I159">
        <v>7</v>
      </c>
      <c r="J159" s="59">
        <f t="shared" si="2"/>
        <v>5</v>
      </c>
    </row>
    <row r="160" spans="1:10">
      <c r="A160" s="43">
        <v>42705</v>
      </c>
      <c r="B160">
        <v>2012</v>
      </c>
      <c r="C160">
        <v>1496</v>
      </c>
      <c r="D160">
        <v>159</v>
      </c>
      <c r="E160">
        <v>6200</v>
      </c>
      <c r="F160" t="s">
        <v>59</v>
      </c>
      <c r="G160" s="53">
        <v>6</v>
      </c>
      <c r="H160" t="s">
        <v>133</v>
      </c>
      <c r="I160">
        <v>7</v>
      </c>
      <c r="J160" s="59">
        <f t="shared" si="2"/>
        <v>6</v>
      </c>
    </row>
    <row r="161" spans="1:10">
      <c r="A161" s="43">
        <v>42601</v>
      </c>
      <c r="B161">
        <v>2012</v>
      </c>
      <c r="C161">
        <v>1496</v>
      </c>
      <c r="D161">
        <v>160</v>
      </c>
      <c r="E161">
        <v>6250</v>
      </c>
      <c r="F161" t="s">
        <v>59</v>
      </c>
      <c r="G161" s="53">
        <v>6</v>
      </c>
      <c r="H161" t="s">
        <v>133</v>
      </c>
      <c r="I161">
        <v>7</v>
      </c>
      <c r="J161" s="59">
        <f t="shared" si="2"/>
        <v>6</v>
      </c>
    </row>
    <row r="162" spans="1:10">
      <c r="A162" s="43">
        <v>42521</v>
      </c>
      <c r="B162">
        <v>2012</v>
      </c>
      <c r="C162">
        <v>1496</v>
      </c>
      <c r="D162">
        <v>161</v>
      </c>
      <c r="E162">
        <v>6275</v>
      </c>
      <c r="F162" t="s">
        <v>59</v>
      </c>
      <c r="G162" s="53">
        <v>6</v>
      </c>
      <c r="H162" t="s">
        <v>133</v>
      </c>
      <c r="I162">
        <v>7</v>
      </c>
      <c r="J162" s="59">
        <f t="shared" si="2"/>
        <v>6</v>
      </c>
    </row>
    <row r="163" spans="1:10">
      <c r="A163" s="43">
        <v>42982</v>
      </c>
      <c r="B163">
        <v>2012</v>
      </c>
      <c r="C163">
        <v>1496</v>
      </c>
      <c r="D163">
        <v>162</v>
      </c>
      <c r="E163">
        <v>7300</v>
      </c>
      <c r="F163" t="s">
        <v>59</v>
      </c>
      <c r="G163" s="53">
        <v>9</v>
      </c>
      <c r="H163" t="s">
        <v>133</v>
      </c>
      <c r="I163">
        <v>7</v>
      </c>
      <c r="J163" s="59">
        <f t="shared" si="2"/>
        <v>9</v>
      </c>
    </row>
    <row r="164" spans="1:10">
      <c r="A164" s="43">
        <v>43626</v>
      </c>
      <c r="B164">
        <v>2018</v>
      </c>
      <c r="C164">
        <v>1668</v>
      </c>
      <c r="D164">
        <v>163</v>
      </c>
      <c r="E164">
        <v>10400</v>
      </c>
      <c r="F164" t="s">
        <v>59</v>
      </c>
      <c r="G164" s="53">
        <v>5</v>
      </c>
      <c r="H164" t="s">
        <v>133</v>
      </c>
      <c r="I164">
        <v>1</v>
      </c>
      <c r="J164" s="59">
        <f t="shared" si="2"/>
        <v>5</v>
      </c>
    </row>
    <row r="165" spans="1:10">
      <c r="A165" s="43">
        <v>42541</v>
      </c>
      <c r="B165">
        <v>2016</v>
      </c>
      <c r="C165">
        <v>1700</v>
      </c>
      <c r="D165">
        <v>164</v>
      </c>
      <c r="E165">
        <v>7650</v>
      </c>
      <c r="F165" t="s">
        <v>59</v>
      </c>
      <c r="G165" s="53">
        <v>12</v>
      </c>
      <c r="H165" t="s">
        <v>133</v>
      </c>
      <c r="I165">
        <v>3</v>
      </c>
      <c r="J165" s="59">
        <f t="shared" si="2"/>
        <v>12</v>
      </c>
    </row>
    <row r="166" spans="1:10">
      <c r="A166" s="43">
        <v>43525</v>
      </c>
      <c r="B166">
        <v>2013</v>
      </c>
      <c r="C166">
        <v>1705</v>
      </c>
      <c r="D166">
        <v>165</v>
      </c>
      <c r="E166">
        <v>9100</v>
      </c>
      <c r="F166" t="s">
        <v>59</v>
      </c>
      <c r="G166" s="53">
        <v>6</v>
      </c>
      <c r="H166" t="s">
        <v>133</v>
      </c>
      <c r="I166">
        <v>6</v>
      </c>
      <c r="J166" s="59">
        <f t="shared" si="2"/>
        <v>6</v>
      </c>
    </row>
    <row r="167" spans="1:10">
      <c r="A167" s="43">
        <v>43339</v>
      </c>
      <c r="B167">
        <v>2013</v>
      </c>
      <c r="C167">
        <v>1705</v>
      </c>
      <c r="D167">
        <v>166</v>
      </c>
      <c r="E167">
        <v>11750</v>
      </c>
      <c r="F167" t="s">
        <v>59</v>
      </c>
      <c r="G167" s="53">
        <v>6</v>
      </c>
      <c r="H167" t="s">
        <v>133</v>
      </c>
      <c r="I167">
        <v>6</v>
      </c>
      <c r="J167" s="59">
        <f t="shared" si="2"/>
        <v>6</v>
      </c>
    </row>
    <row r="168" spans="1:10">
      <c r="A168" s="43">
        <v>43633</v>
      </c>
      <c r="B168">
        <v>2018</v>
      </c>
      <c r="C168">
        <v>1707</v>
      </c>
      <c r="D168">
        <v>167</v>
      </c>
      <c r="E168">
        <v>11250</v>
      </c>
      <c r="F168" t="s">
        <v>59</v>
      </c>
      <c r="G168" s="53">
        <v>12</v>
      </c>
      <c r="H168" t="s">
        <v>133</v>
      </c>
      <c r="I168">
        <v>1</v>
      </c>
      <c r="J168" s="59">
        <f t="shared" si="2"/>
        <v>12</v>
      </c>
    </row>
    <row r="169" spans="1:10">
      <c r="A169" s="43">
        <v>43095</v>
      </c>
      <c r="B169">
        <v>2016</v>
      </c>
      <c r="C169">
        <v>1707</v>
      </c>
      <c r="D169">
        <v>168</v>
      </c>
      <c r="E169">
        <v>10700</v>
      </c>
      <c r="F169" t="s">
        <v>59</v>
      </c>
      <c r="G169" s="53">
        <v>2</v>
      </c>
      <c r="H169" t="s">
        <v>133</v>
      </c>
      <c r="I169">
        <v>3</v>
      </c>
      <c r="J169" s="59">
        <f t="shared" si="2"/>
        <v>2</v>
      </c>
    </row>
    <row r="170" spans="1:10">
      <c r="A170" s="43">
        <v>42908</v>
      </c>
      <c r="B170">
        <v>2016</v>
      </c>
      <c r="C170">
        <v>1707</v>
      </c>
      <c r="D170">
        <v>169</v>
      </c>
      <c r="E170">
        <v>9100</v>
      </c>
      <c r="F170" t="s">
        <v>59</v>
      </c>
      <c r="G170" s="53">
        <v>3</v>
      </c>
      <c r="H170" t="s">
        <v>133</v>
      </c>
      <c r="I170">
        <v>3</v>
      </c>
      <c r="J170" s="59">
        <f t="shared" si="2"/>
        <v>3</v>
      </c>
    </row>
    <row r="171" spans="1:10">
      <c r="A171" s="43">
        <v>43629</v>
      </c>
      <c r="B171">
        <v>2016</v>
      </c>
      <c r="C171">
        <v>1707</v>
      </c>
      <c r="D171">
        <v>170</v>
      </c>
      <c r="E171">
        <v>10800</v>
      </c>
      <c r="F171" t="s">
        <v>59</v>
      </c>
      <c r="G171" s="53">
        <v>5</v>
      </c>
      <c r="H171" t="s">
        <v>133</v>
      </c>
      <c r="I171">
        <v>3</v>
      </c>
      <c r="J171" s="59">
        <f t="shared" si="2"/>
        <v>5</v>
      </c>
    </row>
    <row r="172" spans="1:10">
      <c r="A172" s="43">
        <v>42950</v>
      </c>
      <c r="B172">
        <v>2016</v>
      </c>
      <c r="C172">
        <v>1707</v>
      </c>
      <c r="D172">
        <v>171</v>
      </c>
      <c r="E172">
        <v>9000</v>
      </c>
      <c r="F172" t="s">
        <v>59</v>
      </c>
      <c r="G172" s="53">
        <v>5</v>
      </c>
      <c r="H172" t="s">
        <v>133</v>
      </c>
      <c r="I172">
        <v>3</v>
      </c>
      <c r="J172" s="59">
        <f t="shared" si="2"/>
        <v>5</v>
      </c>
    </row>
    <row r="173" spans="1:10">
      <c r="A173" s="43">
        <v>43542</v>
      </c>
      <c r="B173">
        <v>2017</v>
      </c>
      <c r="C173">
        <v>1707</v>
      </c>
      <c r="D173">
        <v>172</v>
      </c>
      <c r="E173">
        <v>10500</v>
      </c>
      <c r="F173" t="s">
        <v>59</v>
      </c>
      <c r="G173" s="53">
        <v>6</v>
      </c>
      <c r="H173" t="s">
        <v>133</v>
      </c>
      <c r="I173">
        <v>2</v>
      </c>
      <c r="J173" s="59">
        <f t="shared" si="2"/>
        <v>6</v>
      </c>
    </row>
    <row r="174" spans="1:10">
      <c r="A174" s="43">
        <v>43496</v>
      </c>
      <c r="B174">
        <v>2018</v>
      </c>
      <c r="C174">
        <v>1707</v>
      </c>
      <c r="D174">
        <v>173</v>
      </c>
      <c r="E174">
        <v>10000</v>
      </c>
      <c r="F174" t="s">
        <v>59</v>
      </c>
      <c r="G174" s="53">
        <v>6</v>
      </c>
      <c r="H174" t="s">
        <v>133</v>
      </c>
      <c r="I174">
        <v>1</v>
      </c>
      <c r="J174" s="59">
        <f t="shared" si="2"/>
        <v>6</v>
      </c>
    </row>
    <row r="175" spans="1:10">
      <c r="A175" s="43">
        <v>43186</v>
      </c>
      <c r="B175">
        <v>2016</v>
      </c>
      <c r="C175">
        <v>1707</v>
      </c>
      <c r="D175">
        <v>174</v>
      </c>
      <c r="E175">
        <v>14100</v>
      </c>
      <c r="F175" t="s">
        <v>59</v>
      </c>
      <c r="G175" s="53">
        <v>6</v>
      </c>
      <c r="H175" t="s">
        <v>133</v>
      </c>
      <c r="I175">
        <v>3</v>
      </c>
      <c r="J175" s="59">
        <f t="shared" si="2"/>
        <v>6</v>
      </c>
    </row>
    <row r="176" spans="1:10">
      <c r="A176" s="43">
        <v>43343</v>
      </c>
      <c r="B176">
        <v>2016</v>
      </c>
      <c r="C176">
        <v>1707</v>
      </c>
      <c r="D176">
        <v>175</v>
      </c>
      <c r="E176">
        <v>12200</v>
      </c>
      <c r="F176" t="s">
        <v>59</v>
      </c>
      <c r="G176" s="53">
        <v>7</v>
      </c>
      <c r="H176" t="s">
        <v>133</v>
      </c>
      <c r="I176">
        <v>3</v>
      </c>
      <c r="J176" s="59">
        <f t="shared" si="2"/>
        <v>7</v>
      </c>
    </row>
    <row r="177" spans="1:10">
      <c r="A177" s="43">
        <v>43020</v>
      </c>
      <c r="B177">
        <v>2017</v>
      </c>
      <c r="C177">
        <v>1707</v>
      </c>
      <c r="D177">
        <v>176</v>
      </c>
      <c r="E177">
        <v>9000</v>
      </c>
      <c r="F177" t="s">
        <v>59</v>
      </c>
      <c r="G177" s="53">
        <v>7</v>
      </c>
      <c r="H177" t="s">
        <v>133</v>
      </c>
      <c r="I177">
        <v>2</v>
      </c>
      <c r="J177" s="59">
        <f t="shared" si="2"/>
        <v>7</v>
      </c>
    </row>
    <row r="178" spans="1:10">
      <c r="A178" s="43">
        <v>43084</v>
      </c>
      <c r="B178">
        <v>2018</v>
      </c>
      <c r="C178">
        <v>1707</v>
      </c>
      <c r="D178">
        <v>177</v>
      </c>
      <c r="E178">
        <v>10250</v>
      </c>
      <c r="F178" t="s">
        <v>59</v>
      </c>
      <c r="G178" s="53">
        <v>8</v>
      </c>
      <c r="H178" t="s">
        <v>133</v>
      </c>
      <c r="I178">
        <v>1</v>
      </c>
      <c r="J178" s="59">
        <f t="shared" si="2"/>
        <v>8</v>
      </c>
    </row>
    <row r="179" spans="1:10">
      <c r="A179" s="43">
        <v>43546</v>
      </c>
      <c r="B179">
        <v>2016</v>
      </c>
      <c r="C179">
        <v>1707</v>
      </c>
      <c r="D179">
        <v>178</v>
      </c>
      <c r="E179">
        <v>10900</v>
      </c>
      <c r="F179" t="s">
        <v>59</v>
      </c>
      <c r="G179" s="61">
        <v>80</v>
      </c>
      <c r="H179" t="s">
        <v>60</v>
      </c>
      <c r="I179">
        <v>3</v>
      </c>
      <c r="J179" s="59">
        <f t="shared" si="2"/>
        <v>3</v>
      </c>
    </row>
    <row r="180" spans="1:10">
      <c r="A180" s="43">
        <v>42370</v>
      </c>
      <c r="B180">
        <v>2016</v>
      </c>
      <c r="C180">
        <v>1708</v>
      </c>
      <c r="D180">
        <v>179</v>
      </c>
      <c r="E180">
        <v>8200</v>
      </c>
      <c r="F180" t="s">
        <v>59</v>
      </c>
      <c r="G180" s="53">
        <v>12</v>
      </c>
      <c r="H180" t="s">
        <v>133</v>
      </c>
      <c r="I180">
        <v>3</v>
      </c>
      <c r="J180" s="59">
        <f t="shared" si="2"/>
        <v>12</v>
      </c>
    </row>
    <row r="181" spans="1:10">
      <c r="A181" s="43">
        <v>43185</v>
      </c>
      <c r="B181">
        <v>2015</v>
      </c>
      <c r="C181">
        <v>1708</v>
      </c>
      <c r="D181">
        <v>180</v>
      </c>
      <c r="E181">
        <v>13800</v>
      </c>
      <c r="F181" t="s">
        <v>59</v>
      </c>
      <c r="G181" s="53">
        <v>4</v>
      </c>
      <c r="H181" t="s">
        <v>133</v>
      </c>
      <c r="I181">
        <v>4</v>
      </c>
      <c r="J181" s="59">
        <f t="shared" si="2"/>
        <v>4</v>
      </c>
    </row>
    <row r="182" spans="1:10">
      <c r="A182" s="43">
        <v>42866</v>
      </c>
      <c r="B182">
        <v>2015</v>
      </c>
      <c r="C182">
        <v>1708</v>
      </c>
      <c r="D182">
        <v>181</v>
      </c>
      <c r="E182">
        <v>9000</v>
      </c>
      <c r="F182" t="s">
        <v>59</v>
      </c>
      <c r="G182" s="53">
        <v>5</v>
      </c>
      <c r="H182" t="s">
        <v>133</v>
      </c>
      <c r="I182">
        <v>4</v>
      </c>
      <c r="J182" s="59">
        <f t="shared" si="2"/>
        <v>5</v>
      </c>
    </row>
    <row r="183" spans="1:10">
      <c r="A183" s="43">
        <v>42615</v>
      </c>
      <c r="B183">
        <v>2015</v>
      </c>
      <c r="C183">
        <v>1708</v>
      </c>
      <c r="D183">
        <v>182</v>
      </c>
      <c r="E183">
        <v>8500</v>
      </c>
      <c r="F183" t="s">
        <v>59</v>
      </c>
      <c r="G183" s="61">
        <v>50</v>
      </c>
      <c r="H183" t="s">
        <v>60</v>
      </c>
      <c r="I183">
        <v>4</v>
      </c>
      <c r="J183" s="59">
        <f t="shared" si="2"/>
        <v>2</v>
      </c>
    </row>
    <row r="184" spans="1:10">
      <c r="A184" s="43">
        <v>43388</v>
      </c>
      <c r="B184">
        <v>2016</v>
      </c>
      <c r="C184">
        <v>1708</v>
      </c>
      <c r="D184">
        <v>183</v>
      </c>
      <c r="E184">
        <v>11200</v>
      </c>
      <c r="F184" t="s">
        <v>59</v>
      </c>
      <c r="G184" s="53">
        <v>6</v>
      </c>
      <c r="H184" t="s">
        <v>133</v>
      </c>
      <c r="I184">
        <v>3</v>
      </c>
      <c r="J184" s="59">
        <f t="shared" si="2"/>
        <v>6</v>
      </c>
    </row>
    <row r="185" spans="1:10">
      <c r="A185" s="43">
        <v>42940</v>
      </c>
      <c r="B185">
        <v>2015</v>
      </c>
      <c r="C185">
        <v>1708</v>
      </c>
      <c r="D185">
        <v>184</v>
      </c>
      <c r="E185">
        <v>8400</v>
      </c>
      <c r="F185" t="s">
        <v>59</v>
      </c>
      <c r="G185" s="53">
        <v>6</v>
      </c>
      <c r="H185" t="s">
        <v>133</v>
      </c>
      <c r="I185">
        <v>4</v>
      </c>
      <c r="J185" s="59">
        <f t="shared" si="2"/>
        <v>6</v>
      </c>
    </row>
    <row r="186" spans="1:10">
      <c r="A186" s="43">
        <v>42689</v>
      </c>
      <c r="B186">
        <v>2015</v>
      </c>
      <c r="C186">
        <v>1708</v>
      </c>
      <c r="D186">
        <v>185</v>
      </c>
      <c r="E186">
        <v>8100</v>
      </c>
      <c r="F186" t="s">
        <v>59</v>
      </c>
      <c r="G186" s="53">
        <v>6</v>
      </c>
      <c r="H186" t="s">
        <v>133</v>
      </c>
      <c r="I186">
        <v>4</v>
      </c>
      <c r="J186" s="59">
        <f t="shared" si="2"/>
        <v>6</v>
      </c>
    </row>
    <row r="187" spans="1:10">
      <c r="A187" s="43">
        <v>42541</v>
      </c>
      <c r="B187">
        <v>2015</v>
      </c>
      <c r="C187">
        <v>1708</v>
      </c>
      <c r="D187">
        <v>186</v>
      </c>
      <c r="E187">
        <v>8000</v>
      </c>
      <c r="F187" t="s">
        <v>59</v>
      </c>
      <c r="G187" s="53">
        <v>6</v>
      </c>
      <c r="H187" t="s">
        <v>133</v>
      </c>
      <c r="I187">
        <v>4</v>
      </c>
      <c r="J187" s="59">
        <f t="shared" si="2"/>
        <v>6</v>
      </c>
    </row>
    <row r="188" spans="1:10">
      <c r="A188" s="43">
        <v>43467</v>
      </c>
      <c r="B188">
        <v>2015</v>
      </c>
      <c r="C188">
        <v>1708</v>
      </c>
      <c r="D188">
        <v>187</v>
      </c>
      <c r="E188">
        <v>10400</v>
      </c>
      <c r="F188" t="s">
        <v>59</v>
      </c>
      <c r="G188" s="53">
        <v>7</v>
      </c>
      <c r="H188" t="s">
        <v>133</v>
      </c>
      <c r="I188">
        <v>4</v>
      </c>
      <c r="J188" s="59">
        <f t="shared" si="2"/>
        <v>7</v>
      </c>
    </row>
    <row r="189" spans="1:10">
      <c r="A189" s="43">
        <v>43215</v>
      </c>
      <c r="B189">
        <v>2016</v>
      </c>
      <c r="C189">
        <v>1708</v>
      </c>
      <c r="D189">
        <v>188</v>
      </c>
      <c r="E189">
        <v>13000</v>
      </c>
      <c r="F189" t="s">
        <v>59</v>
      </c>
      <c r="G189" s="53">
        <v>7</v>
      </c>
      <c r="H189" t="s">
        <v>133</v>
      </c>
      <c r="I189">
        <v>3</v>
      </c>
      <c r="J189" s="59">
        <f t="shared" si="2"/>
        <v>7</v>
      </c>
    </row>
    <row r="190" spans="1:10">
      <c r="A190" s="43">
        <v>43005</v>
      </c>
      <c r="B190">
        <v>2016</v>
      </c>
      <c r="C190">
        <v>1708</v>
      </c>
      <c r="D190">
        <v>189</v>
      </c>
      <c r="E190">
        <v>9100</v>
      </c>
      <c r="F190" t="s">
        <v>59</v>
      </c>
      <c r="G190" s="53">
        <v>7</v>
      </c>
      <c r="H190" t="s">
        <v>133</v>
      </c>
      <c r="I190">
        <v>3</v>
      </c>
      <c r="J190" s="59">
        <f t="shared" si="2"/>
        <v>7</v>
      </c>
    </row>
    <row r="191" spans="1:10">
      <c r="A191" s="43">
        <v>42948</v>
      </c>
      <c r="B191">
        <v>2015</v>
      </c>
      <c r="C191">
        <v>1708</v>
      </c>
      <c r="D191">
        <v>190</v>
      </c>
      <c r="E191">
        <v>8975</v>
      </c>
      <c r="F191" t="s">
        <v>59</v>
      </c>
      <c r="G191" s="53">
        <v>7</v>
      </c>
      <c r="H191" t="s">
        <v>133</v>
      </c>
      <c r="I191">
        <v>4</v>
      </c>
      <c r="J191" s="59">
        <f t="shared" si="2"/>
        <v>7</v>
      </c>
    </row>
    <row r="192" spans="1:10">
      <c r="A192" s="43">
        <v>42794</v>
      </c>
      <c r="B192">
        <v>2016</v>
      </c>
      <c r="C192">
        <v>1708</v>
      </c>
      <c r="D192">
        <v>191</v>
      </c>
      <c r="E192">
        <v>7700</v>
      </c>
      <c r="F192" t="s">
        <v>59</v>
      </c>
      <c r="G192" s="53">
        <v>7</v>
      </c>
      <c r="H192" t="s">
        <v>133</v>
      </c>
      <c r="I192">
        <v>3</v>
      </c>
      <c r="J192" s="59">
        <f t="shared" si="2"/>
        <v>7</v>
      </c>
    </row>
    <row r="193" spans="1:10">
      <c r="A193" s="43">
        <v>42754</v>
      </c>
      <c r="B193">
        <v>2015</v>
      </c>
      <c r="C193">
        <v>1708</v>
      </c>
      <c r="D193">
        <v>192</v>
      </c>
      <c r="E193">
        <v>8000</v>
      </c>
      <c r="F193" t="s">
        <v>59</v>
      </c>
      <c r="G193" s="53">
        <v>7</v>
      </c>
      <c r="H193" t="s">
        <v>133</v>
      </c>
      <c r="I193">
        <v>4</v>
      </c>
      <c r="J193" s="59">
        <f t="shared" si="2"/>
        <v>7</v>
      </c>
    </row>
    <row r="194" spans="1:10">
      <c r="A194" s="43">
        <v>42663</v>
      </c>
      <c r="B194">
        <v>2015</v>
      </c>
      <c r="C194">
        <v>1708</v>
      </c>
      <c r="D194">
        <v>193</v>
      </c>
      <c r="E194">
        <v>7700</v>
      </c>
      <c r="F194" t="s">
        <v>59</v>
      </c>
      <c r="G194" s="53">
        <v>7</v>
      </c>
      <c r="H194" t="s">
        <v>133</v>
      </c>
      <c r="I194">
        <v>4</v>
      </c>
      <c r="J194" s="59">
        <f t="shared" ref="J194:J257" si="3">IF(H194="days",ROUND(G194/30,0),IF(H194="years",G194*12,G194))</f>
        <v>7</v>
      </c>
    </row>
    <row r="195" spans="1:10">
      <c r="A195" s="43">
        <v>43497</v>
      </c>
      <c r="B195">
        <v>2016</v>
      </c>
      <c r="C195">
        <v>1708</v>
      </c>
      <c r="D195">
        <v>194</v>
      </c>
      <c r="E195">
        <v>10400</v>
      </c>
      <c r="F195" t="s">
        <v>59</v>
      </c>
      <c r="G195" s="53">
        <v>8</v>
      </c>
      <c r="H195" t="s">
        <v>133</v>
      </c>
      <c r="I195">
        <v>3</v>
      </c>
      <c r="J195" s="59">
        <f t="shared" si="3"/>
        <v>8</v>
      </c>
    </row>
    <row r="196" spans="1:10">
      <c r="A196" s="43">
        <v>43117</v>
      </c>
      <c r="B196">
        <v>2015</v>
      </c>
      <c r="C196">
        <v>1708</v>
      </c>
      <c r="D196">
        <v>195</v>
      </c>
      <c r="E196">
        <v>11000</v>
      </c>
      <c r="F196" t="s">
        <v>59</v>
      </c>
      <c r="G196" s="53">
        <v>8</v>
      </c>
      <c r="H196" t="s">
        <v>133</v>
      </c>
      <c r="I196">
        <v>4</v>
      </c>
      <c r="J196" s="59">
        <f t="shared" si="3"/>
        <v>8</v>
      </c>
    </row>
    <row r="197" spans="1:10">
      <c r="A197" s="43">
        <v>42688</v>
      </c>
      <c r="B197">
        <v>2015</v>
      </c>
      <c r="C197">
        <v>1708</v>
      </c>
      <c r="D197">
        <v>196</v>
      </c>
      <c r="E197">
        <v>8100</v>
      </c>
      <c r="F197" t="s">
        <v>59</v>
      </c>
      <c r="G197" s="53">
        <v>8</v>
      </c>
      <c r="H197" t="s">
        <v>133</v>
      </c>
      <c r="I197">
        <v>4</v>
      </c>
      <c r="J197" s="59">
        <f t="shared" si="3"/>
        <v>8</v>
      </c>
    </row>
    <row r="198" spans="1:10">
      <c r="A198" s="43">
        <v>42685</v>
      </c>
      <c r="B198">
        <v>2016</v>
      </c>
      <c r="C198">
        <v>1708</v>
      </c>
      <c r="D198">
        <v>197</v>
      </c>
      <c r="E198">
        <v>8100</v>
      </c>
      <c r="F198" t="s">
        <v>59</v>
      </c>
      <c r="G198" s="53">
        <v>8</v>
      </c>
      <c r="H198" t="s">
        <v>133</v>
      </c>
      <c r="I198">
        <v>3</v>
      </c>
      <c r="J198" s="59">
        <f t="shared" si="3"/>
        <v>8</v>
      </c>
    </row>
    <row r="199" spans="1:10">
      <c r="A199" s="43">
        <v>42429</v>
      </c>
      <c r="B199">
        <v>2015</v>
      </c>
      <c r="C199">
        <v>1708</v>
      </c>
      <c r="D199">
        <v>198</v>
      </c>
      <c r="E199">
        <v>8200</v>
      </c>
      <c r="F199" t="s">
        <v>59</v>
      </c>
      <c r="G199" s="53">
        <v>8</v>
      </c>
      <c r="H199" t="s">
        <v>133</v>
      </c>
      <c r="I199">
        <v>4</v>
      </c>
      <c r="J199" s="59">
        <f t="shared" si="3"/>
        <v>8</v>
      </c>
    </row>
    <row r="200" spans="1:10">
      <c r="A200" s="43">
        <v>42417</v>
      </c>
      <c r="B200">
        <v>2015</v>
      </c>
      <c r="C200">
        <v>1708</v>
      </c>
      <c r="D200">
        <v>199</v>
      </c>
      <c r="E200">
        <v>8250</v>
      </c>
      <c r="F200" t="s">
        <v>59</v>
      </c>
      <c r="G200" s="53">
        <v>8</v>
      </c>
      <c r="H200" t="s">
        <v>133</v>
      </c>
      <c r="I200">
        <v>4</v>
      </c>
      <c r="J200" s="59">
        <f t="shared" si="3"/>
        <v>8</v>
      </c>
    </row>
    <row r="201" spans="1:10">
      <c r="A201" s="43">
        <v>43005</v>
      </c>
      <c r="B201">
        <v>2015</v>
      </c>
      <c r="C201">
        <v>1708</v>
      </c>
      <c r="D201">
        <v>200</v>
      </c>
      <c r="E201">
        <v>9050</v>
      </c>
      <c r="F201" t="s">
        <v>59</v>
      </c>
      <c r="G201" s="53">
        <v>9</v>
      </c>
      <c r="H201" t="s">
        <v>133</v>
      </c>
      <c r="I201">
        <v>4</v>
      </c>
      <c r="J201" s="59">
        <f t="shared" si="3"/>
        <v>9</v>
      </c>
    </row>
    <row r="202" spans="1:10">
      <c r="A202" s="43">
        <v>42530</v>
      </c>
      <c r="B202">
        <v>2014</v>
      </c>
      <c r="C202">
        <v>1714</v>
      </c>
      <c r="D202">
        <v>201</v>
      </c>
      <c r="E202">
        <v>8250</v>
      </c>
      <c r="F202" t="s">
        <v>59</v>
      </c>
      <c r="G202" s="53">
        <v>10</v>
      </c>
      <c r="H202" t="s">
        <v>133</v>
      </c>
      <c r="I202">
        <v>5</v>
      </c>
      <c r="J202" s="59">
        <f t="shared" si="3"/>
        <v>10</v>
      </c>
    </row>
    <row r="203" spans="1:10">
      <c r="A203" s="43">
        <v>42530</v>
      </c>
      <c r="B203">
        <v>2014</v>
      </c>
      <c r="C203">
        <v>1714</v>
      </c>
      <c r="D203">
        <v>202</v>
      </c>
      <c r="E203">
        <v>8250</v>
      </c>
      <c r="F203" t="s">
        <v>59</v>
      </c>
      <c r="G203" s="53">
        <v>10</v>
      </c>
      <c r="H203" t="s">
        <v>133</v>
      </c>
      <c r="I203">
        <v>5</v>
      </c>
      <c r="J203" s="59">
        <f t="shared" si="3"/>
        <v>10</v>
      </c>
    </row>
    <row r="204" spans="1:10">
      <c r="A204" s="43">
        <v>42382</v>
      </c>
      <c r="B204">
        <v>2015</v>
      </c>
      <c r="C204">
        <v>1714</v>
      </c>
      <c r="D204">
        <v>203</v>
      </c>
      <c r="E204">
        <v>8700</v>
      </c>
      <c r="F204" t="s">
        <v>59</v>
      </c>
      <c r="G204" s="53">
        <v>10</v>
      </c>
      <c r="H204" t="s">
        <v>133</v>
      </c>
      <c r="I204">
        <v>4</v>
      </c>
      <c r="J204" s="59">
        <f t="shared" si="3"/>
        <v>10</v>
      </c>
    </row>
    <row r="205" spans="1:10">
      <c r="A205" s="43">
        <v>42692</v>
      </c>
      <c r="B205">
        <v>2012</v>
      </c>
      <c r="C205">
        <v>1714</v>
      </c>
      <c r="D205">
        <v>204</v>
      </c>
      <c r="E205">
        <v>7700</v>
      </c>
      <c r="F205" t="s">
        <v>59</v>
      </c>
      <c r="G205" s="53">
        <v>11</v>
      </c>
      <c r="H205" t="s">
        <v>133</v>
      </c>
      <c r="I205">
        <v>7</v>
      </c>
      <c r="J205" s="59">
        <f t="shared" si="3"/>
        <v>11</v>
      </c>
    </row>
    <row r="206" spans="1:10">
      <c r="A206" s="43">
        <v>43378</v>
      </c>
      <c r="B206">
        <v>2018</v>
      </c>
      <c r="C206">
        <v>1714</v>
      </c>
      <c r="D206">
        <v>205</v>
      </c>
      <c r="E206">
        <v>11700</v>
      </c>
      <c r="F206" t="s">
        <v>59</v>
      </c>
      <c r="G206" s="53">
        <v>12</v>
      </c>
      <c r="H206" t="s">
        <v>133</v>
      </c>
      <c r="I206">
        <v>1</v>
      </c>
      <c r="J206" s="59">
        <f t="shared" si="3"/>
        <v>12</v>
      </c>
    </row>
    <row r="207" spans="1:10">
      <c r="A207" s="43">
        <v>42926</v>
      </c>
      <c r="B207">
        <v>2012</v>
      </c>
      <c r="C207">
        <v>1714</v>
      </c>
      <c r="D207">
        <v>206</v>
      </c>
      <c r="E207">
        <v>8500</v>
      </c>
      <c r="F207" t="s">
        <v>59</v>
      </c>
      <c r="G207" s="53">
        <v>3</v>
      </c>
      <c r="H207" t="s">
        <v>133</v>
      </c>
      <c r="I207">
        <v>7</v>
      </c>
      <c r="J207" s="59">
        <f t="shared" si="3"/>
        <v>3</v>
      </c>
    </row>
    <row r="208" spans="1:10">
      <c r="A208" s="43">
        <v>42801</v>
      </c>
      <c r="B208">
        <v>2014</v>
      </c>
      <c r="C208">
        <v>1714</v>
      </c>
      <c r="D208">
        <v>207</v>
      </c>
      <c r="E208">
        <v>8300</v>
      </c>
      <c r="F208" t="s">
        <v>59</v>
      </c>
      <c r="G208" s="53">
        <v>3</v>
      </c>
      <c r="H208" t="s">
        <v>133</v>
      </c>
      <c r="I208">
        <v>5</v>
      </c>
      <c r="J208" s="59">
        <f t="shared" si="3"/>
        <v>3</v>
      </c>
    </row>
    <row r="209" spans="1:10">
      <c r="A209" s="43">
        <v>42663</v>
      </c>
      <c r="B209">
        <v>2013</v>
      </c>
      <c r="C209">
        <v>1714</v>
      </c>
      <c r="D209">
        <v>208</v>
      </c>
      <c r="E209">
        <v>7250</v>
      </c>
      <c r="F209" t="s">
        <v>59</v>
      </c>
      <c r="G209" s="53">
        <v>3</v>
      </c>
      <c r="H209" t="s">
        <v>133</v>
      </c>
      <c r="I209">
        <v>6</v>
      </c>
      <c r="J209" s="59">
        <f t="shared" si="3"/>
        <v>3</v>
      </c>
    </row>
    <row r="210" spans="1:10">
      <c r="A210" s="43">
        <v>43501</v>
      </c>
      <c r="B210">
        <v>2014</v>
      </c>
      <c r="C210">
        <v>1714</v>
      </c>
      <c r="D210">
        <v>209</v>
      </c>
      <c r="E210">
        <v>10000</v>
      </c>
      <c r="F210" t="s">
        <v>59</v>
      </c>
      <c r="G210" s="53">
        <v>4</v>
      </c>
      <c r="H210" t="s">
        <v>133</v>
      </c>
      <c r="I210">
        <v>5</v>
      </c>
      <c r="J210" s="59">
        <f t="shared" si="3"/>
        <v>4</v>
      </c>
    </row>
    <row r="211" spans="1:10">
      <c r="A211" s="43">
        <v>43077</v>
      </c>
      <c r="B211">
        <v>2013</v>
      </c>
      <c r="C211">
        <v>1714</v>
      </c>
      <c r="D211">
        <v>210</v>
      </c>
      <c r="E211">
        <v>10150</v>
      </c>
      <c r="F211" t="s">
        <v>59</v>
      </c>
      <c r="G211" s="53">
        <v>4</v>
      </c>
      <c r="H211" t="s">
        <v>133</v>
      </c>
      <c r="I211">
        <v>6</v>
      </c>
      <c r="J211" s="59">
        <f t="shared" si="3"/>
        <v>4</v>
      </c>
    </row>
    <row r="212" spans="1:10">
      <c r="A212" s="43">
        <v>43278</v>
      </c>
      <c r="B212">
        <v>2013</v>
      </c>
      <c r="C212">
        <v>1714</v>
      </c>
      <c r="D212">
        <v>211</v>
      </c>
      <c r="E212">
        <v>13000</v>
      </c>
      <c r="F212" t="s">
        <v>59</v>
      </c>
      <c r="G212" s="53">
        <v>5</v>
      </c>
      <c r="H212" t="s">
        <v>133</v>
      </c>
      <c r="I212">
        <v>6</v>
      </c>
      <c r="J212" s="59">
        <f t="shared" si="3"/>
        <v>5</v>
      </c>
    </row>
    <row r="213" spans="1:10">
      <c r="A213" s="43">
        <v>42930</v>
      </c>
      <c r="B213">
        <v>2013</v>
      </c>
      <c r="C213">
        <v>1714</v>
      </c>
      <c r="D213">
        <v>212</v>
      </c>
      <c r="E213">
        <v>8500</v>
      </c>
      <c r="F213" t="s">
        <v>59</v>
      </c>
      <c r="G213" s="53">
        <v>5</v>
      </c>
      <c r="H213" t="s">
        <v>133</v>
      </c>
      <c r="I213">
        <v>6</v>
      </c>
      <c r="J213" s="59">
        <f t="shared" si="3"/>
        <v>5</v>
      </c>
    </row>
    <row r="214" spans="1:10">
      <c r="A214" s="43">
        <v>42891</v>
      </c>
      <c r="B214">
        <v>2014</v>
      </c>
      <c r="C214">
        <v>1714</v>
      </c>
      <c r="D214">
        <v>213</v>
      </c>
      <c r="E214">
        <v>9100</v>
      </c>
      <c r="F214" t="s">
        <v>59</v>
      </c>
      <c r="G214" s="53">
        <v>5</v>
      </c>
      <c r="H214" t="s">
        <v>133</v>
      </c>
      <c r="I214">
        <v>5</v>
      </c>
      <c r="J214" s="59">
        <f t="shared" si="3"/>
        <v>5</v>
      </c>
    </row>
    <row r="215" spans="1:10">
      <c r="A215" s="43">
        <v>42887</v>
      </c>
      <c r="B215">
        <v>2015</v>
      </c>
      <c r="C215">
        <v>1714</v>
      </c>
      <c r="D215">
        <v>214</v>
      </c>
      <c r="E215">
        <v>9000</v>
      </c>
      <c r="F215" t="s">
        <v>59</v>
      </c>
      <c r="G215" s="53">
        <v>5</v>
      </c>
      <c r="H215" t="s">
        <v>133</v>
      </c>
      <c r="I215">
        <v>4</v>
      </c>
      <c r="J215" s="59">
        <f t="shared" si="3"/>
        <v>5</v>
      </c>
    </row>
    <row r="216" spans="1:10">
      <c r="A216" s="43">
        <v>42482</v>
      </c>
      <c r="B216">
        <v>2014</v>
      </c>
      <c r="C216">
        <v>1714</v>
      </c>
      <c r="D216">
        <v>215</v>
      </c>
      <c r="E216">
        <v>8200</v>
      </c>
      <c r="F216" t="s">
        <v>59</v>
      </c>
      <c r="G216" s="53">
        <v>5</v>
      </c>
      <c r="H216" t="s">
        <v>133</v>
      </c>
      <c r="I216">
        <v>5</v>
      </c>
      <c r="J216" s="59">
        <f t="shared" si="3"/>
        <v>5</v>
      </c>
    </row>
    <row r="217" spans="1:10">
      <c r="A217" s="43">
        <v>43600</v>
      </c>
      <c r="B217">
        <v>2015</v>
      </c>
      <c r="C217">
        <v>1714</v>
      </c>
      <c r="D217">
        <v>216</v>
      </c>
      <c r="E217">
        <v>10500</v>
      </c>
      <c r="F217" t="s">
        <v>59</v>
      </c>
      <c r="G217" s="53">
        <v>6</v>
      </c>
      <c r="H217" t="s">
        <v>133</v>
      </c>
      <c r="I217">
        <v>4</v>
      </c>
      <c r="J217" s="59">
        <f t="shared" si="3"/>
        <v>6</v>
      </c>
    </row>
    <row r="218" spans="1:10">
      <c r="A218" s="43">
        <v>43581</v>
      </c>
      <c r="B218">
        <v>2014</v>
      </c>
      <c r="C218">
        <v>1714</v>
      </c>
      <c r="D218">
        <v>217</v>
      </c>
      <c r="E218">
        <v>10500</v>
      </c>
      <c r="F218" t="s">
        <v>59</v>
      </c>
      <c r="G218" s="53">
        <v>6</v>
      </c>
      <c r="H218" t="s">
        <v>133</v>
      </c>
      <c r="I218">
        <v>5</v>
      </c>
      <c r="J218" s="59">
        <f t="shared" si="3"/>
        <v>6</v>
      </c>
    </row>
    <row r="219" spans="1:10">
      <c r="A219" s="43">
        <v>43581</v>
      </c>
      <c r="B219">
        <v>2013</v>
      </c>
      <c r="C219">
        <v>1714</v>
      </c>
      <c r="D219">
        <v>218</v>
      </c>
      <c r="E219">
        <v>10500</v>
      </c>
      <c r="F219" t="s">
        <v>59</v>
      </c>
      <c r="G219" s="53">
        <v>6</v>
      </c>
      <c r="H219" t="s">
        <v>133</v>
      </c>
      <c r="I219">
        <v>6</v>
      </c>
      <c r="J219" s="59">
        <f t="shared" si="3"/>
        <v>6</v>
      </c>
    </row>
    <row r="220" spans="1:10">
      <c r="A220" s="43">
        <v>43419</v>
      </c>
      <c r="B220">
        <v>2013</v>
      </c>
      <c r="C220">
        <v>1714</v>
      </c>
      <c r="D220">
        <v>219</v>
      </c>
      <c r="E220">
        <v>10850</v>
      </c>
      <c r="F220" t="s">
        <v>59</v>
      </c>
      <c r="G220" s="53">
        <v>6</v>
      </c>
      <c r="H220" t="s">
        <v>133</v>
      </c>
      <c r="I220">
        <v>6</v>
      </c>
      <c r="J220" s="59">
        <f t="shared" si="3"/>
        <v>6</v>
      </c>
    </row>
    <row r="221" spans="1:10">
      <c r="A221" s="43">
        <v>43409</v>
      </c>
      <c r="B221">
        <v>2014</v>
      </c>
      <c r="C221">
        <v>1714</v>
      </c>
      <c r="D221">
        <v>220</v>
      </c>
      <c r="E221">
        <v>11250</v>
      </c>
      <c r="F221" t="s">
        <v>59</v>
      </c>
      <c r="G221" s="53">
        <v>6</v>
      </c>
      <c r="H221" t="s">
        <v>133</v>
      </c>
      <c r="I221">
        <v>5</v>
      </c>
      <c r="J221" s="59">
        <f t="shared" si="3"/>
        <v>6</v>
      </c>
    </row>
    <row r="222" spans="1:10">
      <c r="A222" s="43">
        <v>43271</v>
      </c>
      <c r="B222">
        <v>2015</v>
      </c>
      <c r="C222">
        <v>1714</v>
      </c>
      <c r="D222">
        <v>221</v>
      </c>
      <c r="E222">
        <v>13250</v>
      </c>
      <c r="F222" t="s">
        <v>59</v>
      </c>
      <c r="G222" s="53">
        <v>6</v>
      </c>
      <c r="H222" t="s">
        <v>133</v>
      </c>
      <c r="I222">
        <v>4</v>
      </c>
      <c r="J222" s="59">
        <f t="shared" si="3"/>
        <v>6</v>
      </c>
    </row>
    <row r="223" spans="1:10">
      <c r="A223" s="43">
        <v>43234</v>
      </c>
      <c r="B223">
        <v>2014</v>
      </c>
      <c r="C223">
        <v>1714</v>
      </c>
      <c r="D223">
        <v>222</v>
      </c>
      <c r="E223">
        <v>13200</v>
      </c>
      <c r="F223" t="s">
        <v>59</v>
      </c>
      <c r="G223" s="53">
        <v>6</v>
      </c>
      <c r="H223" t="s">
        <v>133</v>
      </c>
      <c r="I223">
        <v>5</v>
      </c>
      <c r="J223" s="59">
        <f t="shared" si="3"/>
        <v>6</v>
      </c>
    </row>
    <row r="224" spans="1:10">
      <c r="A224" s="43">
        <v>43214</v>
      </c>
      <c r="B224">
        <v>2014</v>
      </c>
      <c r="C224">
        <v>1714</v>
      </c>
      <c r="D224">
        <v>223</v>
      </c>
      <c r="E224">
        <v>13250</v>
      </c>
      <c r="F224" t="s">
        <v>59</v>
      </c>
      <c r="G224" s="53">
        <v>6</v>
      </c>
      <c r="H224" t="s">
        <v>133</v>
      </c>
      <c r="I224">
        <v>5</v>
      </c>
      <c r="J224" s="59">
        <f t="shared" si="3"/>
        <v>6</v>
      </c>
    </row>
    <row r="225" spans="1:10">
      <c r="A225" s="43">
        <v>43138</v>
      </c>
      <c r="B225">
        <v>2014</v>
      </c>
      <c r="C225">
        <v>1714</v>
      </c>
      <c r="D225">
        <v>224</v>
      </c>
      <c r="E225">
        <v>11500</v>
      </c>
      <c r="F225" t="s">
        <v>59</v>
      </c>
      <c r="G225" s="53">
        <v>6</v>
      </c>
      <c r="H225" t="s">
        <v>133</v>
      </c>
      <c r="I225">
        <v>5</v>
      </c>
      <c r="J225" s="59">
        <f t="shared" si="3"/>
        <v>6</v>
      </c>
    </row>
    <row r="226" spans="1:10">
      <c r="A226" s="43">
        <v>43062</v>
      </c>
      <c r="B226">
        <v>2012</v>
      </c>
      <c r="C226">
        <v>1714</v>
      </c>
      <c r="D226">
        <v>225</v>
      </c>
      <c r="E226">
        <v>10000</v>
      </c>
      <c r="F226" t="s">
        <v>59</v>
      </c>
      <c r="G226" s="53">
        <v>6</v>
      </c>
      <c r="H226" t="s">
        <v>133</v>
      </c>
      <c r="I226">
        <v>7</v>
      </c>
      <c r="J226" s="59">
        <f t="shared" si="3"/>
        <v>6</v>
      </c>
    </row>
    <row r="227" spans="1:10">
      <c r="A227" s="43">
        <v>43054</v>
      </c>
      <c r="B227">
        <v>2015</v>
      </c>
      <c r="C227">
        <v>1714</v>
      </c>
      <c r="D227">
        <v>226</v>
      </c>
      <c r="E227">
        <v>10250</v>
      </c>
      <c r="F227" t="s">
        <v>59</v>
      </c>
      <c r="G227" s="53">
        <v>6</v>
      </c>
      <c r="H227" t="s">
        <v>133</v>
      </c>
      <c r="I227">
        <v>4</v>
      </c>
      <c r="J227" s="59">
        <f t="shared" si="3"/>
        <v>6</v>
      </c>
    </row>
    <row r="228" spans="1:10">
      <c r="A228" s="43">
        <v>43052</v>
      </c>
      <c r="B228">
        <v>2014</v>
      </c>
      <c r="C228">
        <v>1714</v>
      </c>
      <c r="D228">
        <v>227</v>
      </c>
      <c r="E228">
        <v>10300</v>
      </c>
      <c r="F228" t="s">
        <v>59</v>
      </c>
      <c r="G228" s="53">
        <v>6</v>
      </c>
      <c r="H228" t="s">
        <v>133</v>
      </c>
      <c r="I228">
        <v>5</v>
      </c>
      <c r="J228" s="59">
        <f t="shared" si="3"/>
        <v>6</v>
      </c>
    </row>
    <row r="229" spans="1:10">
      <c r="A229" s="43">
        <v>43024</v>
      </c>
      <c r="B229">
        <v>2014</v>
      </c>
      <c r="C229">
        <v>1714</v>
      </c>
      <c r="D229">
        <v>228</v>
      </c>
      <c r="E229">
        <v>10000</v>
      </c>
      <c r="F229" t="s">
        <v>59</v>
      </c>
      <c r="G229" s="53">
        <v>6</v>
      </c>
      <c r="H229" t="s">
        <v>133</v>
      </c>
      <c r="I229">
        <v>5</v>
      </c>
      <c r="J229" s="59">
        <f t="shared" si="3"/>
        <v>6</v>
      </c>
    </row>
    <row r="230" spans="1:10">
      <c r="A230" s="43">
        <v>43024</v>
      </c>
      <c r="B230">
        <v>2014</v>
      </c>
      <c r="C230">
        <v>1714</v>
      </c>
      <c r="D230">
        <v>229</v>
      </c>
      <c r="E230">
        <v>10000</v>
      </c>
      <c r="F230" t="s">
        <v>59</v>
      </c>
      <c r="G230" s="53">
        <v>6</v>
      </c>
      <c r="H230" t="s">
        <v>133</v>
      </c>
      <c r="I230">
        <v>5</v>
      </c>
      <c r="J230" s="59">
        <f t="shared" si="3"/>
        <v>6</v>
      </c>
    </row>
    <row r="231" spans="1:10">
      <c r="A231" s="43">
        <v>42857</v>
      </c>
      <c r="B231">
        <v>2014</v>
      </c>
      <c r="C231">
        <v>1714</v>
      </c>
      <c r="D231">
        <v>230</v>
      </c>
      <c r="E231">
        <v>8600</v>
      </c>
      <c r="F231" t="s">
        <v>59</v>
      </c>
      <c r="G231" s="53">
        <v>6</v>
      </c>
      <c r="H231" t="s">
        <v>133</v>
      </c>
      <c r="I231">
        <v>5</v>
      </c>
      <c r="J231" s="59">
        <f t="shared" si="3"/>
        <v>6</v>
      </c>
    </row>
    <row r="232" spans="1:10">
      <c r="A232" s="43">
        <v>42676</v>
      </c>
      <c r="B232">
        <v>2014</v>
      </c>
      <c r="C232">
        <v>1714</v>
      </c>
      <c r="D232">
        <v>231</v>
      </c>
      <c r="E232">
        <v>7750</v>
      </c>
      <c r="F232" t="s">
        <v>59</v>
      </c>
      <c r="G232" s="53">
        <v>6</v>
      </c>
      <c r="H232" t="s">
        <v>133</v>
      </c>
      <c r="I232">
        <v>5</v>
      </c>
      <c r="J232" s="59">
        <f t="shared" si="3"/>
        <v>6</v>
      </c>
    </row>
    <row r="233" spans="1:10">
      <c r="A233" s="43">
        <v>42674</v>
      </c>
      <c r="B233">
        <v>2014</v>
      </c>
      <c r="C233">
        <v>1714</v>
      </c>
      <c r="D233">
        <v>232</v>
      </c>
      <c r="E233">
        <v>7750</v>
      </c>
      <c r="F233" t="s">
        <v>59</v>
      </c>
      <c r="G233" s="53">
        <v>6</v>
      </c>
      <c r="H233" t="s">
        <v>133</v>
      </c>
      <c r="I233">
        <v>5</v>
      </c>
      <c r="J233" s="59">
        <f t="shared" si="3"/>
        <v>6</v>
      </c>
    </row>
    <row r="234" spans="1:10">
      <c r="A234" s="43">
        <v>42502</v>
      </c>
      <c r="B234">
        <v>2013</v>
      </c>
      <c r="C234">
        <v>1714</v>
      </c>
      <c r="D234">
        <v>233</v>
      </c>
      <c r="E234">
        <v>8250</v>
      </c>
      <c r="F234" t="s">
        <v>59</v>
      </c>
      <c r="G234" s="53">
        <v>6</v>
      </c>
      <c r="H234" t="s">
        <v>133</v>
      </c>
      <c r="I234">
        <v>6</v>
      </c>
      <c r="J234" s="59">
        <f t="shared" si="3"/>
        <v>6</v>
      </c>
    </row>
    <row r="235" spans="1:10">
      <c r="A235" s="43">
        <v>43607</v>
      </c>
      <c r="B235">
        <v>2017</v>
      </c>
      <c r="C235">
        <v>1714</v>
      </c>
      <c r="D235">
        <v>234</v>
      </c>
      <c r="E235">
        <v>10500</v>
      </c>
      <c r="F235" t="s">
        <v>59</v>
      </c>
      <c r="G235" s="53">
        <v>7</v>
      </c>
      <c r="H235" t="s">
        <v>133</v>
      </c>
      <c r="I235">
        <v>2</v>
      </c>
      <c r="J235" s="59">
        <f t="shared" si="3"/>
        <v>7</v>
      </c>
    </row>
    <row r="236" spans="1:10">
      <c r="A236" s="43">
        <v>43266</v>
      </c>
      <c r="B236">
        <v>2015</v>
      </c>
      <c r="C236">
        <v>1714</v>
      </c>
      <c r="D236">
        <v>235</v>
      </c>
      <c r="E236">
        <v>13250</v>
      </c>
      <c r="F236" t="s">
        <v>59</v>
      </c>
      <c r="G236" s="53">
        <v>7</v>
      </c>
      <c r="H236" t="s">
        <v>133</v>
      </c>
      <c r="I236">
        <v>4</v>
      </c>
      <c r="J236" s="59">
        <f t="shared" si="3"/>
        <v>7</v>
      </c>
    </row>
    <row r="237" spans="1:10">
      <c r="A237" s="43">
        <v>43013</v>
      </c>
      <c r="B237">
        <v>2013</v>
      </c>
      <c r="C237">
        <v>1714</v>
      </c>
      <c r="D237">
        <v>236</v>
      </c>
      <c r="E237">
        <v>9400</v>
      </c>
      <c r="F237" t="s">
        <v>59</v>
      </c>
      <c r="G237" s="53">
        <v>7</v>
      </c>
      <c r="H237" t="s">
        <v>133</v>
      </c>
      <c r="I237">
        <v>6</v>
      </c>
      <c r="J237" s="59">
        <f t="shared" si="3"/>
        <v>7</v>
      </c>
    </row>
    <row r="238" spans="1:10">
      <c r="A238" s="43">
        <v>42682</v>
      </c>
      <c r="B238">
        <v>2015</v>
      </c>
      <c r="C238">
        <v>1714</v>
      </c>
      <c r="D238">
        <v>237</v>
      </c>
      <c r="E238">
        <v>7750</v>
      </c>
      <c r="F238" t="s">
        <v>59</v>
      </c>
      <c r="G238" s="53">
        <v>7</v>
      </c>
      <c r="H238" t="s">
        <v>133</v>
      </c>
      <c r="I238">
        <v>4</v>
      </c>
      <c r="J238" s="59">
        <f t="shared" si="3"/>
        <v>7</v>
      </c>
    </row>
    <row r="239" spans="1:10">
      <c r="A239" s="43">
        <v>43458</v>
      </c>
      <c r="B239">
        <v>2015</v>
      </c>
      <c r="C239">
        <v>1714</v>
      </c>
      <c r="D239">
        <v>238</v>
      </c>
      <c r="E239">
        <v>10850</v>
      </c>
      <c r="F239" t="s">
        <v>59</v>
      </c>
      <c r="G239" s="53">
        <v>8</v>
      </c>
      <c r="H239" t="s">
        <v>133</v>
      </c>
      <c r="I239">
        <v>4</v>
      </c>
      <c r="J239" s="59">
        <f t="shared" si="3"/>
        <v>8</v>
      </c>
    </row>
    <row r="240" spans="1:10">
      <c r="A240" s="43">
        <v>43344</v>
      </c>
      <c r="B240">
        <v>2012</v>
      </c>
      <c r="C240">
        <v>1714</v>
      </c>
      <c r="D240">
        <v>239</v>
      </c>
      <c r="E240">
        <v>11500</v>
      </c>
      <c r="F240" t="s">
        <v>59</v>
      </c>
      <c r="G240" s="53">
        <v>8</v>
      </c>
      <c r="H240" t="s">
        <v>133</v>
      </c>
      <c r="I240">
        <v>7</v>
      </c>
      <c r="J240" s="59">
        <f t="shared" si="3"/>
        <v>8</v>
      </c>
    </row>
    <row r="241" spans="1:10">
      <c r="A241" s="43">
        <v>43040</v>
      </c>
      <c r="B241">
        <v>2013</v>
      </c>
      <c r="C241">
        <v>1714</v>
      </c>
      <c r="D241">
        <v>240</v>
      </c>
      <c r="E241">
        <v>9800</v>
      </c>
      <c r="F241" t="s">
        <v>59</v>
      </c>
      <c r="G241" s="53">
        <v>8</v>
      </c>
      <c r="H241" t="s">
        <v>133</v>
      </c>
      <c r="I241">
        <v>6</v>
      </c>
      <c r="J241" s="59">
        <f t="shared" si="3"/>
        <v>8</v>
      </c>
    </row>
    <row r="242" spans="1:10">
      <c r="A242" s="43">
        <v>42697</v>
      </c>
      <c r="B242">
        <v>2013</v>
      </c>
      <c r="C242">
        <v>1714</v>
      </c>
      <c r="D242">
        <v>241</v>
      </c>
      <c r="E242">
        <v>7700</v>
      </c>
      <c r="F242" t="s">
        <v>59</v>
      </c>
      <c r="G242" s="53">
        <v>8</v>
      </c>
      <c r="H242" t="s">
        <v>133</v>
      </c>
      <c r="I242">
        <v>6</v>
      </c>
      <c r="J242" s="59">
        <f t="shared" si="3"/>
        <v>8</v>
      </c>
    </row>
    <row r="243" spans="1:10">
      <c r="A243" s="43">
        <v>42644</v>
      </c>
      <c r="B243">
        <v>2014</v>
      </c>
      <c r="C243">
        <v>1714</v>
      </c>
      <c r="D243">
        <v>242</v>
      </c>
      <c r="E243">
        <v>8150</v>
      </c>
      <c r="F243" t="s">
        <v>59</v>
      </c>
      <c r="G243" s="53">
        <v>8</v>
      </c>
      <c r="H243" t="s">
        <v>133</v>
      </c>
      <c r="I243">
        <v>5</v>
      </c>
      <c r="J243" s="59">
        <f t="shared" si="3"/>
        <v>8</v>
      </c>
    </row>
    <row r="244" spans="1:10">
      <c r="A244" s="43">
        <v>43493</v>
      </c>
      <c r="B244">
        <v>2018</v>
      </c>
      <c r="C244">
        <v>1714</v>
      </c>
      <c r="D244">
        <v>243</v>
      </c>
      <c r="E244">
        <v>9950</v>
      </c>
      <c r="F244" t="s">
        <v>59</v>
      </c>
      <c r="G244" s="53">
        <v>9</v>
      </c>
      <c r="H244" t="s">
        <v>133</v>
      </c>
      <c r="I244">
        <v>1</v>
      </c>
      <c r="J244" s="59">
        <f t="shared" si="3"/>
        <v>9</v>
      </c>
    </row>
    <row r="245" spans="1:10">
      <c r="A245" s="43">
        <v>43049</v>
      </c>
      <c r="B245">
        <v>2017</v>
      </c>
      <c r="C245">
        <v>1714</v>
      </c>
      <c r="D245">
        <v>244</v>
      </c>
      <c r="E245">
        <v>9950</v>
      </c>
      <c r="F245" t="s">
        <v>59</v>
      </c>
      <c r="G245" s="53">
        <v>9</v>
      </c>
      <c r="H245" t="s">
        <v>133</v>
      </c>
      <c r="I245">
        <v>2</v>
      </c>
      <c r="J245" s="59">
        <f t="shared" si="3"/>
        <v>9</v>
      </c>
    </row>
    <row r="246" spans="1:10">
      <c r="A246" s="43">
        <v>42499</v>
      </c>
      <c r="B246">
        <v>2014</v>
      </c>
      <c r="C246">
        <v>1730</v>
      </c>
      <c r="D246">
        <v>245</v>
      </c>
      <c r="E246">
        <v>8700</v>
      </c>
      <c r="F246" t="s">
        <v>59</v>
      </c>
      <c r="G246" s="53">
        <v>1</v>
      </c>
      <c r="H246" t="s">
        <v>133</v>
      </c>
      <c r="I246">
        <v>5</v>
      </c>
      <c r="J246" s="59">
        <f t="shared" si="3"/>
        <v>1</v>
      </c>
    </row>
    <row r="247" spans="1:10">
      <c r="A247" s="43">
        <v>43238</v>
      </c>
      <c r="B247">
        <v>2014</v>
      </c>
      <c r="C247">
        <v>1730</v>
      </c>
      <c r="D247">
        <v>246</v>
      </c>
      <c r="E247">
        <v>14000</v>
      </c>
      <c r="F247" t="s">
        <v>59</v>
      </c>
      <c r="G247" s="53">
        <v>10</v>
      </c>
      <c r="H247" t="s">
        <v>133</v>
      </c>
      <c r="I247">
        <v>5</v>
      </c>
      <c r="J247" s="59">
        <f t="shared" si="3"/>
        <v>10</v>
      </c>
    </row>
    <row r="248" spans="1:10">
      <c r="A248" s="43">
        <v>42873</v>
      </c>
      <c r="B248">
        <v>2014</v>
      </c>
      <c r="C248">
        <v>1730</v>
      </c>
      <c r="D248">
        <v>247</v>
      </c>
      <c r="E248">
        <v>9100</v>
      </c>
      <c r="F248" t="s">
        <v>59</v>
      </c>
      <c r="G248" s="53">
        <v>10</v>
      </c>
      <c r="H248" t="s">
        <v>133</v>
      </c>
      <c r="I248">
        <v>5</v>
      </c>
      <c r="J248" s="59">
        <f t="shared" si="3"/>
        <v>10</v>
      </c>
    </row>
    <row r="249" spans="1:10">
      <c r="A249" s="43">
        <v>42566</v>
      </c>
      <c r="B249">
        <v>2014</v>
      </c>
      <c r="C249">
        <v>1730</v>
      </c>
      <c r="D249">
        <v>248</v>
      </c>
      <c r="E249">
        <v>8650</v>
      </c>
      <c r="F249" t="s">
        <v>59</v>
      </c>
      <c r="G249" s="53">
        <v>10</v>
      </c>
      <c r="H249" t="s">
        <v>133</v>
      </c>
      <c r="I249">
        <v>5</v>
      </c>
      <c r="J249" s="59">
        <f t="shared" si="3"/>
        <v>10</v>
      </c>
    </row>
    <row r="250" spans="1:10">
      <c r="A250" s="43">
        <v>42423</v>
      </c>
      <c r="B250">
        <v>2014</v>
      </c>
      <c r="C250">
        <v>1730</v>
      </c>
      <c r="D250">
        <v>249</v>
      </c>
      <c r="E250">
        <v>8500</v>
      </c>
      <c r="F250" t="s">
        <v>59</v>
      </c>
      <c r="G250" s="53">
        <v>10</v>
      </c>
      <c r="H250" t="s">
        <v>133</v>
      </c>
      <c r="I250">
        <v>5</v>
      </c>
      <c r="J250" s="59">
        <f t="shared" si="3"/>
        <v>10</v>
      </c>
    </row>
    <row r="251" spans="1:10">
      <c r="A251" s="43">
        <v>42418</v>
      </c>
      <c r="B251">
        <v>2014</v>
      </c>
      <c r="C251">
        <v>1730</v>
      </c>
      <c r="D251">
        <v>250</v>
      </c>
      <c r="E251">
        <v>8500</v>
      </c>
      <c r="F251" t="s">
        <v>59</v>
      </c>
      <c r="G251" s="53">
        <v>10</v>
      </c>
      <c r="H251" t="s">
        <v>133</v>
      </c>
      <c r="I251">
        <v>5</v>
      </c>
      <c r="J251" s="59">
        <f t="shared" si="3"/>
        <v>10</v>
      </c>
    </row>
    <row r="252" spans="1:10">
      <c r="A252" s="43">
        <v>43383</v>
      </c>
      <c r="B252">
        <v>2014</v>
      </c>
      <c r="C252">
        <v>1730</v>
      </c>
      <c r="D252">
        <v>251</v>
      </c>
      <c r="E252">
        <v>11850</v>
      </c>
      <c r="F252" t="s">
        <v>59</v>
      </c>
      <c r="G252" s="53">
        <v>12</v>
      </c>
      <c r="H252" t="s">
        <v>133</v>
      </c>
      <c r="I252">
        <v>5</v>
      </c>
      <c r="J252" s="59">
        <f t="shared" si="3"/>
        <v>12</v>
      </c>
    </row>
    <row r="253" spans="1:10">
      <c r="A253" s="43">
        <v>43266</v>
      </c>
      <c r="B253">
        <v>2015</v>
      </c>
      <c r="C253">
        <v>1730</v>
      </c>
      <c r="D253">
        <v>252</v>
      </c>
      <c r="E253">
        <v>14150</v>
      </c>
      <c r="F253" t="s">
        <v>59</v>
      </c>
      <c r="G253" s="53">
        <v>12</v>
      </c>
      <c r="H253" t="s">
        <v>133</v>
      </c>
      <c r="I253">
        <v>4</v>
      </c>
      <c r="J253" s="59">
        <f t="shared" si="3"/>
        <v>12</v>
      </c>
    </row>
    <row r="254" spans="1:10">
      <c r="A254" s="43">
        <v>43102</v>
      </c>
      <c r="B254">
        <v>2016</v>
      </c>
      <c r="C254">
        <v>1730</v>
      </c>
      <c r="D254">
        <v>253</v>
      </c>
      <c r="E254">
        <v>10600</v>
      </c>
      <c r="F254" t="s">
        <v>59</v>
      </c>
      <c r="G254" s="53">
        <v>12</v>
      </c>
      <c r="H254" t="s">
        <v>133</v>
      </c>
      <c r="I254">
        <v>3</v>
      </c>
      <c r="J254" s="59">
        <f t="shared" si="3"/>
        <v>12</v>
      </c>
    </row>
    <row r="255" spans="1:10">
      <c r="A255" s="43">
        <v>42940</v>
      </c>
      <c r="B255">
        <v>2014</v>
      </c>
      <c r="C255">
        <v>1730</v>
      </c>
      <c r="D255">
        <v>254</v>
      </c>
      <c r="E255">
        <v>9000</v>
      </c>
      <c r="F255" t="s">
        <v>59</v>
      </c>
      <c r="G255" s="53">
        <v>12</v>
      </c>
      <c r="H255" t="s">
        <v>133</v>
      </c>
      <c r="I255">
        <v>5</v>
      </c>
      <c r="J255" s="59">
        <f t="shared" si="3"/>
        <v>12</v>
      </c>
    </row>
    <row r="256" spans="1:10">
      <c r="A256" s="43">
        <v>42870</v>
      </c>
      <c r="B256">
        <v>2014</v>
      </c>
      <c r="C256">
        <v>1730</v>
      </c>
      <c r="D256">
        <v>255</v>
      </c>
      <c r="E256">
        <v>10250</v>
      </c>
      <c r="F256" t="s">
        <v>59</v>
      </c>
      <c r="G256" s="53">
        <v>12</v>
      </c>
      <c r="H256" t="s">
        <v>133</v>
      </c>
      <c r="I256">
        <v>5</v>
      </c>
      <c r="J256" s="59">
        <f t="shared" si="3"/>
        <v>12</v>
      </c>
    </row>
    <row r="257" spans="1:10">
      <c r="A257" s="43">
        <v>42860</v>
      </c>
      <c r="B257">
        <v>2014</v>
      </c>
      <c r="C257">
        <v>1730</v>
      </c>
      <c r="D257">
        <v>256</v>
      </c>
      <c r="E257">
        <v>9000</v>
      </c>
      <c r="F257" t="s">
        <v>59</v>
      </c>
      <c r="G257" s="53">
        <v>12</v>
      </c>
      <c r="H257" t="s">
        <v>133</v>
      </c>
      <c r="I257">
        <v>5</v>
      </c>
      <c r="J257" s="59">
        <f t="shared" si="3"/>
        <v>12</v>
      </c>
    </row>
    <row r="258" spans="1:10">
      <c r="A258" s="43">
        <v>42382</v>
      </c>
      <c r="B258">
        <v>2015</v>
      </c>
      <c r="C258">
        <v>1730</v>
      </c>
      <c r="D258">
        <v>257</v>
      </c>
      <c r="E258">
        <v>9900</v>
      </c>
      <c r="F258" t="s">
        <v>59</v>
      </c>
      <c r="G258" s="53">
        <v>12</v>
      </c>
      <c r="H258" t="s">
        <v>133</v>
      </c>
      <c r="I258">
        <v>4</v>
      </c>
      <c r="J258" s="59">
        <f t="shared" ref="J258:J321" si="4">IF(H258="days",ROUND(G258/30,0),IF(H258="years",G258*12,G258))</f>
        <v>12</v>
      </c>
    </row>
    <row r="259" spans="1:10">
      <c r="A259" s="43">
        <v>42376</v>
      </c>
      <c r="B259">
        <v>2014</v>
      </c>
      <c r="C259">
        <v>1730</v>
      </c>
      <c r="D259">
        <v>258</v>
      </c>
      <c r="E259">
        <v>9750</v>
      </c>
      <c r="F259" t="s">
        <v>59</v>
      </c>
      <c r="G259" s="53">
        <v>12</v>
      </c>
      <c r="H259" t="s">
        <v>133</v>
      </c>
      <c r="I259">
        <v>5</v>
      </c>
      <c r="J259" s="59">
        <f t="shared" si="4"/>
        <v>12</v>
      </c>
    </row>
    <row r="260" spans="1:10">
      <c r="A260" s="43">
        <v>42891</v>
      </c>
      <c r="B260">
        <v>2014</v>
      </c>
      <c r="C260">
        <v>1730</v>
      </c>
      <c r="D260">
        <v>259</v>
      </c>
      <c r="E260">
        <v>10250</v>
      </c>
      <c r="F260" t="s">
        <v>59</v>
      </c>
      <c r="G260" s="53">
        <v>13</v>
      </c>
      <c r="H260" t="s">
        <v>133</v>
      </c>
      <c r="I260">
        <v>5</v>
      </c>
      <c r="J260" s="59">
        <f t="shared" si="4"/>
        <v>13</v>
      </c>
    </row>
    <row r="261" spans="1:10">
      <c r="A261" s="43">
        <v>42563</v>
      </c>
      <c r="B261">
        <v>2014</v>
      </c>
      <c r="C261">
        <v>1730</v>
      </c>
      <c r="D261">
        <v>260</v>
      </c>
      <c r="E261">
        <v>10500</v>
      </c>
      <c r="F261" t="s">
        <v>59</v>
      </c>
      <c r="G261" s="53">
        <v>13</v>
      </c>
      <c r="H261" t="s">
        <v>133</v>
      </c>
      <c r="I261">
        <v>5</v>
      </c>
      <c r="J261" s="59">
        <f t="shared" si="4"/>
        <v>13</v>
      </c>
    </row>
    <row r="262" spans="1:10">
      <c r="A262" s="43">
        <v>42563</v>
      </c>
      <c r="B262">
        <v>2014</v>
      </c>
      <c r="C262">
        <v>1730</v>
      </c>
      <c r="D262">
        <v>261</v>
      </c>
      <c r="E262">
        <v>10500</v>
      </c>
      <c r="F262" t="s">
        <v>59</v>
      </c>
      <c r="G262" s="53">
        <v>13</v>
      </c>
      <c r="H262" t="s">
        <v>133</v>
      </c>
      <c r="I262">
        <v>5</v>
      </c>
      <c r="J262" s="59">
        <f t="shared" si="4"/>
        <v>13</v>
      </c>
    </row>
    <row r="263" spans="1:10">
      <c r="A263" s="43">
        <v>43165</v>
      </c>
      <c r="B263">
        <v>2014</v>
      </c>
      <c r="C263">
        <v>1730</v>
      </c>
      <c r="D263">
        <v>262</v>
      </c>
      <c r="E263">
        <v>13200</v>
      </c>
      <c r="F263" t="s">
        <v>59</v>
      </c>
      <c r="G263" s="53">
        <v>14</v>
      </c>
      <c r="H263" t="s">
        <v>133</v>
      </c>
      <c r="I263">
        <v>5</v>
      </c>
      <c r="J263" s="59">
        <f t="shared" si="4"/>
        <v>14</v>
      </c>
    </row>
    <row r="264" spans="1:10">
      <c r="A264" s="43">
        <v>43122</v>
      </c>
      <c r="B264">
        <v>2018</v>
      </c>
      <c r="C264">
        <v>1730</v>
      </c>
      <c r="D264">
        <v>263</v>
      </c>
      <c r="E264">
        <v>11000</v>
      </c>
      <c r="F264" t="s">
        <v>59</v>
      </c>
      <c r="G264" s="53">
        <v>14</v>
      </c>
      <c r="H264" t="s">
        <v>133</v>
      </c>
      <c r="I264">
        <v>1</v>
      </c>
      <c r="J264" s="59">
        <f t="shared" si="4"/>
        <v>14</v>
      </c>
    </row>
    <row r="265" spans="1:10">
      <c r="A265" s="43">
        <v>43258</v>
      </c>
      <c r="B265">
        <v>2014</v>
      </c>
      <c r="C265">
        <v>1730</v>
      </c>
      <c r="D265">
        <v>264</v>
      </c>
      <c r="E265">
        <v>14000</v>
      </c>
      <c r="F265" t="s">
        <v>59</v>
      </c>
      <c r="G265" s="53">
        <v>15</v>
      </c>
      <c r="H265" t="s">
        <v>133</v>
      </c>
      <c r="I265">
        <v>5</v>
      </c>
      <c r="J265" s="59">
        <f t="shared" si="4"/>
        <v>15</v>
      </c>
    </row>
    <row r="266" spans="1:10">
      <c r="A266" s="43">
        <v>43083</v>
      </c>
      <c r="B266">
        <v>2016</v>
      </c>
      <c r="C266">
        <v>1730</v>
      </c>
      <c r="D266">
        <v>265</v>
      </c>
      <c r="E266">
        <v>10500</v>
      </c>
      <c r="F266" t="s">
        <v>59</v>
      </c>
      <c r="G266" s="53">
        <v>3</v>
      </c>
      <c r="H266" t="s">
        <v>133</v>
      </c>
      <c r="I266">
        <v>3</v>
      </c>
      <c r="J266" s="59">
        <f t="shared" si="4"/>
        <v>3</v>
      </c>
    </row>
    <row r="267" spans="1:10">
      <c r="A267" s="43">
        <v>42671</v>
      </c>
      <c r="B267">
        <v>2016</v>
      </c>
      <c r="C267">
        <v>1730</v>
      </c>
      <c r="D267">
        <v>266</v>
      </c>
      <c r="E267">
        <v>8200</v>
      </c>
      <c r="F267" t="s">
        <v>59</v>
      </c>
      <c r="G267" s="53">
        <v>3</v>
      </c>
      <c r="H267" t="s">
        <v>133</v>
      </c>
      <c r="I267">
        <v>3</v>
      </c>
      <c r="J267" s="59">
        <f t="shared" si="4"/>
        <v>3</v>
      </c>
    </row>
    <row r="268" spans="1:10">
      <c r="A268" s="43">
        <v>42779</v>
      </c>
      <c r="B268">
        <v>2015</v>
      </c>
      <c r="C268">
        <v>1730</v>
      </c>
      <c r="D268">
        <v>267</v>
      </c>
      <c r="E268">
        <v>8900</v>
      </c>
      <c r="F268" t="s">
        <v>59</v>
      </c>
      <c r="G268" s="61">
        <v>30</v>
      </c>
      <c r="H268" t="s">
        <v>60</v>
      </c>
      <c r="I268">
        <v>4</v>
      </c>
      <c r="J268" s="59">
        <f t="shared" si="4"/>
        <v>1</v>
      </c>
    </row>
    <row r="269" spans="1:10">
      <c r="A269" s="43">
        <v>42583</v>
      </c>
      <c r="B269">
        <v>2015</v>
      </c>
      <c r="C269">
        <v>1730</v>
      </c>
      <c r="D269">
        <v>268</v>
      </c>
      <c r="E269">
        <v>8650</v>
      </c>
      <c r="F269" t="s">
        <v>59</v>
      </c>
      <c r="G269" s="61">
        <v>35</v>
      </c>
      <c r="H269" t="s">
        <v>60</v>
      </c>
      <c r="I269">
        <v>4</v>
      </c>
      <c r="J269" s="59">
        <f t="shared" si="4"/>
        <v>1</v>
      </c>
    </row>
    <row r="270" spans="1:10">
      <c r="A270" s="43">
        <v>43614</v>
      </c>
      <c r="B270">
        <v>2016</v>
      </c>
      <c r="C270">
        <v>1730</v>
      </c>
      <c r="D270">
        <v>269</v>
      </c>
      <c r="E270">
        <v>11250</v>
      </c>
      <c r="F270" t="s">
        <v>59</v>
      </c>
      <c r="G270" s="53">
        <v>4</v>
      </c>
      <c r="H270" t="s">
        <v>133</v>
      </c>
      <c r="I270">
        <v>3</v>
      </c>
      <c r="J270" s="59">
        <f t="shared" si="4"/>
        <v>4</v>
      </c>
    </row>
    <row r="271" spans="1:10">
      <c r="A271" s="43">
        <v>43501</v>
      </c>
      <c r="B271">
        <v>2014</v>
      </c>
      <c r="C271">
        <v>1730</v>
      </c>
      <c r="D271">
        <v>270</v>
      </c>
      <c r="E271">
        <v>11500</v>
      </c>
      <c r="F271" t="s">
        <v>59</v>
      </c>
      <c r="G271" s="53">
        <v>4</v>
      </c>
      <c r="H271" t="s">
        <v>133</v>
      </c>
      <c r="I271">
        <v>5</v>
      </c>
      <c r="J271" s="59">
        <f t="shared" si="4"/>
        <v>4</v>
      </c>
    </row>
    <row r="272" spans="1:10">
      <c r="A272" s="43">
        <v>43486</v>
      </c>
      <c r="B272">
        <v>2016</v>
      </c>
      <c r="C272">
        <v>1730</v>
      </c>
      <c r="D272">
        <v>271</v>
      </c>
      <c r="E272">
        <v>10800</v>
      </c>
      <c r="F272" t="s">
        <v>59</v>
      </c>
      <c r="G272" s="53">
        <v>4</v>
      </c>
      <c r="H272" t="s">
        <v>133</v>
      </c>
      <c r="I272">
        <v>3</v>
      </c>
      <c r="J272" s="59">
        <f t="shared" si="4"/>
        <v>4</v>
      </c>
    </row>
    <row r="273" spans="1:10">
      <c r="A273" s="43">
        <v>43124</v>
      </c>
      <c r="B273">
        <v>2016</v>
      </c>
      <c r="C273">
        <v>1730</v>
      </c>
      <c r="D273">
        <v>272</v>
      </c>
      <c r="E273">
        <v>11500</v>
      </c>
      <c r="F273" t="s">
        <v>59</v>
      </c>
      <c r="G273" s="53">
        <v>4</v>
      </c>
      <c r="H273" t="s">
        <v>133</v>
      </c>
      <c r="I273">
        <v>3</v>
      </c>
      <c r="J273" s="59">
        <f t="shared" si="4"/>
        <v>4</v>
      </c>
    </row>
    <row r="274" spans="1:10">
      <c r="A274" s="43">
        <v>42944</v>
      </c>
      <c r="B274">
        <v>2016</v>
      </c>
      <c r="C274">
        <v>1730</v>
      </c>
      <c r="D274">
        <v>273</v>
      </c>
      <c r="E274">
        <v>9000</v>
      </c>
      <c r="F274" t="s">
        <v>59</v>
      </c>
      <c r="G274" s="53">
        <v>4</v>
      </c>
      <c r="H274" t="s">
        <v>133</v>
      </c>
      <c r="I274">
        <v>3</v>
      </c>
      <c r="J274" s="59">
        <f t="shared" si="4"/>
        <v>4</v>
      </c>
    </row>
    <row r="275" spans="1:10">
      <c r="A275" s="43">
        <v>42614</v>
      </c>
      <c r="B275">
        <v>2015</v>
      </c>
      <c r="C275">
        <v>1730</v>
      </c>
      <c r="D275">
        <v>274</v>
      </c>
      <c r="E275">
        <v>8500</v>
      </c>
      <c r="F275" t="s">
        <v>59</v>
      </c>
      <c r="G275" s="53">
        <v>4</v>
      </c>
      <c r="H275" t="s">
        <v>133</v>
      </c>
      <c r="I275">
        <v>4</v>
      </c>
      <c r="J275" s="59">
        <f t="shared" si="4"/>
        <v>4</v>
      </c>
    </row>
    <row r="276" spans="1:10">
      <c r="A276" s="43">
        <v>42415</v>
      </c>
      <c r="B276">
        <v>2016</v>
      </c>
      <c r="C276">
        <v>1730</v>
      </c>
      <c r="D276">
        <v>275</v>
      </c>
      <c r="E276">
        <v>8400</v>
      </c>
      <c r="F276" t="s">
        <v>59</v>
      </c>
      <c r="G276" s="53">
        <v>4</v>
      </c>
      <c r="H276" t="s">
        <v>133</v>
      </c>
      <c r="I276">
        <v>3</v>
      </c>
      <c r="J276" s="59">
        <f t="shared" si="4"/>
        <v>4</v>
      </c>
    </row>
    <row r="277" spans="1:10">
      <c r="A277" s="43">
        <v>43626</v>
      </c>
      <c r="B277">
        <v>2016</v>
      </c>
      <c r="C277">
        <v>1730</v>
      </c>
      <c r="D277">
        <v>276</v>
      </c>
      <c r="E277">
        <v>11300</v>
      </c>
      <c r="F277" t="s">
        <v>59</v>
      </c>
      <c r="G277" s="53">
        <v>5</v>
      </c>
      <c r="H277" t="s">
        <v>133</v>
      </c>
      <c r="I277">
        <v>3</v>
      </c>
      <c r="J277" s="59">
        <f t="shared" si="4"/>
        <v>5</v>
      </c>
    </row>
    <row r="278" spans="1:10">
      <c r="A278" s="43">
        <v>43479</v>
      </c>
      <c r="B278">
        <v>2016</v>
      </c>
      <c r="C278">
        <v>1730</v>
      </c>
      <c r="D278">
        <v>277</v>
      </c>
      <c r="E278">
        <v>10800</v>
      </c>
      <c r="F278" t="s">
        <v>59</v>
      </c>
      <c r="G278" s="53">
        <v>5</v>
      </c>
      <c r="H278" t="s">
        <v>133</v>
      </c>
      <c r="I278">
        <v>3</v>
      </c>
      <c r="J278" s="59">
        <f t="shared" si="4"/>
        <v>5</v>
      </c>
    </row>
    <row r="279" spans="1:10">
      <c r="A279" s="43">
        <v>43367</v>
      </c>
      <c r="B279">
        <v>2015</v>
      </c>
      <c r="C279">
        <v>1730</v>
      </c>
      <c r="D279">
        <v>278</v>
      </c>
      <c r="E279">
        <v>12000</v>
      </c>
      <c r="F279" t="s">
        <v>59</v>
      </c>
      <c r="G279" s="53">
        <v>5</v>
      </c>
      <c r="H279" t="s">
        <v>133</v>
      </c>
      <c r="I279">
        <v>4</v>
      </c>
      <c r="J279" s="59">
        <f t="shared" si="4"/>
        <v>5</v>
      </c>
    </row>
    <row r="280" spans="1:10">
      <c r="A280" s="43">
        <v>43011</v>
      </c>
      <c r="B280">
        <v>2016</v>
      </c>
      <c r="C280">
        <v>1730</v>
      </c>
      <c r="D280">
        <v>279</v>
      </c>
      <c r="E280">
        <v>9200</v>
      </c>
      <c r="F280" t="s">
        <v>59</v>
      </c>
      <c r="G280" s="53">
        <v>5</v>
      </c>
      <c r="H280" t="s">
        <v>133</v>
      </c>
      <c r="I280">
        <v>3</v>
      </c>
      <c r="J280" s="59">
        <f t="shared" si="4"/>
        <v>5</v>
      </c>
    </row>
    <row r="281" spans="1:10">
      <c r="A281" s="43">
        <v>42948</v>
      </c>
      <c r="B281">
        <v>2016</v>
      </c>
      <c r="C281">
        <v>1730</v>
      </c>
      <c r="D281">
        <v>280</v>
      </c>
      <c r="E281">
        <v>9100</v>
      </c>
      <c r="F281" t="s">
        <v>59</v>
      </c>
      <c r="G281" s="53">
        <v>5</v>
      </c>
      <c r="H281" t="s">
        <v>133</v>
      </c>
      <c r="I281">
        <v>3</v>
      </c>
      <c r="J281" s="59">
        <f t="shared" si="4"/>
        <v>5</v>
      </c>
    </row>
    <row r="282" spans="1:10">
      <c r="A282" s="43">
        <v>42795</v>
      </c>
      <c r="B282">
        <v>2014</v>
      </c>
      <c r="C282">
        <v>1730</v>
      </c>
      <c r="D282">
        <v>281</v>
      </c>
      <c r="E282">
        <v>8250</v>
      </c>
      <c r="F282" t="s">
        <v>59</v>
      </c>
      <c r="G282" s="53">
        <v>5</v>
      </c>
      <c r="H282" t="s">
        <v>133</v>
      </c>
      <c r="I282">
        <v>5</v>
      </c>
      <c r="J282" s="59">
        <f t="shared" si="4"/>
        <v>5</v>
      </c>
    </row>
    <row r="283" spans="1:10">
      <c r="A283" s="43">
        <v>42705</v>
      </c>
      <c r="B283">
        <v>2014</v>
      </c>
      <c r="C283">
        <v>1730</v>
      </c>
      <c r="D283">
        <v>282</v>
      </c>
      <c r="E283">
        <v>8250</v>
      </c>
      <c r="F283" t="s">
        <v>59</v>
      </c>
      <c r="G283" s="53">
        <v>5</v>
      </c>
      <c r="H283" t="s">
        <v>133</v>
      </c>
      <c r="I283">
        <v>5</v>
      </c>
      <c r="J283" s="59">
        <f t="shared" si="4"/>
        <v>5</v>
      </c>
    </row>
    <row r="284" spans="1:10">
      <c r="A284" s="43">
        <v>42675</v>
      </c>
      <c r="B284">
        <v>2016</v>
      </c>
      <c r="C284">
        <v>1730</v>
      </c>
      <c r="D284">
        <v>283</v>
      </c>
      <c r="E284">
        <v>8260</v>
      </c>
      <c r="F284" t="s">
        <v>59</v>
      </c>
      <c r="G284" s="53">
        <v>5</v>
      </c>
      <c r="H284" t="s">
        <v>133</v>
      </c>
      <c r="I284">
        <v>3</v>
      </c>
      <c r="J284" s="59">
        <f t="shared" si="4"/>
        <v>5</v>
      </c>
    </row>
    <row r="285" spans="1:10">
      <c r="A285" s="43">
        <v>42626</v>
      </c>
      <c r="B285">
        <v>2015</v>
      </c>
      <c r="C285">
        <v>1730</v>
      </c>
      <c r="D285">
        <v>284</v>
      </c>
      <c r="E285">
        <v>8650</v>
      </c>
      <c r="F285" t="s">
        <v>59</v>
      </c>
      <c r="G285" s="53">
        <v>5</v>
      </c>
      <c r="H285" t="s">
        <v>133</v>
      </c>
      <c r="I285">
        <v>4</v>
      </c>
      <c r="J285" s="59">
        <f t="shared" si="4"/>
        <v>5</v>
      </c>
    </row>
    <row r="286" spans="1:10">
      <c r="A286" s="43">
        <v>42597</v>
      </c>
      <c r="B286">
        <v>2015</v>
      </c>
      <c r="C286">
        <v>1730</v>
      </c>
      <c r="D286">
        <v>285</v>
      </c>
      <c r="E286">
        <v>8650</v>
      </c>
      <c r="F286" t="s">
        <v>59</v>
      </c>
      <c r="G286" s="61">
        <v>50</v>
      </c>
      <c r="H286" t="s">
        <v>60</v>
      </c>
      <c r="I286">
        <v>4</v>
      </c>
      <c r="J286" s="59">
        <f t="shared" si="4"/>
        <v>2</v>
      </c>
    </row>
    <row r="287" spans="1:10">
      <c r="A287" s="43">
        <v>43563</v>
      </c>
      <c r="B287">
        <v>2014</v>
      </c>
      <c r="C287">
        <v>1730</v>
      </c>
      <c r="D287">
        <v>286</v>
      </c>
      <c r="E287">
        <v>11850</v>
      </c>
      <c r="F287" t="s">
        <v>59</v>
      </c>
      <c r="G287" s="53">
        <v>6</v>
      </c>
      <c r="H287" t="s">
        <v>133</v>
      </c>
      <c r="I287">
        <v>5</v>
      </c>
      <c r="J287" s="59">
        <f t="shared" si="4"/>
        <v>6</v>
      </c>
    </row>
    <row r="288" spans="1:10">
      <c r="A288" s="43">
        <v>43516</v>
      </c>
      <c r="B288">
        <v>2015</v>
      </c>
      <c r="C288">
        <v>1730</v>
      </c>
      <c r="D288">
        <v>287</v>
      </c>
      <c r="E288">
        <v>10750</v>
      </c>
      <c r="F288" t="s">
        <v>59</v>
      </c>
      <c r="G288" s="53">
        <v>6</v>
      </c>
      <c r="H288" t="s">
        <v>133</v>
      </c>
      <c r="I288">
        <v>4</v>
      </c>
      <c r="J288" s="59">
        <f t="shared" si="4"/>
        <v>6</v>
      </c>
    </row>
    <row r="289" spans="1:10">
      <c r="A289" s="43">
        <v>43493</v>
      </c>
      <c r="B289">
        <v>2018</v>
      </c>
      <c r="C289">
        <v>1730</v>
      </c>
      <c r="D289">
        <v>288</v>
      </c>
      <c r="E289">
        <v>10800</v>
      </c>
      <c r="F289" t="s">
        <v>59</v>
      </c>
      <c r="G289" s="53">
        <v>6</v>
      </c>
      <c r="H289" t="s">
        <v>133</v>
      </c>
      <c r="I289">
        <v>1</v>
      </c>
      <c r="J289" s="59">
        <f t="shared" si="4"/>
        <v>6</v>
      </c>
    </row>
    <row r="290" spans="1:10">
      <c r="A290" s="43">
        <v>43426</v>
      </c>
      <c r="B290">
        <v>2015</v>
      </c>
      <c r="C290">
        <v>1730</v>
      </c>
      <c r="D290">
        <v>289</v>
      </c>
      <c r="E290">
        <v>11500</v>
      </c>
      <c r="F290" t="s">
        <v>59</v>
      </c>
      <c r="G290" s="53">
        <v>6</v>
      </c>
      <c r="H290" t="s">
        <v>133</v>
      </c>
      <c r="I290">
        <v>4</v>
      </c>
      <c r="J290" s="59">
        <f t="shared" si="4"/>
        <v>6</v>
      </c>
    </row>
    <row r="291" spans="1:10">
      <c r="A291" s="43">
        <v>43374</v>
      </c>
      <c r="B291">
        <v>2016</v>
      </c>
      <c r="C291">
        <v>1730</v>
      </c>
      <c r="D291">
        <v>290</v>
      </c>
      <c r="E291">
        <v>12300</v>
      </c>
      <c r="F291" t="s">
        <v>59</v>
      </c>
      <c r="G291" s="53">
        <v>6</v>
      </c>
      <c r="H291" t="s">
        <v>133</v>
      </c>
      <c r="I291">
        <v>3</v>
      </c>
      <c r="J291" s="59">
        <f t="shared" si="4"/>
        <v>6</v>
      </c>
    </row>
    <row r="292" spans="1:10">
      <c r="A292" s="43">
        <v>43350</v>
      </c>
      <c r="B292">
        <v>2016</v>
      </c>
      <c r="C292">
        <v>1730</v>
      </c>
      <c r="D292">
        <v>291</v>
      </c>
      <c r="E292">
        <v>12300</v>
      </c>
      <c r="F292" t="s">
        <v>59</v>
      </c>
      <c r="G292" s="53">
        <v>6</v>
      </c>
      <c r="H292" t="s">
        <v>133</v>
      </c>
      <c r="I292">
        <v>3</v>
      </c>
      <c r="J292" s="59">
        <f t="shared" si="4"/>
        <v>6</v>
      </c>
    </row>
    <row r="293" spans="1:10">
      <c r="A293" s="43">
        <v>43340</v>
      </c>
      <c r="B293">
        <v>2015</v>
      </c>
      <c r="C293">
        <v>1730</v>
      </c>
      <c r="D293">
        <v>292</v>
      </c>
      <c r="E293">
        <v>11800</v>
      </c>
      <c r="F293" t="s">
        <v>59</v>
      </c>
      <c r="G293" s="53">
        <v>6</v>
      </c>
      <c r="H293" t="s">
        <v>133</v>
      </c>
      <c r="I293">
        <v>4</v>
      </c>
      <c r="J293" s="59">
        <f t="shared" si="4"/>
        <v>6</v>
      </c>
    </row>
    <row r="294" spans="1:10">
      <c r="A294" s="43">
        <v>43174</v>
      </c>
      <c r="B294">
        <v>2016</v>
      </c>
      <c r="C294">
        <v>1730</v>
      </c>
      <c r="D294">
        <v>293</v>
      </c>
      <c r="E294">
        <v>14250</v>
      </c>
      <c r="F294" t="s">
        <v>59</v>
      </c>
      <c r="G294" s="53">
        <v>6</v>
      </c>
      <c r="H294" t="s">
        <v>133</v>
      </c>
      <c r="I294">
        <v>3</v>
      </c>
      <c r="J294" s="59">
        <f t="shared" si="4"/>
        <v>6</v>
      </c>
    </row>
    <row r="295" spans="1:10">
      <c r="A295" s="43">
        <v>43174</v>
      </c>
      <c r="B295">
        <v>2015</v>
      </c>
      <c r="C295">
        <v>1730</v>
      </c>
      <c r="D295">
        <v>294</v>
      </c>
      <c r="E295">
        <v>13250</v>
      </c>
      <c r="F295" t="s">
        <v>59</v>
      </c>
      <c r="G295" s="53">
        <v>6</v>
      </c>
      <c r="H295" t="s">
        <v>133</v>
      </c>
      <c r="I295">
        <v>4</v>
      </c>
      <c r="J295" s="59">
        <f t="shared" si="4"/>
        <v>6</v>
      </c>
    </row>
    <row r="296" spans="1:10">
      <c r="A296" s="43">
        <v>43049</v>
      </c>
      <c r="B296">
        <v>2015</v>
      </c>
      <c r="C296">
        <v>1730</v>
      </c>
      <c r="D296">
        <v>295</v>
      </c>
      <c r="E296">
        <v>10500</v>
      </c>
      <c r="F296" t="s">
        <v>59</v>
      </c>
      <c r="G296" s="53">
        <v>6</v>
      </c>
      <c r="H296" t="s">
        <v>133</v>
      </c>
      <c r="I296">
        <v>4</v>
      </c>
      <c r="J296" s="59">
        <f t="shared" si="4"/>
        <v>6</v>
      </c>
    </row>
    <row r="297" spans="1:10">
      <c r="A297" s="43">
        <v>42997</v>
      </c>
      <c r="B297">
        <v>2014</v>
      </c>
      <c r="C297">
        <v>1730</v>
      </c>
      <c r="D297">
        <v>296</v>
      </c>
      <c r="E297">
        <v>9500</v>
      </c>
      <c r="F297" t="s">
        <v>59</v>
      </c>
      <c r="G297" s="53">
        <v>6</v>
      </c>
      <c r="H297" t="s">
        <v>133</v>
      </c>
      <c r="I297">
        <v>5</v>
      </c>
      <c r="J297" s="59">
        <f t="shared" si="4"/>
        <v>6</v>
      </c>
    </row>
    <row r="298" spans="1:10">
      <c r="A298" s="43">
        <v>42996</v>
      </c>
      <c r="B298">
        <v>2015</v>
      </c>
      <c r="C298">
        <v>1730</v>
      </c>
      <c r="D298">
        <v>297</v>
      </c>
      <c r="E298">
        <v>9350</v>
      </c>
      <c r="F298" t="s">
        <v>59</v>
      </c>
      <c r="G298" s="53">
        <v>6</v>
      </c>
      <c r="H298" t="s">
        <v>133</v>
      </c>
      <c r="I298">
        <v>4</v>
      </c>
      <c r="J298" s="59">
        <f t="shared" si="4"/>
        <v>6</v>
      </c>
    </row>
    <row r="299" spans="1:10">
      <c r="A299" s="43">
        <v>42967</v>
      </c>
      <c r="B299">
        <v>2015</v>
      </c>
      <c r="C299">
        <v>1730</v>
      </c>
      <c r="D299">
        <v>298</v>
      </c>
      <c r="E299">
        <v>9700</v>
      </c>
      <c r="F299" t="s">
        <v>59</v>
      </c>
      <c r="G299" s="53">
        <v>6</v>
      </c>
      <c r="H299" t="s">
        <v>133</v>
      </c>
      <c r="I299">
        <v>4</v>
      </c>
      <c r="J299" s="59">
        <f t="shared" si="4"/>
        <v>6</v>
      </c>
    </row>
    <row r="300" spans="1:10">
      <c r="A300" s="43">
        <v>42830</v>
      </c>
      <c r="B300">
        <v>2016</v>
      </c>
      <c r="C300">
        <v>1730</v>
      </c>
      <c r="D300">
        <v>299</v>
      </c>
      <c r="E300">
        <v>9000</v>
      </c>
      <c r="F300" t="s">
        <v>59</v>
      </c>
      <c r="G300" s="53">
        <v>6</v>
      </c>
      <c r="H300" t="s">
        <v>133</v>
      </c>
      <c r="I300">
        <v>3</v>
      </c>
      <c r="J300" s="59">
        <f t="shared" si="4"/>
        <v>6</v>
      </c>
    </row>
    <row r="301" spans="1:10">
      <c r="A301" s="43">
        <v>42824</v>
      </c>
      <c r="B301">
        <v>2015</v>
      </c>
      <c r="C301">
        <v>1730</v>
      </c>
      <c r="D301">
        <v>300</v>
      </c>
      <c r="E301">
        <v>8400</v>
      </c>
      <c r="F301" t="s">
        <v>59</v>
      </c>
      <c r="G301" s="53">
        <v>6</v>
      </c>
      <c r="H301" t="s">
        <v>133</v>
      </c>
      <c r="I301">
        <v>4</v>
      </c>
      <c r="J301" s="59">
        <f t="shared" si="4"/>
        <v>6</v>
      </c>
    </row>
    <row r="302" spans="1:10">
      <c r="A302" s="43">
        <v>42530</v>
      </c>
      <c r="B302">
        <v>2016</v>
      </c>
      <c r="C302">
        <v>1730</v>
      </c>
      <c r="D302">
        <v>301</v>
      </c>
      <c r="E302">
        <v>8700</v>
      </c>
      <c r="F302" t="s">
        <v>59</v>
      </c>
      <c r="G302" s="53">
        <v>6</v>
      </c>
      <c r="H302" t="s">
        <v>133</v>
      </c>
      <c r="I302">
        <v>3</v>
      </c>
      <c r="J302" s="59">
        <f t="shared" si="4"/>
        <v>6</v>
      </c>
    </row>
    <row r="303" spans="1:10">
      <c r="A303" s="43">
        <v>42499</v>
      </c>
      <c r="B303">
        <v>2016</v>
      </c>
      <c r="C303">
        <v>1730</v>
      </c>
      <c r="D303">
        <v>302</v>
      </c>
      <c r="E303">
        <v>8650</v>
      </c>
      <c r="F303" t="s">
        <v>59</v>
      </c>
      <c r="G303" s="53">
        <v>6</v>
      </c>
      <c r="H303" t="s">
        <v>133</v>
      </c>
      <c r="I303">
        <v>3</v>
      </c>
      <c r="J303" s="59">
        <f t="shared" si="4"/>
        <v>6</v>
      </c>
    </row>
    <row r="304" spans="1:10">
      <c r="A304" s="43">
        <v>42430</v>
      </c>
      <c r="B304">
        <v>2015</v>
      </c>
      <c r="C304">
        <v>1730</v>
      </c>
      <c r="D304">
        <v>303</v>
      </c>
      <c r="E304">
        <v>8500</v>
      </c>
      <c r="F304" t="s">
        <v>59</v>
      </c>
      <c r="G304" s="53">
        <v>6</v>
      </c>
      <c r="H304" t="s">
        <v>133</v>
      </c>
      <c r="I304">
        <v>4</v>
      </c>
      <c r="J304" s="59">
        <f t="shared" si="4"/>
        <v>6</v>
      </c>
    </row>
    <row r="305" spans="1:10">
      <c r="A305" s="43">
        <v>42401</v>
      </c>
      <c r="B305">
        <v>2015</v>
      </c>
      <c r="C305">
        <v>1730</v>
      </c>
      <c r="D305">
        <v>304</v>
      </c>
      <c r="E305">
        <v>8400</v>
      </c>
      <c r="F305" t="s">
        <v>59</v>
      </c>
      <c r="G305" s="53">
        <v>6</v>
      </c>
      <c r="H305" t="s">
        <v>133</v>
      </c>
      <c r="I305">
        <v>4</v>
      </c>
      <c r="J305" s="59">
        <f t="shared" si="4"/>
        <v>6</v>
      </c>
    </row>
    <row r="306" spans="1:10">
      <c r="A306" s="43">
        <v>42795</v>
      </c>
      <c r="B306">
        <v>2014</v>
      </c>
      <c r="C306">
        <v>1730</v>
      </c>
      <c r="D306">
        <v>305</v>
      </c>
      <c r="E306">
        <v>8500</v>
      </c>
      <c r="F306" t="s">
        <v>59</v>
      </c>
      <c r="G306" s="61">
        <v>60</v>
      </c>
      <c r="H306" t="s">
        <v>60</v>
      </c>
      <c r="I306">
        <v>5</v>
      </c>
      <c r="J306" s="59">
        <f t="shared" si="4"/>
        <v>2</v>
      </c>
    </row>
    <row r="307" spans="1:10">
      <c r="A307" s="43">
        <v>42789</v>
      </c>
      <c r="B307">
        <v>2016</v>
      </c>
      <c r="C307">
        <v>1730</v>
      </c>
      <c r="D307">
        <v>306</v>
      </c>
      <c r="E307">
        <v>8500</v>
      </c>
      <c r="F307" t="s">
        <v>59</v>
      </c>
      <c r="G307" s="61">
        <v>60</v>
      </c>
      <c r="H307" t="s">
        <v>60</v>
      </c>
      <c r="I307">
        <v>3</v>
      </c>
      <c r="J307" s="59">
        <f t="shared" si="4"/>
        <v>2</v>
      </c>
    </row>
    <row r="308" spans="1:10">
      <c r="A308" s="43">
        <v>42478</v>
      </c>
      <c r="B308">
        <v>2014</v>
      </c>
      <c r="C308">
        <v>1730</v>
      </c>
      <c r="D308">
        <v>307</v>
      </c>
      <c r="E308">
        <v>8600</v>
      </c>
      <c r="F308" t="s">
        <v>59</v>
      </c>
      <c r="G308" s="61">
        <v>60</v>
      </c>
      <c r="H308" t="s">
        <v>60</v>
      </c>
      <c r="I308">
        <v>5</v>
      </c>
      <c r="J308" s="59">
        <f t="shared" si="4"/>
        <v>2</v>
      </c>
    </row>
    <row r="309" spans="1:10">
      <c r="A309" s="43">
        <v>43451</v>
      </c>
      <c r="B309">
        <v>2016</v>
      </c>
      <c r="C309">
        <v>1730</v>
      </c>
      <c r="D309">
        <v>308</v>
      </c>
      <c r="E309">
        <v>11000</v>
      </c>
      <c r="F309" t="s">
        <v>59</v>
      </c>
      <c r="G309" s="53">
        <v>7</v>
      </c>
      <c r="H309" t="s">
        <v>133</v>
      </c>
      <c r="I309">
        <v>3</v>
      </c>
      <c r="J309" s="59">
        <f t="shared" si="4"/>
        <v>7</v>
      </c>
    </row>
    <row r="310" spans="1:10">
      <c r="A310" s="43">
        <v>43144</v>
      </c>
      <c r="B310">
        <v>2015</v>
      </c>
      <c r="C310">
        <v>1730</v>
      </c>
      <c r="D310">
        <v>309</v>
      </c>
      <c r="E310">
        <v>12200</v>
      </c>
      <c r="F310" t="s">
        <v>59</v>
      </c>
      <c r="G310" s="53">
        <v>7</v>
      </c>
      <c r="H310" t="s">
        <v>133</v>
      </c>
      <c r="I310">
        <v>4</v>
      </c>
      <c r="J310" s="59">
        <f t="shared" si="4"/>
        <v>7</v>
      </c>
    </row>
    <row r="311" spans="1:10">
      <c r="A311" s="43">
        <v>42789</v>
      </c>
      <c r="B311">
        <v>2015</v>
      </c>
      <c r="C311">
        <v>1730</v>
      </c>
      <c r="D311">
        <v>310</v>
      </c>
      <c r="E311">
        <v>8250</v>
      </c>
      <c r="F311" t="s">
        <v>59</v>
      </c>
      <c r="G311" s="53">
        <v>7</v>
      </c>
      <c r="H311" t="s">
        <v>133</v>
      </c>
      <c r="I311">
        <v>4</v>
      </c>
      <c r="J311" s="59">
        <f t="shared" si="4"/>
        <v>7</v>
      </c>
    </row>
    <row r="312" spans="1:10">
      <c r="A312" s="43">
        <v>42654</v>
      </c>
      <c r="B312">
        <v>2016</v>
      </c>
      <c r="C312">
        <v>1730</v>
      </c>
      <c r="D312">
        <v>311</v>
      </c>
      <c r="E312">
        <v>8450</v>
      </c>
      <c r="F312" t="s">
        <v>59</v>
      </c>
      <c r="G312" s="53">
        <v>7</v>
      </c>
      <c r="H312" t="s">
        <v>133</v>
      </c>
      <c r="I312">
        <v>3</v>
      </c>
      <c r="J312" s="59">
        <f t="shared" si="4"/>
        <v>7</v>
      </c>
    </row>
    <row r="313" spans="1:10">
      <c r="A313" s="43">
        <v>42450</v>
      </c>
      <c r="B313">
        <v>2016</v>
      </c>
      <c r="C313">
        <v>1730</v>
      </c>
      <c r="D313">
        <v>312</v>
      </c>
      <c r="E313">
        <v>8500</v>
      </c>
      <c r="F313" t="s">
        <v>59</v>
      </c>
      <c r="G313" s="53">
        <v>7</v>
      </c>
      <c r="H313" t="s">
        <v>133</v>
      </c>
      <c r="I313">
        <v>3</v>
      </c>
      <c r="J313" s="59">
        <f t="shared" si="4"/>
        <v>7</v>
      </c>
    </row>
    <row r="314" spans="1:10">
      <c r="A314" s="43">
        <v>43579</v>
      </c>
      <c r="B314">
        <v>2014</v>
      </c>
      <c r="C314">
        <v>1730</v>
      </c>
      <c r="D314">
        <v>313</v>
      </c>
      <c r="E314">
        <v>11350</v>
      </c>
      <c r="F314" t="s">
        <v>59</v>
      </c>
      <c r="G314" s="53">
        <v>8</v>
      </c>
      <c r="H314" t="s">
        <v>133</v>
      </c>
      <c r="I314">
        <v>5</v>
      </c>
      <c r="J314" s="59">
        <f t="shared" si="4"/>
        <v>8</v>
      </c>
    </row>
    <row r="315" spans="1:10">
      <c r="A315" s="43">
        <v>43503</v>
      </c>
      <c r="B315">
        <v>2015</v>
      </c>
      <c r="C315">
        <v>1730</v>
      </c>
      <c r="D315">
        <v>314</v>
      </c>
      <c r="E315">
        <v>10200</v>
      </c>
      <c r="F315" t="s">
        <v>59</v>
      </c>
      <c r="G315" s="53">
        <v>8</v>
      </c>
      <c r="H315" t="s">
        <v>133</v>
      </c>
      <c r="I315">
        <v>4</v>
      </c>
      <c r="J315" s="59">
        <f t="shared" si="4"/>
        <v>8</v>
      </c>
    </row>
    <row r="316" spans="1:10">
      <c r="A316" s="43">
        <v>43202</v>
      </c>
      <c r="B316">
        <v>2016</v>
      </c>
      <c r="C316">
        <v>1730</v>
      </c>
      <c r="D316">
        <v>315</v>
      </c>
      <c r="E316">
        <v>14400</v>
      </c>
      <c r="F316" t="s">
        <v>59</v>
      </c>
      <c r="G316" s="53">
        <v>8</v>
      </c>
      <c r="H316" t="s">
        <v>133</v>
      </c>
      <c r="I316">
        <v>3</v>
      </c>
      <c r="J316" s="59">
        <f t="shared" si="4"/>
        <v>8</v>
      </c>
    </row>
    <row r="317" spans="1:10">
      <c r="A317" s="43">
        <v>42712</v>
      </c>
      <c r="B317">
        <v>2014</v>
      </c>
      <c r="C317">
        <v>1730</v>
      </c>
      <c r="D317">
        <v>316</v>
      </c>
      <c r="E317">
        <v>8250</v>
      </c>
      <c r="F317" t="s">
        <v>59</v>
      </c>
      <c r="G317" s="53">
        <v>8</v>
      </c>
      <c r="H317" t="s">
        <v>133</v>
      </c>
      <c r="I317">
        <v>5</v>
      </c>
      <c r="J317" s="59">
        <f t="shared" si="4"/>
        <v>8</v>
      </c>
    </row>
    <row r="318" spans="1:10">
      <c r="A318" s="43">
        <v>42692</v>
      </c>
      <c r="B318">
        <v>2015</v>
      </c>
      <c r="C318">
        <v>1730</v>
      </c>
      <c r="D318">
        <v>317</v>
      </c>
      <c r="E318">
        <v>8200</v>
      </c>
      <c r="F318" t="s">
        <v>59</v>
      </c>
      <c r="G318" s="53">
        <v>8</v>
      </c>
      <c r="H318" t="s">
        <v>133</v>
      </c>
      <c r="I318">
        <v>4</v>
      </c>
      <c r="J318" s="59">
        <f t="shared" si="4"/>
        <v>8</v>
      </c>
    </row>
    <row r="319" spans="1:10">
      <c r="A319" s="43">
        <v>43410</v>
      </c>
      <c r="B319">
        <v>2013</v>
      </c>
      <c r="C319">
        <v>1732</v>
      </c>
      <c r="D319">
        <v>318</v>
      </c>
      <c r="E319">
        <v>8750</v>
      </c>
      <c r="F319" t="s">
        <v>59</v>
      </c>
      <c r="G319" s="53">
        <v>12</v>
      </c>
      <c r="H319" t="s">
        <v>133</v>
      </c>
      <c r="I319">
        <v>6</v>
      </c>
      <c r="J319" s="59">
        <f t="shared" si="4"/>
        <v>12</v>
      </c>
    </row>
    <row r="320" spans="1:10">
      <c r="A320" s="43">
        <v>43116</v>
      </c>
      <c r="B320">
        <v>2014</v>
      </c>
      <c r="C320">
        <v>1732</v>
      </c>
      <c r="D320">
        <v>319</v>
      </c>
      <c r="E320">
        <v>9375</v>
      </c>
      <c r="F320" t="s">
        <v>59</v>
      </c>
      <c r="G320" s="53">
        <v>4</v>
      </c>
      <c r="H320" t="s">
        <v>133</v>
      </c>
      <c r="I320">
        <v>5</v>
      </c>
      <c r="J320" s="59">
        <f t="shared" si="4"/>
        <v>4</v>
      </c>
    </row>
    <row r="321" spans="1:10">
      <c r="A321" s="43">
        <v>42948</v>
      </c>
      <c r="B321">
        <v>2014</v>
      </c>
      <c r="C321">
        <v>1732</v>
      </c>
      <c r="D321">
        <v>320</v>
      </c>
      <c r="E321">
        <v>7500</v>
      </c>
      <c r="F321" t="s">
        <v>59</v>
      </c>
      <c r="G321" s="53">
        <v>5</v>
      </c>
      <c r="H321" t="s">
        <v>133</v>
      </c>
      <c r="I321">
        <v>5</v>
      </c>
      <c r="J321" s="59">
        <f t="shared" si="4"/>
        <v>5</v>
      </c>
    </row>
    <row r="322" spans="1:10">
      <c r="A322" s="43">
        <v>42773</v>
      </c>
      <c r="B322">
        <v>2013</v>
      </c>
      <c r="C322">
        <v>1732</v>
      </c>
      <c r="D322">
        <v>321</v>
      </c>
      <c r="E322">
        <v>6300</v>
      </c>
      <c r="F322" t="s">
        <v>59</v>
      </c>
      <c r="G322" s="53">
        <v>5</v>
      </c>
      <c r="H322" t="s">
        <v>133</v>
      </c>
      <c r="I322">
        <v>6</v>
      </c>
      <c r="J322" s="59">
        <f t="shared" ref="J322:J385" si="5">IF(H322="days",ROUND(G322/30,0),IF(H322="years",G322*12,G322))</f>
        <v>5</v>
      </c>
    </row>
    <row r="323" spans="1:10">
      <c r="A323" s="43">
        <v>43529</v>
      </c>
      <c r="B323">
        <v>2014</v>
      </c>
      <c r="C323">
        <v>1732</v>
      </c>
      <c r="D323">
        <v>322</v>
      </c>
      <c r="E323">
        <v>7500</v>
      </c>
      <c r="F323" t="s">
        <v>59</v>
      </c>
      <c r="G323" s="53">
        <v>6</v>
      </c>
      <c r="H323" t="s">
        <v>133</v>
      </c>
      <c r="I323">
        <v>5</v>
      </c>
      <c r="J323" s="59">
        <f t="shared" si="5"/>
        <v>6</v>
      </c>
    </row>
    <row r="324" spans="1:10">
      <c r="A324" s="43">
        <v>43223</v>
      </c>
      <c r="B324">
        <v>2013</v>
      </c>
      <c r="C324">
        <v>1732</v>
      </c>
      <c r="D324">
        <v>323</v>
      </c>
      <c r="E324">
        <v>10650</v>
      </c>
      <c r="F324" t="s">
        <v>59</v>
      </c>
      <c r="G324" s="53">
        <v>6</v>
      </c>
      <c r="H324" t="s">
        <v>133</v>
      </c>
      <c r="I324">
        <v>6</v>
      </c>
      <c r="J324" s="59">
        <f t="shared" si="5"/>
        <v>6</v>
      </c>
    </row>
    <row r="325" spans="1:10">
      <c r="A325" s="43">
        <v>42795</v>
      </c>
      <c r="B325">
        <v>2014</v>
      </c>
      <c r="C325">
        <v>1732</v>
      </c>
      <c r="D325">
        <v>324</v>
      </c>
      <c r="E325">
        <v>6750</v>
      </c>
      <c r="F325" t="s">
        <v>59</v>
      </c>
      <c r="G325" s="53">
        <v>6</v>
      </c>
      <c r="H325" t="s">
        <v>133</v>
      </c>
      <c r="I325">
        <v>5</v>
      </c>
      <c r="J325" s="59">
        <f t="shared" si="5"/>
        <v>6</v>
      </c>
    </row>
    <row r="326" spans="1:10">
      <c r="A326" s="43">
        <v>42570</v>
      </c>
      <c r="B326">
        <v>2013</v>
      </c>
      <c r="C326">
        <v>1732</v>
      </c>
      <c r="D326">
        <v>325</v>
      </c>
      <c r="E326">
        <v>7000</v>
      </c>
      <c r="F326" t="s">
        <v>59</v>
      </c>
      <c r="G326" s="53">
        <v>6</v>
      </c>
      <c r="H326" t="s">
        <v>133</v>
      </c>
      <c r="I326">
        <v>6</v>
      </c>
      <c r="J326" s="59">
        <f t="shared" si="5"/>
        <v>6</v>
      </c>
    </row>
    <row r="327" spans="1:10">
      <c r="A327" s="43">
        <v>42375</v>
      </c>
      <c r="B327">
        <v>2013</v>
      </c>
      <c r="C327">
        <v>1732</v>
      </c>
      <c r="D327">
        <v>326</v>
      </c>
      <c r="E327">
        <v>6500</v>
      </c>
      <c r="F327" t="s">
        <v>59</v>
      </c>
      <c r="G327" s="53">
        <v>6</v>
      </c>
      <c r="H327" t="s">
        <v>133</v>
      </c>
      <c r="I327">
        <v>6</v>
      </c>
      <c r="J327" s="59">
        <f t="shared" si="5"/>
        <v>6</v>
      </c>
    </row>
    <row r="328" spans="1:10">
      <c r="A328" s="43">
        <v>42436</v>
      </c>
      <c r="B328">
        <v>2014</v>
      </c>
      <c r="C328">
        <v>1732</v>
      </c>
      <c r="D328">
        <v>327</v>
      </c>
      <c r="E328">
        <v>8000</v>
      </c>
      <c r="F328" t="s">
        <v>59</v>
      </c>
      <c r="G328" s="53">
        <v>7</v>
      </c>
      <c r="H328" t="s">
        <v>133</v>
      </c>
      <c r="I328">
        <v>5</v>
      </c>
      <c r="J328" s="59">
        <f t="shared" si="5"/>
        <v>7</v>
      </c>
    </row>
    <row r="329" spans="1:10">
      <c r="A329" s="43">
        <v>43357</v>
      </c>
      <c r="B329">
        <v>2014</v>
      </c>
      <c r="C329">
        <v>1732</v>
      </c>
      <c r="D329">
        <v>328</v>
      </c>
      <c r="E329">
        <v>10250</v>
      </c>
      <c r="F329" t="s">
        <v>59</v>
      </c>
      <c r="G329" s="53">
        <v>8</v>
      </c>
      <c r="H329" t="s">
        <v>133</v>
      </c>
      <c r="I329">
        <v>5</v>
      </c>
      <c r="J329" s="59">
        <f t="shared" si="5"/>
        <v>8</v>
      </c>
    </row>
    <row r="330" spans="1:10">
      <c r="A330" s="43">
        <v>42614</v>
      </c>
      <c r="B330">
        <v>2014</v>
      </c>
      <c r="C330">
        <v>1732</v>
      </c>
      <c r="D330">
        <v>329</v>
      </c>
      <c r="E330">
        <v>6900</v>
      </c>
      <c r="F330" t="s">
        <v>59</v>
      </c>
      <c r="G330" s="53">
        <v>9</v>
      </c>
      <c r="H330" t="s">
        <v>133</v>
      </c>
      <c r="I330">
        <v>5</v>
      </c>
      <c r="J330" s="59">
        <f t="shared" si="5"/>
        <v>9</v>
      </c>
    </row>
    <row r="331" spans="1:10">
      <c r="A331" s="43">
        <v>43482</v>
      </c>
      <c r="B331">
        <v>2011</v>
      </c>
      <c r="C331">
        <v>1740</v>
      </c>
      <c r="D331">
        <v>330</v>
      </c>
      <c r="E331">
        <v>6950</v>
      </c>
      <c r="F331" t="s">
        <v>59</v>
      </c>
      <c r="G331" s="53">
        <v>10</v>
      </c>
      <c r="H331" t="s">
        <v>133</v>
      </c>
      <c r="I331">
        <v>8</v>
      </c>
      <c r="J331" s="59">
        <f t="shared" si="5"/>
        <v>10</v>
      </c>
    </row>
    <row r="332" spans="1:10">
      <c r="A332" s="43">
        <v>42888</v>
      </c>
      <c r="B332">
        <v>2011</v>
      </c>
      <c r="C332">
        <v>1740</v>
      </c>
      <c r="D332">
        <v>331</v>
      </c>
      <c r="E332">
        <v>7500</v>
      </c>
      <c r="F332" t="s">
        <v>59</v>
      </c>
      <c r="G332" s="53">
        <v>10</v>
      </c>
      <c r="H332" t="s">
        <v>133</v>
      </c>
      <c r="I332">
        <v>8</v>
      </c>
      <c r="J332" s="59">
        <f t="shared" si="5"/>
        <v>10</v>
      </c>
    </row>
    <row r="333" spans="1:10">
      <c r="A333" s="43">
        <v>42579</v>
      </c>
      <c r="B333">
        <v>2011</v>
      </c>
      <c r="C333">
        <v>1740</v>
      </c>
      <c r="D333">
        <v>332</v>
      </c>
      <c r="E333">
        <v>7000</v>
      </c>
      <c r="F333" t="s">
        <v>59</v>
      </c>
      <c r="G333" s="53">
        <v>10</v>
      </c>
      <c r="H333" t="s">
        <v>133</v>
      </c>
      <c r="I333">
        <v>8</v>
      </c>
      <c r="J333" s="59">
        <f t="shared" si="5"/>
        <v>10</v>
      </c>
    </row>
    <row r="334" spans="1:10">
      <c r="A334" s="43">
        <v>42564</v>
      </c>
      <c r="B334">
        <v>2012</v>
      </c>
      <c r="C334">
        <v>1740</v>
      </c>
      <c r="D334">
        <v>333</v>
      </c>
      <c r="E334">
        <v>6750</v>
      </c>
      <c r="F334" t="s">
        <v>59</v>
      </c>
      <c r="G334" s="53">
        <v>11</v>
      </c>
      <c r="H334" t="s">
        <v>133</v>
      </c>
      <c r="I334">
        <v>7</v>
      </c>
      <c r="J334" s="59">
        <f t="shared" si="5"/>
        <v>11</v>
      </c>
    </row>
    <row r="335" spans="1:10">
      <c r="A335" s="43">
        <v>43566</v>
      </c>
      <c r="B335">
        <v>2011</v>
      </c>
      <c r="C335">
        <v>1740</v>
      </c>
      <c r="D335">
        <v>334</v>
      </c>
      <c r="E335">
        <v>7950</v>
      </c>
      <c r="F335" t="s">
        <v>59</v>
      </c>
      <c r="G335" s="53">
        <v>12</v>
      </c>
      <c r="H335" t="s">
        <v>133</v>
      </c>
      <c r="I335">
        <v>8</v>
      </c>
      <c r="J335" s="59">
        <f t="shared" si="5"/>
        <v>12</v>
      </c>
    </row>
    <row r="336" spans="1:10">
      <c r="A336" s="43">
        <v>42993</v>
      </c>
      <c r="B336">
        <v>2012</v>
      </c>
      <c r="C336">
        <v>1740</v>
      </c>
      <c r="D336">
        <v>335</v>
      </c>
      <c r="E336">
        <v>8150</v>
      </c>
      <c r="F336" t="s">
        <v>59</v>
      </c>
      <c r="G336" s="53">
        <v>12</v>
      </c>
      <c r="H336" t="s">
        <v>133</v>
      </c>
      <c r="I336">
        <v>7</v>
      </c>
      <c r="J336" s="59">
        <f t="shared" si="5"/>
        <v>12</v>
      </c>
    </row>
    <row r="337" spans="1:10">
      <c r="A337" s="43">
        <v>42821</v>
      </c>
      <c r="B337">
        <v>2012</v>
      </c>
      <c r="C337">
        <v>1740</v>
      </c>
      <c r="D337">
        <v>336</v>
      </c>
      <c r="E337">
        <v>6750</v>
      </c>
      <c r="F337" t="s">
        <v>59</v>
      </c>
      <c r="G337" s="53">
        <v>12</v>
      </c>
      <c r="H337" t="s">
        <v>133</v>
      </c>
      <c r="I337">
        <v>7</v>
      </c>
      <c r="J337" s="59">
        <f t="shared" si="5"/>
        <v>12</v>
      </c>
    </row>
    <row r="338" spans="1:10">
      <c r="A338" s="43">
        <v>42814</v>
      </c>
      <c r="B338">
        <v>2011</v>
      </c>
      <c r="C338">
        <v>1740</v>
      </c>
      <c r="D338">
        <v>337</v>
      </c>
      <c r="E338">
        <v>6500</v>
      </c>
      <c r="F338" t="s">
        <v>59</v>
      </c>
      <c r="G338" s="53">
        <v>12</v>
      </c>
      <c r="H338" t="s">
        <v>133</v>
      </c>
      <c r="I338">
        <v>8</v>
      </c>
      <c r="J338" s="59">
        <f t="shared" si="5"/>
        <v>12</v>
      </c>
    </row>
    <row r="339" spans="1:10">
      <c r="A339" s="43">
        <v>42670</v>
      </c>
      <c r="B339">
        <v>2011</v>
      </c>
      <c r="C339">
        <v>1740</v>
      </c>
      <c r="D339">
        <v>338</v>
      </c>
      <c r="E339">
        <v>7500</v>
      </c>
      <c r="F339" t="s">
        <v>59</v>
      </c>
      <c r="G339" s="53">
        <v>12</v>
      </c>
      <c r="H339" t="s">
        <v>133</v>
      </c>
      <c r="I339">
        <v>8</v>
      </c>
      <c r="J339" s="59">
        <f t="shared" si="5"/>
        <v>12</v>
      </c>
    </row>
    <row r="340" spans="1:10">
      <c r="A340" s="43">
        <v>42443</v>
      </c>
      <c r="B340">
        <v>2011</v>
      </c>
      <c r="C340">
        <v>1740</v>
      </c>
      <c r="D340">
        <v>339</v>
      </c>
      <c r="E340">
        <v>7200</v>
      </c>
      <c r="F340" t="s">
        <v>59</v>
      </c>
      <c r="G340" s="53">
        <v>12</v>
      </c>
      <c r="H340" t="s">
        <v>133</v>
      </c>
      <c r="I340">
        <v>8</v>
      </c>
      <c r="J340" s="59">
        <f t="shared" si="5"/>
        <v>12</v>
      </c>
    </row>
    <row r="341" spans="1:10">
      <c r="A341" s="43">
        <v>42804</v>
      </c>
      <c r="B341">
        <v>2011</v>
      </c>
      <c r="C341">
        <v>1740</v>
      </c>
      <c r="D341">
        <v>340</v>
      </c>
      <c r="E341">
        <v>6500</v>
      </c>
      <c r="F341" t="s">
        <v>59</v>
      </c>
      <c r="G341" s="61">
        <v>150</v>
      </c>
      <c r="H341" t="s">
        <v>60</v>
      </c>
      <c r="I341">
        <v>8</v>
      </c>
      <c r="J341" s="59">
        <f t="shared" si="5"/>
        <v>5</v>
      </c>
    </row>
    <row r="342" spans="1:10">
      <c r="A342" s="43">
        <v>42907</v>
      </c>
      <c r="B342">
        <v>2011</v>
      </c>
      <c r="C342">
        <v>1740</v>
      </c>
      <c r="D342">
        <v>341</v>
      </c>
      <c r="E342">
        <v>7500</v>
      </c>
      <c r="F342" t="s">
        <v>59</v>
      </c>
      <c r="G342" s="53">
        <v>2</v>
      </c>
      <c r="H342" t="s">
        <v>133</v>
      </c>
      <c r="I342">
        <v>8</v>
      </c>
      <c r="J342" s="59">
        <f t="shared" si="5"/>
        <v>2</v>
      </c>
    </row>
    <row r="343" spans="1:10">
      <c r="A343" s="43">
        <v>43301</v>
      </c>
      <c r="B343">
        <v>2012</v>
      </c>
      <c r="C343">
        <v>1740</v>
      </c>
      <c r="D343">
        <v>342</v>
      </c>
      <c r="E343">
        <v>10000</v>
      </c>
      <c r="F343" t="s">
        <v>59</v>
      </c>
      <c r="G343" s="53">
        <v>3</v>
      </c>
      <c r="H343" t="s">
        <v>133</v>
      </c>
      <c r="I343">
        <v>7</v>
      </c>
      <c r="J343" s="59">
        <f t="shared" si="5"/>
        <v>3</v>
      </c>
    </row>
    <row r="344" spans="1:10">
      <c r="A344" s="43">
        <v>42709</v>
      </c>
      <c r="B344">
        <v>2012</v>
      </c>
      <c r="C344">
        <v>1740</v>
      </c>
      <c r="D344">
        <v>343</v>
      </c>
      <c r="E344">
        <v>6400</v>
      </c>
      <c r="F344" t="s">
        <v>59</v>
      </c>
      <c r="G344" s="53">
        <v>3</v>
      </c>
      <c r="H344" t="s">
        <v>133</v>
      </c>
      <c r="I344">
        <v>7</v>
      </c>
      <c r="J344" s="59">
        <f t="shared" si="5"/>
        <v>3</v>
      </c>
    </row>
    <row r="345" spans="1:10">
      <c r="A345" s="43">
        <v>42705</v>
      </c>
      <c r="B345">
        <v>2013</v>
      </c>
      <c r="C345">
        <v>1740</v>
      </c>
      <c r="D345">
        <v>344</v>
      </c>
      <c r="E345">
        <v>6400</v>
      </c>
      <c r="F345" t="s">
        <v>59</v>
      </c>
      <c r="G345" s="53">
        <v>3</v>
      </c>
      <c r="H345" t="s">
        <v>133</v>
      </c>
      <c r="I345">
        <v>6</v>
      </c>
      <c r="J345" s="59">
        <f t="shared" si="5"/>
        <v>3</v>
      </c>
    </row>
    <row r="346" spans="1:10">
      <c r="A346" s="43">
        <v>43229</v>
      </c>
      <c r="B346">
        <v>2011</v>
      </c>
      <c r="C346">
        <v>1740</v>
      </c>
      <c r="D346">
        <v>345</v>
      </c>
      <c r="E346">
        <v>11250</v>
      </c>
      <c r="F346" t="s">
        <v>59</v>
      </c>
      <c r="G346" s="61">
        <v>30</v>
      </c>
      <c r="H346" t="s">
        <v>60</v>
      </c>
      <c r="I346">
        <v>8</v>
      </c>
      <c r="J346" s="59">
        <f t="shared" si="5"/>
        <v>1</v>
      </c>
    </row>
    <row r="347" spans="1:10">
      <c r="A347" s="43">
        <v>42459</v>
      </c>
      <c r="B347">
        <v>2012</v>
      </c>
      <c r="C347">
        <v>1740</v>
      </c>
      <c r="D347">
        <v>346</v>
      </c>
      <c r="E347">
        <v>7200</v>
      </c>
      <c r="F347" t="s">
        <v>59</v>
      </c>
      <c r="G347" s="61">
        <v>30</v>
      </c>
      <c r="H347" t="s">
        <v>60</v>
      </c>
      <c r="I347">
        <v>7</v>
      </c>
      <c r="J347" s="59">
        <f t="shared" si="5"/>
        <v>1</v>
      </c>
    </row>
    <row r="348" spans="1:10">
      <c r="A348" s="43">
        <v>43201</v>
      </c>
      <c r="B348">
        <v>2011</v>
      </c>
      <c r="C348">
        <v>1740</v>
      </c>
      <c r="D348">
        <v>347</v>
      </c>
      <c r="E348">
        <v>10750</v>
      </c>
      <c r="F348" t="s">
        <v>59</v>
      </c>
      <c r="G348" s="53">
        <v>4</v>
      </c>
      <c r="H348" t="s">
        <v>133</v>
      </c>
      <c r="I348">
        <v>8</v>
      </c>
      <c r="J348" s="59">
        <f t="shared" si="5"/>
        <v>4</v>
      </c>
    </row>
    <row r="349" spans="1:10">
      <c r="A349" s="43">
        <v>43033</v>
      </c>
      <c r="B349">
        <v>2011</v>
      </c>
      <c r="C349">
        <v>1740</v>
      </c>
      <c r="D349">
        <v>348</v>
      </c>
      <c r="E349">
        <v>7900</v>
      </c>
      <c r="F349" t="s">
        <v>59</v>
      </c>
      <c r="G349" s="53">
        <v>4</v>
      </c>
      <c r="H349" t="s">
        <v>133</v>
      </c>
      <c r="I349">
        <v>8</v>
      </c>
      <c r="J349" s="59">
        <f t="shared" si="5"/>
        <v>4</v>
      </c>
    </row>
    <row r="350" spans="1:10">
      <c r="A350" s="43">
        <v>43027</v>
      </c>
      <c r="B350">
        <v>2013</v>
      </c>
      <c r="C350">
        <v>1740</v>
      </c>
      <c r="D350">
        <v>349</v>
      </c>
      <c r="E350">
        <v>7850</v>
      </c>
      <c r="F350" t="s">
        <v>59</v>
      </c>
      <c r="G350" s="53">
        <v>4</v>
      </c>
      <c r="H350" t="s">
        <v>133</v>
      </c>
      <c r="I350">
        <v>6</v>
      </c>
      <c r="J350" s="59">
        <f t="shared" si="5"/>
        <v>4</v>
      </c>
    </row>
    <row r="351" spans="1:10">
      <c r="A351" s="43">
        <v>42941</v>
      </c>
      <c r="B351">
        <v>2011</v>
      </c>
      <c r="C351">
        <v>1740</v>
      </c>
      <c r="D351">
        <v>350</v>
      </c>
      <c r="E351">
        <v>7300</v>
      </c>
      <c r="F351" t="s">
        <v>59</v>
      </c>
      <c r="G351" s="53">
        <v>4</v>
      </c>
      <c r="H351" t="s">
        <v>133</v>
      </c>
      <c r="I351">
        <v>8</v>
      </c>
      <c r="J351" s="59">
        <f t="shared" si="5"/>
        <v>4</v>
      </c>
    </row>
    <row r="352" spans="1:10">
      <c r="A352" s="43">
        <v>42667</v>
      </c>
      <c r="B352">
        <v>2011</v>
      </c>
      <c r="C352">
        <v>1740</v>
      </c>
      <c r="D352">
        <v>351</v>
      </c>
      <c r="E352">
        <v>6750</v>
      </c>
      <c r="F352" t="s">
        <v>59</v>
      </c>
      <c r="G352" s="53">
        <v>4</v>
      </c>
      <c r="H352" t="s">
        <v>133</v>
      </c>
      <c r="I352">
        <v>8</v>
      </c>
      <c r="J352" s="59">
        <f t="shared" si="5"/>
        <v>4</v>
      </c>
    </row>
    <row r="353" spans="1:10">
      <c r="A353" s="43">
        <v>42647</v>
      </c>
      <c r="B353">
        <v>2012</v>
      </c>
      <c r="C353">
        <v>1740</v>
      </c>
      <c r="D353">
        <v>352</v>
      </c>
      <c r="E353">
        <v>6750</v>
      </c>
      <c r="F353" t="s">
        <v>59</v>
      </c>
      <c r="G353" s="53">
        <v>4</v>
      </c>
      <c r="H353" t="s">
        <v>133</v>
      </c>
      <c r="I353">
        <v>7</v>
      </c>
      <c r="J353" s="59">
        <f t="shared" si="5"/>
        <v>4</v>
      </c>
    </row>
    <row r="354" spans="1:10">
      <c r="A354" s="43">
        <v>42584</v>
      </c>
      <c r="B354">
        <v>2011</v>
      </c>
      <c r="C354">
        <v>1740</v>
      </c>
      <c r="D354">
        <v>353</v>
      </c>
      <c r="E354">
        <v>6850</v>
      </c>
      <c r="F354" t="s">
        <v>59</v>
      </c>
      <c r="G354" s="53">
        <v>4</v>
      </c>
      <c r="H354" t="s">
        <v>133</v>
      </c>
      <c r="I354">
        <v>8</v>
      </c>
      <c r="J354" s="59">
        <f t="shared" si="5"/>
        <v>4</v>
      </c>
    </row>
    <row r="355" spans="1:10">
      <c r="A355" s="43">
        <v>42576</v>
      </c>
      <c r="B355">
        <v>2012</v>
      </c>
      <c r="C355">
        <v>1740</v>
      </c>
      <c r="D355">
        <v>354</v>
      </c>
      <c r="E355">
        <v>6750</v>
      </c>
      <c r="F355" t="s">
        <v>59</v>
      </c>
      <c r="G355" s="53">
        <v>4</v>
      </c>
      <c r="H355" t="s">
        <v>133</v>
      </c>
      <c r="I355">
        <v>7</v>
      </c>
      <c r="J355" s="59">
        <f t="shared" si="5"/>
        <v>4</v>
      </c>
    </row>
    <row r="356" spans="1:10">
      <c r="A356" s="43">
        <v>42411</v>
      </c>
      <c r="B356">
        <v>2011</v>
      </c>
      <c r="C356">
        <v>1740</v>
      </c>
      <c r="D356">
        <v>355</v>
      </c>
      <c r="E356">
        <v>7000</v>
      </c>
      <c r="F356" t="s">
        <v>59</v>
      </c>
      <c r="G356" s="53">
        <v>4</v>
      </c>
      <c r="H356" t="s">
        <v>133</v>
      </c>
      <c r="I356">
        <v>8</v>
      </c>
      <c r="J356" s="59">
        <f t="shared" si="5"/>
        <v>4</v>
      </c>
    </row>
    <row r="357" spans="1:10">
      <c r="A357" s="43">
        <v>42709</v>
      </c>
      <c r="B357">
        <v>2011</v>
      </c>
      <c r="C357">
        <v>1740</v>
      </c>
      <c r="D357">
        <v>356</v>
      </c>
      <c r="E357">
        <v>6500</v>
      </c>
      <c r="F357" t="s">
        <v>59</v>
      </c>
      <c r="G357" s="61">
        <v>40</v>
      </c>
      <c r="H357" t="s">
        <v>60</v>
      </c>
      <c r="I357">
        <v>8</v>
      </c>
      <c r="J357" s="59">
        <f t="shared" si="5"/>
        <v>1</v>
      </c>
    </row>
    <row r="358" spans="1:10">
      <c r="A358" s="43">
        <v>42530</v>
      </c>
      <c r="B358">
        <v>2011</v>
      </c>
      <c r="C358">
        <v>1740</v>
      </c>
      <c r="D358">
        <v>357</v>
      </c>
      <c r="E358">
        <v>7000</v>
      </c>
      <c r="F358" t="s">
        <v>59</v>
      </c>
      <c r="G358" s="61">
        <v>42</v>
      </c>
      <c r="H358" t="s">
        <v>60</v>
      </c>
      <c r="I358">
        <v>8</v>
      </c>
      <c r="J358" s="59">
        <f t="shared" si="5"/>
        <v>1</v>
      </c>
    </row>
    <row r="359" spans="1:10">
      <c r="A359" s="43">
        <v>43507</v>
      </c>
      <c r="B359">
        <v>2012</v>
      </c>
      <c r="C359">
        <v>1740</v>
      </c>
      <c r="D359">
        <v>358</v>
      </c>
      <c r="E359">
        <v>7000</v>
      </c>
      <c r="F359" t="s">
        <v>59</v>
      </c>
      <c r="G359" s="53">
        <v>5</v>
      </c>
      <c r="H359" t="s">
        <v>133</v>
      </c>
      <c r="I359">
        <v>7</v>
      </c>
      <c r="J359" s="59">
        <f t="shared" si="5"/>
        <v>5</v>
      </c>
    </row>
    <row r="360" spans="1:10">
      <c r="A360" s="43">
        <v>43434</v>
      </c>
      <c r="B360">
        <v>2012</v>
      </c>
      <c r="C360">
        <v>1740</v>
      </c>
      <c r="D360">
        <v>359</v>
      </c>
      <c r="E360">
        <v>7500</v>
      </c>
      <c r="F360" t="s">
        <v>59</v>
      </c>
      <c r="G360" s="53">
        <v>5</v>
      </c>
      <c r="H360" t="s">
        <v>133</v>
      </c>
      <c r="I360">
        <v>7</v>
      </c>
      <c r="J360" s="59">
        <f t="shared" si="5"/>
        <v>5</v>
      </c>
    </row>
    <row r="361" spans="1:10">
      <c r="A361" s="43">
        <v>43293</v>
      </c>
      <c r="B361">
        <v>2013</v>
      </c>
      <c r="C361">
        <v>1740</v>
      </c>
      <c r="D361">
        <v>360</v>
      </c>
      <c r="E361">
        <v>9500</v>
      </c>
      <c r="F361" t="s">
        <v>59</v>
      </c>
      <c r="G361" s="53">
        <v>5</v>
      </c>
      <c r="H361" t="s">
        <v>133</v>
      </c>
      <c r="I361">
        <v>6</v>
      </c>
      <c r="J361" s="59">
        <f t="shared" si="5"/>
        <v>5</v>
      </c>
    </row>
    <row r="362" spans="1:10">
      <c r="A362" s="43">
        <v>43241</v>
      </c>
      <c r="B362">
        <v>2011</v>
      </c>
      <c r="C362">
        <v>1740</v>
      </c>
      <c r="D362">
        <v>361</v>
      </c>
      <c r="E362">
        <v>10700</v>
      </c>
      <c r="F362" t="s">
        <v>59</v>
      </c>
      <c r="G362" s="53">
        <v>5</v>
      </c>
      <c r="H362" t="s">
        <v>133</v>
      </c>
      <c r="I362">
        <v>8</v>
      </c>
      <c r="J362" s="59">
        <f t="shared" si="5"/>
        <v>5</v>
      </c>
    </row>
    <row r="363" spans="1:10">
      <c r="A363" s="43">
        <v>43214</v>
      </c>
      <c r="B363">
        <v>2011</v>
      </c>
      <c r="C363">
        <v>1740</v>
      </c>
      <c r="D363">
        <v>362</v>
      </c>
      <c r="E363">
        <v>11000</v>
      </c>
      <c r="F363" t="s">
        <v>59</v>
      </c>
      <c r="G363" s="53">
        <v>5</v>
      </c>
      <c r="H363" t="s">
        <v>133</v>
      </c>
      <c r="I363">
        <v>8</v>
      </c>
      <c r="J363" s="59">
        <f t="shared" si="5"/>
        <v>5</v>
      </c>
    </row>
    <row r="364" spans="1:10">
      <c r="A364" s="43">
        <v>43152</v>
      </c>
      <c r="B364">
        <v>2012</v>
      </c>
      <c r="C364">
        <v>1740</v>
      </c>
      <c r="D364">
        <v>363</v>
      </c>
      <c r="E364">
        <v>9450</v>
      </c>
      <c r="F364" t="s">
        <v>59</v>
      </c>
      <c r="G364" s="53">
        <v>5</v>
      </c>
      <c r="H364" t="s">
        <v>133</v>
      </c>
      <c r="I364">
        <v>7</v>
      </c>
      <c r="J364" s="59">
        <f t="shared" si="5"/>
        <v>5</v>
      </c>
    </row>
    <row r="365" spans="1:10">
      <c r="A365" s="43">
        <v>43070</v>
      </c>
      <c r="B365">
        <v>2013</v>
      </c>
      <c r="C365">
        <v>1740</v>
      </c>
      <c r="D365">
        <v>364</v>
      </c>
      <c r="E365">
        <v>8400</v>
      </c>
      <c r="F365" t="s">
        <v>59</v>
      </c>
      <c r="G365" s="53">
        <v>5</v>
      </c>
      <c r="H365" t="s">
        <v>133</v>
      </c>
      <c r="I365">
        <v>6</v>
      </c>
      <c r="J365" s="59">
        <f t="shared" si="5"/>
        <v>5</v>
      </c>
    </row>
    <row r="366" spans="1:10">
      <c r="A366" s="43">
        <v>42898</v>
      </c>
      <c r="B366">
        <v>2011</v>
      </c>
      <c r="C366">
        <v>1740</v>
      </c>
      <c r="D366">
        <v>365</v>
      </c>
      <c r="E366">
        <v>7500</v>
      </c>
      <c r="F366" t="s">
        <v>59</v>
      </c>
      <c r="G366" s="53">
        <v>5</v>
      </c>
      <c r="H366" t="s">
        <v>133</v>
      </c>
      <c r="I366">
        <v>8</v>
      </c>
      <c r="J366" s="59">
        <f t="shared" si="5"/>
        <v>5</v>
      </c>
    </row>
    <row r="367" spans="1:10">
      <c r="A367" s="43">
        <v>42499</v>
      </c>
      <c r="B367">
        <v>2013</v>
      </c>
      <c r="C367">
        <v>1740</v>
      </c>
      <c r="D367">
        <v>366</v>
      </c>
      <c r="E367">
        <v>6750</v>
      </c>
      <c r="F367" t="s">
        <v>59</v>
      </c>
      <c r="G367" s="53">
        <v>5</v>
      </c>
      <c r="H367" t="s">
        <v>133</v>
      </c>
      <c r="I367">
        <v>6</v>
      </c>
      <c r="J367" s="59">
        <f t="shared" si="5"/>
        <v>5</v>
      </c>
    </row>
    <row r="368" spans="1:10">
      <c r="A368" s="43">
        <v>42758</v>
      </c>
      <c r="B368">
        <v>2011</v>
      </c>
      <c r="C368">
        <v>1740</v>
      </c>
      <c r="D368">
        <v>367</v>
      </c>
      <c r="E368">
        <v>6250</v>
      </c>
      <c r="F368" t="s">
        <v>59</v>
      </c>
      <c r="G368" s="61">
        <v>56</v>
      </c>
      <c r="H368" t="s">
        <v>60</v>
      </c>
      <c r="I368">
        <v>8</v>
      </c>
      <c r="J368" s="59">
        <f t="shared" si="5"/>
        <v>2</v>
      </c>
    </row>
    <row r="369" spans="1:10">
      <c r="A369" s="43">
        <v>43490</v>
      </c>
      <c r="B369">
        <v>2011</v>
      </c>
      <c r="C369">
        <v>1740</v>
      </c>
      <c r="D369">
        <v>368</v>
      </c>
      <c r="E369">
        <v>8450</v>
      </c>
      <c r="F369" t="s">
        <v>59</v>
      </c>
      <c r="G369" s="53">
        <v>6</v>
      </c>
      <c r="H369" t="s">
        <v>133</v>
      </c>
      <c r="I369">
        <v>8</v>
      </c>
      <c r="J369" s="59">
        <f t="shared" si="5"/>
        <v>6</v>
      </c>
    </row>
    <row r="370" spans="1:10">
      <c r="A370" s="43">
        <v>43451</v>
      </c>
      <c r="B370">
        <v>2013</v>
      </c>
      <c r="C370">
        <v>1740</v>
      </c>
      <c r="D370">
        <v>369</v>
      </c>
      <c r="E370">
        <v>7350</v>
      </c>
      <c r="F370" t="s">
        <v>59</v>
      </c>
      <c r="G370" s="53">
        <v>6</v>
      </c>
      <c r="H370" t="s">
        <v>133</v>
      </c>
      <c r="I370">
        <v>6</v>
      </c>
      <c r="J370" s="59">
        <f t="shared" si="5"/>
        <v>6</v>
      </c>
    </row>
    <row r="371" spans="1:10">
      <c r="A371" s="43">
        <v>43364</v>
      </c>
      <c r="B371">
        <v>2011</v>
      </c>
      <c r="C371">
        <v>1740</v>
      </c>
      <c r="D371">
        <v>370</v>
      </c>
      <c r="E371">
        <v>9350</v>
      </c>
      <c r="F371" t="s">
        <v>59</v>
      </c>
      <c r="G371" s="53">
        <v>6</v>
      </c>
      <c r="H371" t="s">
        <v>133</v>
      </c>
      <c r="I371">
        <v>8</v>
      </c>
      <c r="J371" s="59">
        <f t="shared" si="5"/>
        <v>6</v>
      </c>
    </row>
    <row r="372" spans="1:10">
      <c r="A372" s="43">
        <v>43178</v>
      </c>
      <c r="B372">
        <v>2012</v>
      </c>
      <c r="C372">
        <v>1740</v>
      </c>
      <c r="D372">
        <v>371</v>
      </c>
      <c r="E372">
        <v>8250</v>
      </c>
      <c r="F372" t="s">
        <v>59</v>
      </c>
      <c r="G372" s="53">
        <v>6</v>
      </c>
      <c r="H372" t="s">
        <v>133</v>
      </c>
      <c r="I372">
        <v>7</v>
      </c>
      <c r="J372" s="59">
        <f t="shared" si="5"/>
        <v>6</v>
      </c>
    </row>
    <row r="373" spans="1:10">
      <c r="A373" s="43">
        <v>43034</v>
      </c>
      <c r="B373">
        <v>2011</v>
      </c>
      <c r="C373">
        <v>1740</v>
      </c>
      <c r="D373">
        <v>372</v>
      </c>
      <c r="E373">
        <v>7950</v>
      </c>
      <c r="F373" t="s">
        <v>59</v>
      </c>
      <c r="G373" s="53">
        <v>6</v>
      </c>
      <c r="H373" t="s">
        <v>133</v>
      </c>
      <c r="I373">
        <v>8</v>
      </c>
      <c r="J373" s="59">
        <f t="shared" si="5"/>
        <v>6</v>
      </c>
    </row>
    <row r="374" spans="1:10">
      <c r="A374" s="43">
        <v>43018</v>
      </c>
      <c r="B374">
        <v>2011</v>
      </c>
      <c r="C374">
        <v>1740</v>
      </c>
      <c r="D374">
        <v>373</v>
      </c>
      <c r="E374">
        <v>8100</v>
      </c>
      <c r="F374" t="s">
        <v>59</v>
      </c>
      <c r="G374" s="53">
        <v>6</v>
      </c>
      <c r="H374" t="s">
        <v>133</v>
      </c>
      <c r="I374">
        <v>8</v>
      </c>
      <c r="J374" s="59">
        <f t="shared" si="5"/>
        <v>6</v>
      </c>
    </row>
    <row r="375" spans="1:10">
      <c r="A375" s="43">
        <v>42816</v>
      </c>
      <c r="B375">
        <v>2012</v>
      </c>
      <c r="C375">
        <v>1740</v>
      </c>
      <c r="D375">
        <v>374</v>
      </c>
      <c r="E375">
        <v>6600</v>
      </c>
      <c r="F375" t="s">
        <v>59</v>
      </c>
      <c r="G375" s="53">
        <v>6</v>
      </c>
      <c r="H375" t="s">
        <v>133</v>
      </c>
      <c r="I375">
        <v>7</v>
      </c>
      <c r="J375" s="59">
        <f t="shared" si="5"/>
        <v>6</v>
      </c>
    </row>
    <row r="376" spans="1:10">
      <c r="A376" s="43">
        <v>42754</v>
      </c>
      <c r="B376">
        <v>2012</v>
      </c>
      <c r="C376">
        <v>1740</v>
      </c>
      <c r="D376">
        <v>375</v>
      </c>
      <c r="E376">
        <v>6400</v>
      </c>
      <c r="F376" t="s">
        <v>59</v>
      </c>
      <c r="G376" s="53">
        <v>6</v>
      </c>
      <c r="H376" t="s">
        <v>133</v>
      </c>
      <c r="I376">
        <v>7</v>
      </c>
      <c r="J376" s="59">
        <f t="shared" si="5"/>
        <v>6</v>
      </c>
    </row>
    <row r="377" spans="1:10">
      <c r="A377" s="43">
        <v>42635</v>
      </c>
      <c r="B377">
        <v>2013</v>
      </c>
      <c r="C377">
        <v>1740</v>
      </c>
      <c r="D377">
        <v>376</v>
      </c>
      <c r="E377">
        <v>6750</v>
      </c>
      <c r="F377" t="s">
        <v>59</v>
      </c>
      <c r="G377" s="53">
        <v>6</v>
      </c>
      <c r="H377" t="s">
        <v>133</v>
      </c>
      <c r="I377">
        <v>6</v>
      </c>
      <c r="J377" s="59">
        <f t="shared" si="5"/>
        <v>6</v>
      </c>
    </row>
    <row r="378" spans="1:10">
      <c r="A378" s="43">
        <v>42625</v>
      </c>
      <c r="B378">
        <v>2011</v>
      </c>
      <c r="C378">
        <v>1740</v>
      </c>
      <c r="D378">
        <v>377</v>
      </c>
      <c r="E378">
        <v>6750</v>
      </c>
      <c r="F378" t="s">
        <v>59</v>
      </c>
      <c r="G378" s="53">
        <v>6</v>
      </c>
      <c r="H378" t="s">
        <v>133</v>
      </c>
      <c r="I378">
        <v>8</v>
      </c>
      <c r="J378" s="59">
        <f t="shared" si="5"/>
        <v>6</v>
      </c>
    </row>
    <row r="379" spans="1:10">
      <c r="A379" s="43">
        <v>42623</v>
      </c>
      <c r="B379">
        <v>2012</v>
      </c>
      <c r="C379">
        <v>1740</v>
      </c>
      <c r="D379">
        <v>378</v>
      </c>
      <c r="E379">
        <v>6750</v>
      </c>
      <c r="F379" t="s">
        <v>59</v>
      </c>
      <c r="G379" s="53">
        <v>6</v>
      </c>
      <c r="H379" t="s">
        <v>133</v>
      </c>
      <c r="I379">
        <v>7</v>
      </c>
      <c r="J379" s="59">
        <f t="shared" si="5"/>
        <v>6</v>
      </c>
    </row>
    <row r="380" spans="1:10">
      <c r="A380" s="43">
        <v>42608</v>
      </c>
      <c r="B380">
        <v>2011</v>
      </c>
      <c r="C380">
        <v>1740</v>
      </c>
      <c r="D380">
        <v>379</v>
      </c>
      <c r="E380">
        <v>6750</v>
      </c>
      <c r="F380" t="s">
        <v>59</v>
      </c>
      <c r="G380" s="53">
        <v>6</v>
      </c>
      <c r="H380" t="s">
        <v>133</v>
      </c>
      <c r="I380">
        <v>8</v>
      </c>
      <c r="J380" s="59">
        <f t="shared" si="5"/>
        <v>6</v>
      </c>
    </row>
    <row r="381" spans="1:10">
      <c r="A381" s="43">
        <v>42534</v>
      </c>
      <c r="B381">
        <v>2011</v>
      </c>
      <c r="C381">
        <v>1740</v>
      </c>
      <c r="D381">
        <v>380</v>
      </c>
      <c r="E381">
        <v>6950</v>
      </c>
      <c r="F381" t="s">
        <v>59</v>
      </c>
      <c r="G381" s="53">
        <v>6</v>
      </c>
      <c r="H381" t="s">
        <v>133</v>
      </c>
      <c r="I381">
        <v>8</v>
      </c>
      <c r="J381" s="59">
        <f t="shared" si="5"/>
        <v>6</v>
      </c>
    </row>
    <row r="382" spans="1:10">
      <c r="A382" s="43">
        <v>42452</v>
      </c>
      <c r="B382">
        <v>2011</v>
      </c>
      <c r="C382">
        <v>1740</v>
      </c>
      <c r="D382">
        <v>381</v>
      </c>
      <c r="E382">
        <v>7000</v>
      </c>
      <c r="F382" t="s">
        <v>59</v>
      </c>
      <c r="G382" s="53">
        <v>6</v>
      </c>
      <c r="H382" t="s">
        <v>133</v>
      </c>
      <c r="I382">
        <v>8</v>
      </c>
      <c r="J382" s="59">
        <f t="shared" si="5"/>
        <v>6</v>
      </c>
    </row>
    <row r="383" spans="1:10">
      <c r="A383" s="43">
        <v>42412</v>
      </c>
      <c r="B383">
        <v>2011</v>
      </c>
      <c r="C383">
        <v>1740</v>
      </c>
      <c r="D383">
        <v>382</v>
      </c>
      <c r="E383">
        <v>7100</v>
      </c>
      <c r="F383" t="s">
        <v>59</v>
      </c>
      <c r="G383" s="53">
        <v>6</v>
      </c>
      <c r="H383" t="s">
        <v>133</v>
      </c>
      <c r="I383">
        <v>8</v>
      </c>
      <c r="J383" s="59">
        <f t="shared" si="5"/>
        <v>6</v>
      </c>
    </row>
    <row r="384" spans="1:10">
      <c r="A384" s="43">
        <v>43245</v>
      </c>
      <c r="B384">
        <v>2011</v>
      </c>
      <c r="C384">
        <v>1740</v>
      </c>
      <c r="D384">
        <v>383</v>
      </c>
      <c r="E384">
        <v>11100</v>
      </c>
      <c r="F384" t="s">
        <v>59</v>
      </c>
      <c r="G384" s="61">
        <v>65</v>
      </c>
      <c r="H384" t="s">
        <v>60</v>
      </c>
      <c r="I384">
        <v>8</v>
      </c>
      <c r="J384" s="59">
        <f t="shared" si="5"/>
        <v>2</v>
      </c>
    </row>
    <row r="385" spans="1:10">
      <c r="A385" s="43">
        <v>43539</v>
      </c>
      <c r="B385">
        <v>2012</v>
      </c>
      <c r="C385">
        <v>1740</v>
      </c>
      <c r="D385">
        <v>384</v>
      </c>
      <c r="E385">
        <v>7500</v>
      </c>
      <c r="F385" t="s">
        <v>59</v>
      </c>
      <c r="G385" s="53">
        <v>7</v>
      </c>
      <c r="H385" t="s">
        <v>133</v>
      </c>
      <c r="I385">
        <v>7</v>
      </c>
      <c r="J385" s="59">
        <f t="shared" si="5"/>
        <v>7</v>
      </c>
    </row>
    <row r="386" spans="1:10">
      <c r="A386" s="43">
        <v>43369</v>
      </c>
      <c r="B386">
        <v>2013</v>
      </c>
      <c r="C386">
        <v>1740</v>
      </c>
      <c r="D386">
        <v>385</v>
      </c>
      <c r="E386">
        <v>9550</v>
      </c>
      <c r="F386" t="s">
        <v>59</v>
      </c>
      <c r="G386" s="53">
        <v>7</v>
      </c>
      <c r="H386" t="s">
        <v>133</v>
      </c>
      <c r="I386">
        <v>6</v>
      </c>
      <c r="J386" s="59">
        <f t="shared" ref="J386:J449" si="6">IF(H386="days",ROUND(G386/30,0),IF(H386="years",G386*12,G386))</f>
        <v>7</v>
      </c>
    </row>
    <row r="387" spans="1:10">
      <c r="A387" s="43">
        <v>43137</v>
      </c>
      <c r="B387">
        <v>2013</v>
      </c>
      <c r="C387">
        <v>1740</v>
      </c>
      <c r="D387">
        <v>386</v>
      </c>
      <c r="E387">
        <v>9250</v>
      </c>
      <c r="F387" t="s">
        <v>59</v>
      </c>
      <c r="G387" s="53">
        <v>7</v>
      </c>
      <c r="H387" t="s">
        <v>133</v>
      </c>
      <c r="I387">
        <v>6</v>
      </c>
      <c r="J387" s="59">
        <f t="shared" si="6"/>
        <v>7</v>
      </c>
    </row>
    <row r="388" spans="1:10">
      <c r="A388" s="43">
        <v>42450</v>
      </c>
      <c r="B388">
        <v>2012</v>
      </c>
      <c r="C388">
        <v>1740</v>
      </c>
      <c r="D388">
        <v>387</v>
      </c>
      <c r="E388">
        <v>7200</v>
      </c>
      <c r="F388" t="s">
        <v>59</v>
      </c>
      <c r="G388" s="53">
        <v>7</v>
      </c>
      <c r="H388" t="s">
        <v>133</v>
      </c>
      <c r="I388">
        <v>7</v>
      </c>
      <c r="J388" s="59">
        <f t="shared" si="6"/>
        <v>7</v>
      </c>
    </row>
    <row r="389" spans="1:10">
      <c r="A389" s="43">
        <v>42454</v>
      </c>
      <c r="B389">
        <v>2012</v>
      </c>
      <c r="C389">
        <v>1740</v>
      </c>
      <c r="D389">
        <v>388</v>
      </c>
      <c r="E389">
        <v>7000</v>
      </c>
      <c r="F389" t="s">
        <v>59</v>
      </c>
      <c r="G389" s="61">
        <v>70</v>
      </c>
      <c r="H389" t="s">
        <v>60</v>
      </c>
      <c r="I389">
        <v>7</v>
      </c>
      <c r="J389" s="59">
        <f t="shared" si="6"/>
        <v>2</v>
      </c>
    </row>
    <row r="390" spans="1:10">
      <c r="A390" s="43">
        <v>42992</v>
      </c>
      <c r="B390">
        <v>2013</v>
      </c>
      <c r="C390">
        <v>1740</v>
      </c>
      <c r="D390">
        <v>389</v>
      </c>
      <c r="E390">
        <v>7550</v>
      </c>
      <c r="F390" t="s">
        <v>59</v>
      </c>
      <c r="G390" s="53">
        <v>8</v>
      </c>
      <c r="H390" t="s">
        <v>133</v>
      </c>
      <c r="I390">
        <v>6</v>
      </c>
      <c r="J390" s="59">
        <f t="shared" si="6"/>
        <v>8</v>
      </c>
    </row>
    <row r="391" spans="1:10">
      <c r="A391" s="43">
        <v>42949</v>
      </c>
      <c r="B391">
        <v>2012</v>
      </c>
      <c r="C391">
        <v>1740</v>
      </c>
      <c r="D391">
        <v>390</v>
      </c>
      <c r="E391">
        <v>7150</v>
      </c>
      <c r="F391" t="s">
        <v>59</v>
      </c>
      <c r="G391" s="53">
        <v>8</v>
      </c>
      <c r="H391" t="s">
        <v>133</v>
      </c>
      <c r="I391">
        <v>7</v>
      </c>
      <c r="J391" s="59">
        <f t="shared" si="6"/>
        <v>8</v>
      </c>
    </row>
    <row r="392" spans="1:10">
      <c r="A392" s="43">
        <v>42769</v>
      </c>
      <c r="B392">
        <v>2013</v>
      </c>
      <c r="C392">
        <v>1740</v>
      </c>
      <c r="D392">
        <v>391</v>
      </c>
      <c r="E392">
        <v>6500</v>
      </c>
      <c r="F392" t="s">
        <v>59</v>
      </c>
      <c r="G392" s="53">
        <v>8</v>
      </c>
      <c r="H392" t="s">
        <v>133</v>
      </c>
      <c r="I392">
        <v>6</v>
      </c>
      <c r="J392" s="59">
        <f t="shared" si="6"/>
        <v>8</v>
      </c>
    </row>
    <row r="393" spans="1:10">
      <c r="A393" s="43">
        <v>42523</v>
      </c>
      <c r="B393">
        <v>2011</v>
      </c>
      <c r="C393">
        <v>1740</v>
      </c>
      <c r="D393">
        <v>392</v>
      </c>
      <c r="E393">
        <v>6750</v>
      </c>
      <c r="F393" t="s">
        <v>59</v>
      </c>
      <c r="G393" s="61">
        <v>84</v>
      </c>
      <c r="H393" t="s">
        <v>60</v>
      </c>
      <c r="I393">
        <v>8</v>
      </c>
      <c r="J393" s="59">
        <f t="shared" si="6"/>
        <v>3</v>
      </c>
    </row>
    <row r="394" spans="1:10">
      <c r="A394" s="43">
        <v>42950</v>
      </c>
      <c r="B394">
        <v>2011</v>
      </c>
      <c r="C394">
        <v>1740</v>
      </c>
      <c r="D394">
        <v>393</v>
      </c>
      <c r="E394">
        <v>7300</v>
      </c>
      <c r="F394" t="s">
        <v>59</v>
      </c>
      <c r="G394" s="53">
        <v>9</v>
      </c>
      <c r="H394" t="s">
        <v>133</v>
      </c>
      <c r="I394">
        <v>8</v>
      </c>
      <c r="J394" s="59">
        <f t="shared" si="6"/>
        <v>9</v>
      </c>
    </row>
    <row r="395" spans="1:10">
      <c r="A395" s="43">
        <v>42601</v>
      </c>
      <c r="B395">
        <v>2011</v>
      </c>
      <c r="C395">
        <v>1740</v>
      </c>
      <c r="D395">
        <v>394</v>
      </c>
      <c r="E395">
        <v>6750</v>
      </c>
      <c r="F395" t="s">
        <v>59</v>
      </c>
      <c r="G395" s="61">
        <v>90</v>
      </c>
      <c r="H395" t="s">
        <v>60</v>
      </c>
      <c r="I395">
        <v>8</v>
      </c>
      <c r="J395" s="59">
        <f t="shared" si="6"/>
        <v>3</v>
      </c>
    </row>
    <row r="396" spans="1:10">
      <c r="A396" s="43">
        <v>42529</v>
      </c>
      <c r="B396">
        <v>2011</v>
      </c>
      <c r="C396">
        <v>1740</v>
      </c>
      <c r="D396">
        <v>395</v>
      </c>
      <c r="E396">
        <v>8200</v>
      </c>
      <c r="F396" t="s">
        <v>59</v>
      </c>
      <c r="G396" s="61">
        <v>90</v>
      </c>
      <c r="H396" t="s">
        <v>60</v>
      </c>
      <c r="I396">
        <v>8</v>
      </c>
      <c r="J396" s="59">
        <f t="shared" si="6"/>
        <v>3</v>
      </c>
    </row>
    <row r="397" spans="1:10">
      <c r="A397" s="43">
        <v>43403</v>
      </c>
      <c r="B397">
        <v>2013</v>
      </c>
      <c r="C397">
        <v>1756</v>
      </c>
      <c r="D397">
        <v>396</v>
      </c>
      <c r="E397">
        <v>11700</v>
      </c>
      <c r="F397" t="s">
        <v>59</v>
      </c>
      <c r="G397" s="53">
        <v>10</v>
      </c>
      <c r="H397" t="s">
        <v>133</v>
      </c>
      <c r="I397">
        <v>6</v>
      </c>
      <c r="J397" s="59">
        <f t="shared" si="6"/>
        <v>10</v>
      </c>
    </row>
    <row r="398" spans="1:10">
      <c r="A398" s="43">
        <v>42423</v>
      </c>
      <c r="B398">
        <v>2013</v>
      </c>
      <c r="C398">
        <v>1756</v>
      </c>
      <c r="D398">
        <v>397</v>
      </c>
      <c r="E398">
        <v>8000</v>
      </c>
      <c r="F398" t="s">
        <v>59</v>
      </c>
      <c r="G398" s="53">
        <v>10</v>
      </c>
      <c r="H398" t="s">
        <v>133</v>
      </c>
      <c r="I398">
        <v>6</v>
      </c>
      <c r="J398" s="59">
        <f t="shared" si="6"/>
        <v>10</v>
      </c>
    </row>
    <row r="399" spans="1:10">
      <c r="A399" s="43">
        <v>43636</v>
      </c>
      <c r="B399">
        <v>2016</v>
      </c>
      <c r="C399">
        <v>1756</v>
      </c>
      <c r="D399">
        <v>398</v>
      </c>
      <c r="E399">
        <v>11300</v>
      </c>
      <c r="F399" t="s">
        <v>59</v>
      </c>
      <c r="G399" s="53">
        <v>12</v>
      </c>
      <c r="H399" t="s">
        <v>133</v>
      </c>
      <c r="I399">
        <v>3</v>
      </c>
      <c r="J399" s="59">
        <f t="shared" si="6"/>
        <v>12</v>
      </c>
    </row>
    <row r="400" spans="1:10">
      <c r="A400" s="43">
        <v>43276</v>
      </c>
      <c r="B400">
        <v>2017</v>
      </c>
      <c r="C400">
        <v>1756</v>
      </c>
      <c r="D400">
        <v>399</v>
      </c>
      <c r="E400">
        <v>13250</v>
      </c>
      <c r="F400" t="s">
        <v>59</v>
      </c>
      <c r="G400" s="53">
        <v>12</v>
      </c>
      <c r="H400" t="s">
        <v>133</v>
      </c>
      <c r="I400">
        <v>2</v>
      </c>
      <c r="J400" s="59">
        <f t="shared" si="6"/>
        <v>12</v>
      </c>
    </row>
    <row r="401" spans="1:10">
      <c r="A401" s="43">
        <v>43259</v>
      </c>
      <c r="B401">
        <v>2016</v>
      </c>
      <c r="C401">
        <v>1756</v>
      </c>
      <c r="D401">
        <v>400</v>
      </c>
      <c r="E401">
        <v>14150</v>
      </c>
      <c r="F401" t="s">
        <v>59</v>
      </c>
      <c r="G401" s="53">
        <v>12</v>
      </c>
      <c r="H401" t="s">
        <v>133</v>
      </c>
      <c r="I401">
        <v>3</v>
      </c>
      <c r="J401" s="59">
        <f t="shared" si="6"/>
        <v>12</v>
      </c>
    </row>
    <row r="402" spans="1:10">
      <c r="A402" s="43">
        <v>43195</v>
      </c>
      <c r="B402">
        <v>2016</v>
      </c>
      <c r="C402">
        <v>1756</v>
      </c>
      <c r="D402">
        <v>401</v>
      </c>
      <c r="E402">
        <v>13600</v>
      </c>
      <c r="F402" t="s">
        <v>59</v>
      </c>
      <c r="G402" s="53">
        <v>12</v>
      </c>
      <c r="H402" t="s">
        <v>133</v>
      </c>
      <c r="I402">
        <v>3</v>
      </c>
      <c r="J402" s="59">
        <f t="shared" si="6"/>
        <v>12</v>
      </c>
    </row>
    <row r="403" spans="1:10">
      <c r="A403" s="43">
        <v>42803</v>
      </c>
      <c r="B403">
        <v>2016</v>
      </c>
      <c r="C403">
        <v>1756</v>
      </c>
      <c r="D403">
        <v>402</v>
      </c>
      <c r="E403">
        <v>8450</v>
      </c>
      <c r="F403" t="s">
        <v>59</v>
      </c>
      <c r="G403" s="61">
        <v>30</v>
      </c>
      <c r="H403" t="s">
        <v>60</v>
      </c>
      <c r="I403">
        <v>3</v>
      </c>
      <c r="J403" s="59">
        <f t="shared" si="6"/>
        <v>1</v>
      </c>
    </row>
    <row r="404" spans="1:10">
      <c r="A404" s="43">
        <v>43557</v>
      </c>
      <c r="B404">
        <v>2016</v>
      </c>
      <c r="C404">
        <v>1756</v>
      </c>
      <c r="D404">
        <v>403</v>
      </c>
      <c r="E404">
        <v>11750</v>
      </c>
      <c r="F404" t="s">
        <v>59</v>
      </c>
      <c r="G404" s="53">
        <v>4</v>
      </c>
      <c r="H404" t="s">
        <v>133</v>
      </c>
      <c r="I404">
        <v>3</v>
      </c>
      <c r="J404" s="59">
        <f t="shared" si="6"/>
        <v>4</v>
      </c>
    </row>
    <row r="405" spans="1:10">
      <c r="A405" s="43">
        <v>42705</v>
      </c>
      <c r="B405">
        <v>2013</v>
      </c>
      <c r="C405">
        <v>1756</v>
      </c>
      <c r="D405">
        <v>404</v>
      </c>
      <c r="E405">
        <v>8250</v>
      </c>
      <c r="F405" t="s">
        <v>59</v>
      </c>
      <c r="G405" s="53">
        <v>5</v>
      </c>
      <c r="H405" t="s">
        <v>133</v>
      </c>
      <c r="I405">
        <v>6</v>
      </c>
      <c r="J405" s="59">
        <f t="shared" si="6"/>
        <v>5</v>
      </c>
    </row>
    <row r="406" spans="1:10">
      <c r="A406" s="43">
        <v>42667</v>
      </c>
      <c r="B406">
        <v>2016</v>
      </c>
      <c r="C406">
        <v>1756</v>
      </c>
      <c r="D406">
        <v>405</v>
      </c>
      <c r="E406">
        <v>8200</v>
      </c>
      <c r="F406" t="s">
        <v>59</v>
      </c>
      <c r="G406" s="53">
        <v>5</v>
      </c>
      <c r="H406" t="s">
        <v>133</v>
      </c>
      <c r="I406">
        <v>3</v>
      </c>
      <c r="J406" s="59">
        <f t="shared" si="6"/>
        <v>5</v>
      </c>
    </row>
    <row r="407" spans="1:10">
      <c r="A407" s="43">
        <v>43605</v>
      </c>
      <c r="B407">
        <v>2016</v>
      </c>
      <c r="C407">
        <v>1756</v>
      </c>
      <c r="D407">
        <v>406</v>
      </c>
      <c r="E407">
        <v>11000</v>
      </c>
      <c r="F407" t="s">
        <v>59</v>
      </c>
      <c r="G407" s="53">
        <v>6</v>
      </c>
      <c r="H407" t="s">
        <v>133</v>
      </c>
      <c r="I407">
        <v>3</v>
      </c>
      <c r="J407" s="59">
        <f t="shared" si="6"/>
        <v>6</v>
      </c>
    </row>
    <row r="408" spans="1:10">
      <c r="A408" s="43">
        <v>43581</v>
      </c>
      <c r="B408">
        <v>2013</v>
      </c>
      <c r="C408">
        <v>1756</v>
      </c>
      <c r="D408">
        <v>407</v>
      </c>
      <c r="E408">
        <v>10500</v>
      </c>
      <c r="F408" t="s">
        <v>59</v>
      </c>
      <c r="G408" s="53">
        <v>6</v>
      </c>
      <c r="H408" t="s">
        <v>133</v>
      </c>
      <c r="I408">
        <v>6</v>
      </c>
      <c r="J408" s="59">
        <f t="shared" si="6"/>
        <v>6</v>
      </c>
    </row>
    <row r="409" spans="1:10">
      <c r="A409" s="43">
        <v>43552</v>
      </c>
      <c r="B409">
        <v>2013</v>
      </c>
      <c r="C409">
        <v>1756</v>
      </c>
      <c r="D409">
        <v>408</v>
      </c>
      <c r="E409">
        <v>11500</v>
      </c>
      <c r="F409" t="s">
        <v>59</v>
      </c>
      <c r="G409" s="53">
        <v>6</v>
      </c>
      <c r="H409" t="s">
        <v>133</v>
      </c>
      <c r="I409">
        <v>6</v>
      </c>
      <c r="J409" s="59">
        <f t="shared" si="6"/>
        <v>6</v>
      </c>
    </row>
    <row r="410" spans="1:10">
      <c r="A410" s="43">
        <v>43528</v>
      </c>
      <c r="B410">
        <v>2013</v>
      </c>
      <c r="C410">
        <v>1756</v>
      </c>
      <c r="D410">
        <v>409</v>
      </c>
      <c r="E410">
        <v>10350</v>
      </c>
      <c r="F410" t="s">
        <v>59</v>
      </c>
      <c r="G410" s="53">
        <v>6</v>
      </c>
      <c r="H410" t="s">
        <v>133</v>
      </c>
      <c r="I410">
        <v>6</v>
      </c>
      <c r="J410" s="59">
        <f t="shared" si="6"/>
        <v>6</v>
      </c>
    </row>
    <row r="411" spans="1:10">
      <c r="A411" s="43">
        <v>43417</v>
      </c>
      <c r="B411">
        <v>2013</v>
      </c>
      <c r="C411">
        <v>1756</v>
      </c>
      <c r="D411">
        <v>410</v>
      </c>
      <c r="E411">
        <v>11150</v>
      </c>
      <c r="F411" t="s">
        <v>59</v>
      </c>
      <c r="G411" s="53">
        <v>6</v>
      </c>
      <c r="H411" t="s">
        <v>133</v>
      </c>
      <c r="I411">
        <v>6</v>
      </c>
      <c r="J411" s="59">
        <f t="shared" si="6"/>
        <v>6</v>
      </c>
    </row>
    <row r="412" spans="1:10">
      <c r="A412" s="43">
        <v>43417</v>
      </c>
      <c r="B412">
        <v>2013</v>
      </c>
      <c r="C412">
        <v>1756</v>
      </c>
      <c r="D412">
        <v>411</v>
      </c>
      <c r="E412">
        <v>11000</v>
      </c>
      <c r="F412" t="s">
        <v>59</v>
      </c>
      <c r="G412" s="53">
        <v>6</v>
      </c>
      <c r="H412" t="s">
        <v>133</v>
      </c>
      <c r="I412">
        <v>6</v>
      </c>
      <c r="J412" s="59">
        <f t="shared" si="6"/>
        <v>6</v>
      </c>
    </row>
    <row r="413" spans="1:10">
      <c r="A413" s="43">
        <v>43325</v>
      </c>
      <c r="B413">
        <v>2017</v>
      </c>
      <c r="C413">
        <v>1756</v>
      </c>
      <c r="D413">
        <v>412</v>
      </c>
      <c r="E413">
        <v>12650</v>
      </c>
      <c r="F413" t="s">
        <v>59</v>
      </c>
      <c r="G413" s="53">
        <v>6</v>
      </c>
      <c r="H413" t="s">
        <v>133</v>
      </c>
      <c r="I413">
        <v>2</v>
      </c>
      <c r="J413" s="59">
        <f t="shared" si="6"/>
        <v>6</v>
      </c>
    </row>
    <row r="414" spans="1:10">
      <c r="A414" s="43">
        <v>43237</v>
      </c>
      <c r="B414">
        <v>2013</v>
      </c>
      <c r="C414">
        <v>1756</v>
      </c>
      <c r="D414">
        <v>413</v>
      </c>
      <c r="E414">
        <v>14000</v>
      </c>
      <c r="F414" t="s">
        <v>59</v>
      </c>
      <c r="G414" s="53">
        <v>6</v>
      </c>
      <c r="H414" t="s">
        <v>133</v>
      </c>
      <c r="I414">
        <v>6</v>
      </c>
      <c r="J414" s="59">
        <f t="shared" si="6"/>
        <v>6</v>
      </c>
    </row>
    <row r="415" spans="1:10">
      <c r="A415" s="43">
        <v>43014</v>
      </c>
      <c r="B415">
        <v>2016</v>
      </c>
      <c r="C415">
        <v>1756</v>
      </c>
      <c r="D415">
        <v>414</v>
      </c>
      <c r="E415">
        <v>9300</v>
      </c>
      <c r="F415" t="s">
        <v>59</v>
      </c>
      <c r="G415" s="53">
        <v>6</v>
      </c>
      <c r="H415" t="s">
        <v>133</v>
      </c>
      <c r="I415">
        <v>3</v>
      </c>
      <c r="J415" s="59">
        <f t="shared" si="6"/>
        <v>6</v>
      </c>
    </row>
    <row r="416" spans="1:10">
      <c r="A416" s="43">
        <v>42923</v>
      </c>
      <c r="B416">
        <v>2017</v>
      </c>
      <c r="C416">
        <v>1756</v>
      </c>
      <c r="D416">
        <v>415</v>
      </c>
      <c r="E416">
        <v>9150</v>
      </c>
      <c r="F416" t="s">
        <v>59</v>
      </c>
      <c r="G416" s="53">
        <v>6</v>
      </c>
      <c r="H416" t="s">
        <v>133</v>
      </c>
      <c r="I416">
        <v>2</v>
      </c>
      <c r="J416" s="59">
        <f t="shared" si="6"/>
        <v>6</v>
      </c>
    </row>
    <row r="417" spans="1:10">
      <c r="A417" s="43">
        <v>42923</v>
      </c>
      <c r="B417">
        <v>2016</v>
      </c>
      <c r="C417">
        <v>1756</v>
      </c>
      <c r="D417">
        <v>416</v>
      </c>
      <c r="E417">
        <v>9150</v>
      </c>
      <c r="F417" t="s">
        <v>59</v>
      </c>
      <c r="G417" s="53">
        <v>6</v>
      </c>
      <c r="H417" t="s">
        <v>133</v>
      </c>
      <c r="I417">
        <v>3</v>
      </c>
      <c r="J417" s="59">
        <f t="shared" si="6"/>
        <v>6</v>
      </c>
    </row>
    <row r="418" spans="1:10">
      <c r="A418" s="43">
        <v>42864</v>
      </c>
      <c r="B418">
        <v>2013</v>
      </c>
      <c r="C418">
        <v>1756</v>
      </c>
      <c r="D418">
        <v>417</v>
      </c>
      <c r="E418">
        <v>9250</v>
      </c>
      <c r="F418" t="s">
        <v>59</v>
      </c>
      <c r="G418" s="53">
        <v>6</v>
      </c>
      <c r="H418" t="s">
        <v>133</v>
      </c>
      <c r="I418">
        <v>6</v>
      </c>
      <c r="J418" s="59">
        <f t="shared" si="6"/>
        <v>6</v>
      </c>
    </row>
    <row r="419" spans="1:10">
      <c r="A419" s="43">
        <v>42830</v>
      </c>
      <c r="B419">
        <v>2016</v>
      </c>
      <c r="C419">
        <v>1756</v>
      </c>
      <c r="D419">
        <v>418</v>
      </c>
      <c r="E419">
        <v>8400</v>
      </c>
      <c r="F419" t="s">
        <v>59</v>
      </c>
      <c r="G419" s="53">
        <v>6</v>
      </c>
      <c r="H419" t="s">
        <v>133</v>
      </c>
      <c r="I419">
        <v>3</v>
      </c>
      <c r="J419" s="59">
        <f t="shared" si="6"/>
        <v>6</v>
      </c>
    </row>
    <row r="420" spans="1:10">
      <c r="A420" s="43">
        <v>42657</v>
      </c>
      <c r="B420">
        <v>2016</v>
      </c>
      <c r="C420">
        <v>1756</v>
      </c>
      <c r="D420">
        <v>419</v>
      </c>
      <c r="E420">
        <v>8150</v>
      </c>
      <c r="F420" t="s">
        <v>59</v>
      </c>
      <c r="G420" s="53">
        <v>6</v>
      </c>
      <c r="H420" t="s">
        <v>133</v>
      </c>
      <c r="I420">
        <v>3</v>
      </c>
      <c r="J420" s="59">
        <f t="shared" si="6"/>
        <v>6</v>
      </c>
    </row>
    <row r="421" spans="1:10">
      <c r="A421" s="43">
        <v>42545</v>
      </c>
      <c r="B421">
        <v>2013</v>
      </c>
      <c r="C421">
        <v>1756</v>
      </c>
      <c r="D421">
        <v>420</v>
      </c>
      <c r="E421">
        <v>8500</v>
      </c>
      <c r="F421" t="s">
        <v>59</v>
      </c>
      <c r="G421" s="53">
        <v>6</v>
      </c>
      <c r="H421" t="s">
        <v>133</v>
      </c>
      <c r="I421">
        <v>6</v>
      </c>
      <c r="J421" s="59">
        <f t="shared" si="6"/>
        <v>6</v>
      </c>
    </row>
    <row r="422" spans="1:10">
      <c r="A422" s="43">
        <v>42396</v>
      </c>
      <c r="B422">
        <v>2013</v>
      </c>
      <c r="C422">
        <v>1756</v>
      </c>
      <c r="D422">
        <v>421</v>
      </c>
      <c r="E422">
        <v>8500</v>
      </c>
      <c r="F422" t="s">
        <v>59</v>
      </c>
      <c r="G422" s="53">
        <v>6</v>
      </c>
      <c r="H422" t="s">
        <v>133</v>
      </c>
      <c r="I422">
        <v>6</v>
      </c>
      <c r="J422" s="59">
        <f t="shared" si="6"/>
        <v>6</v>
      </c>
    </row>
    <row r="423" spans="1:10">
      <c r="A423" s="43">
        <v>42384</v>
      </c>
      <c r="B423">
        <v>2013</v>
      </c>
      <c r="C423">
        <v>1756</v>
      </c>
      <c r="D423">
        <v>422</v>
      </c>
      <c r="E423">
        <v>8550</v>
      </c>
      <c r="F423" t="s">
        <v>59</v>
      </c>
      <c r="G423" s="53">
        <v>6</v>
      </c>
      <c r="H423" t="s">
        <v>133</v>
      </c>
      <c r="I423">
        <v>6</v>
      </c>
      <c r="J423" s="59">
        <f t="shared" si="6"/>
        <v>6</v>
      </c>
    </row>
    <row r="424" spans="1:10">
      <c r="A424" s="43">
        <v>43234</v>
      </c>
      <c r="B424">
        <v>2013</v>
      </c>
      <c r="C424">
        <v>1756</v>
      </c>
      <c r="D424">
        <v>423</v>
      </c>
      <c r="E424">
        <v>14000</v>
      </c>
      <c r="F424" t="s">
        <v>59</v>
      </c>
      <c r="G424" s="53">
        <v>7</v>
      </c>
      <c r="H424" t="s">
        <v>133</v>
      </c>
      <c r="I424">
        <v>6</v>
      </c>
      <c r="J424" s="59">
        <f t="shared" si="6"/>
        <v>7</v>
      </c>
    </row>
    <row r="425" spans="1:10">
      <c r="A425" s="43">
        <v>43206</v>
      </c>
      <c r="B425">
        <v>2016</v>
      </c>
      <c r="C425">
        <v>1756</v>
      </c>
      <c r="D425">
        <v>424</v>
      </c>
      <c r="E425">
        <v>14000</v>
      </c>
      <c r="F425" t="s">
        <v>59</v>
      </c>
      <c r="G425" s="53">
        <v>7</v>
      </c>
      <c r="H425" t="s">
        <v>133</v>
      </c>
      <c r="I425">
        <v>3</v>
      </c>
      <c r="J425" s="59">
        <f t="shared" si="6"/>
        <v>7</v>
      </c>
    </row>
    <row r="426" spans="1:10">
      <c r="A426" s="43">
        <v>43193</v>
      </c>
      <c r="B426">
        <v>2016</v>
      </c>
      <c r="C426">
        <v>1756</v>
      </c>
      <c r="D426">
        <v>425</v>
      </c>
      <c r="E426">
        <v>13500</v>
      </c>
      <c r="F426" t="s">
        <v>59</v>
      </c>
      <c r="G426" s="53">
        <v>7</v>
      </c>
      <c r="H426" t="s">
        <v>133</v>
      </c>
      <c r="I426">
        <v>3</v>
      </c>
      <c r="J426" s="59">
        <f t="shared" si="6"/>
        <v>7</v>
      </c>
    </row>
    <row r="427" spans="1:10">
      <c r="A427" s="43">
        <v>43062</v>
      </c>
      <c r="B427">
        <v>2013</v>
      </c>
      <c r="C427">
        <v>1756</v>
      </c>
      <c r="D427">
        <v>426</v>
      </c>
      <c r="E427">
        <v>10500</v>
      </c>
      <c r="F427" t="s">
        <v>59</v>
      </c>
      <c r="G427" s="53">
        <v>7</v>
      </c>
      <c r="H427" t="s">
        <v>133</v>
      </c>
      <c r="I427">
        <v>6</v>
      </c>
      <c r="J427" s="59">
        <f t="shared" si="6"/>
        <v>7</v>
      </c>
    </row>
    <row r="428" spans="1:10">
      <c r="A428" s="43">
        <v>43045</v>
      </c>
      <c r="B428">
        <v>2016</v>
      </c>
      <c r="C428">
        <v>1756</v>
      </c>
      <c r="D428">
        <v>427</v>
      </c>
      <c r="E428">
        <v>10200</v>
      </c>
      <c r="F428" t="s">
        <v>59</v>
      </c>
      <c r="G428" s="53">
        <v>7</v>
      </c>
      <c r="H428" t="s">
        <v>133</v>
      </c>
      <c r="I428">
        <v>3</v>
      </c>
      <c r="J428" s="59">
        <f t="shared" si="6"/>
        <v>7</v>
      </c>
    </row>
    <row r="429" spans="1:10">
      <c r="A429" s="43">
        <v>43027</v>
      </c>
      <c r="B429">
        <v>2013</v>
      </c>
      <c r="C429">
        <v>1756</v>
      </c>
      <c r="D429">
        <v>428</v>
      </c>
      <c r="E429">
        <v>10150</v>
      </c>
      <c r="F429" t="s">
        <v>59</v>
      </c>
      <c r="G429" s="53">
        <v>7</v>
      </c>
      <c r="H429" t="s">
        <v>133</v>
      </c>
      <c r="I429">
        <v>6</v>
      </c>
      <c r="J429" s="59">
        <f t="shared" si="6"/>
        <v>7</v>
      </c>
    </row>
    <row r="430" spans="1:10">
      <c r="A430" s="43">
        <v>43535</v>
      </c>
      <c r="B430">
        <v>2017</v>
      </c>
      <c r="C430">
        <v>1756</v>
      </c>
      <c r="D430">
        <v>429</v>
      </c>
      <c r="E430">
        <v>10200</v>
      </c>
      <c r="F430" t="s">
        <v>59</v>
      </c>
      <c r="G430" s="53">
        <v>8</v>
      </c>
      <c r="H430" t="s">
        <v>133</v>
      </c>
      <c r="I430">
        <v>2</v>
      </c>
      <c r="J430" s="59">
        <f t="shared" si="6"/>
        <v>8</v>
      </c>
    </row>
    <row r="431" spans="1:10">
      <c r="A431" s="43">
        <v>43395</v>
      </c>
      <c r="B431">
        <v>2016</v>
      </c>
      <c r="C431">
        <v>1756</v>
      </c>
      <c r="D431">
        <v>430</v>
      </c>
      <c r="E431">
        <v>11500</v>
      </c>
      <c r="F431" t="s">
        <v>59</v>
      </c>
      <c r="G431" s="53">
        <v>8</v>
      </c>
      <c r="H431" t="s">
        <v>133</v>
      </c>
      <c r="I431">
        <v>3</v>
      </c>
      <c r="J431" s="59">
        <f t="shared" si="6"/>
        <v>8</v>
      </c>
    </row>
    <row r="432" spans="1:10">
      <c r="A432" s="43">
        <v>43259</v>
      </c>
      <c r="B432">
        <v>2013</v>
      </c>
      <c r="C432">
        <v>1756</v>
      </c>
      <c r="D432">
        <v>431</v>
      </c>
      <c r="E432">
        <v>14000</v>
      </c>
      <c r="F432" t="s">
        <v>59</v>
      </c>
      <c r="G432" s="53">
        <v>8</v>
      </c>
      <c r="H432" t="s">
        <v>133</v>
      </c>
      <c r="I432">
        <v>6</v>
      </c>
      <c r="J432" s="59">
        <f t="shared" si="6"/>
        <v>8</v>
      </c>
    </row>
    <row r="433" spans="1:10">
      <c r="A433" s="43">
        <v>43138</v>
      </c>
      <c r="B433">
        <v>2017</v>
      </c>
      <c r="C433">
        <v>1756</v>
      </c>
      <c r="D433">
        <v>432</v>
      </c>
      <c r="E433">
        <v>12200</v>
      </c>
      <c r="F433" t="s">
        <v>59</v>
      </c>
      <c r="G433" s="53">
        <v>8</v>
      </c>
      <c r="H433" t="s">
        <v>133</v>
      </c>
      <c r="I433">
        <v>2</v>
      </c>
      <c r="J433" s="59">
        <f t="shared" si="6"/>
        <v>8</v>
      </c>
    </row>
    <row r="434" spans="1:10">
      <c r="A434" s="43">
        <v>42796</v>
      </c>
      <c r="B434">
        <v>2013</v>
      </c>
      <c r="C434">
        <v>1756</v>
      </c>
      <c r="D434">
        <v>433</v>
      </c>
      <c r="E434">
        <v>8050</v>
      </c>
      <c r="F434" t="s">
        <v>59</v>
      </c>
      <c r="G434" s="53">
        <v>8</v>
      </c>
      <c r="H434" t="s">
        <v>133</v>
      </c>
      <c r="I434">
        <v>6</v>
      </c>
      <c r="J434" s="59">
        <f t="shared" si="6"/>
        <v>8</v>
      </c>
    </row>
    <row r="435" spans="1:10">
      <c r="A435" s="43">
        <v>42509</v>
      </c>
      <c r="B435">
        <v>2016</v>
      </c>
      <c r="C435">
        <v>1756</v>
      </c>
      <c r="D435">
        <v>434</v>
      </c>
      <c r="E435">
        <v>8600</v>
      </c>
      <c r="F435" t="s">
        <v>59</v>
      </c>
      <c r="G435" s="53">
        <v>8</v>
      </c>
      <c r="H435" t="s">
        <v>133</v>
      </c>
      <c r="I435">
        <v>3</v>
      </c>
      <c r="J435" s="59">
        <f t="shared" si="6"/>
        <v>8</v>
      </c>
    </row>
    <row r="436" spans="1:10">
      <c r="A436" s="43">
        <v>43346</v>
      </c>
      <c r="B436">
        <v>2016</v>
      </c>
      <c r="C436">
        <v>1756</v>
      </c>
      <c r="D436">
        <v>435</v>
      </c>
      <c r="E436">
        <v>12300</v>
      </c>
      <c r="F436" t="s">
        <v>59</v>
      </c>
      <c r="G436" s="53">
        <v>9</v>
      </c>
      <c r="H436" t="s">
        <v>133</v>
      </c>
      <c r="I436">
        <v>3</v>
      </c>
      <c r="J436" s="59">
        <f t="shared" si="6"/>
        <v>9</v>
      </c>
    </row>
    <row r="437" spans="1:10">
      <c r="A437" s="43">
        <v>42655</v>
      </c>
      <c r="B437">
        <v>2013</v>
      </c>
      <c r="C437">
        <v>1756</v>
      </c>
      <c r="D437">
        <v>436</v>
      </c>
      <c r="E437">
        <v>8375</v>
      </c>
      <c r="F437" t="s">
        <v>59</v>
      </c>
      <c r="G437" s="53">
        <v>9</v>
      </c>
      <c r="H437" t="s">
        <v>133</v>
      </c>
      <c r="I437">
        <v>6</v>
      </c>
      <c r="J437" s="59">
        <f t="shared" si="6"/>
        <v>9</v>
      </c>
    </row>
    <row r="438" spans="1:10">
      <c r="A438" s="43">
        <v>42402</v>
      </c>
      <c r="B438">
        <v>2016</v>
      </c>
      <c r="C438">
        <v>1756</v>
      </c>
      <c r="D438">
        <v>437</v>
      </c>
      <c r="E438">
        <v>8400</v>
      </c>
      <c r="F438" t="s">
        <v>59</v>
      </c>
      <c r="G438" s="53">
        <v>9</v>
      </c>
      <c r="H438" t="s">
        <v>133</v>
      </c>
      <c r="I438">
        <v>3</v>
      </c>
      <c r="J438" s="59">
        <f t="shared" si="6"/>
        <v>9</v>
      </c>
    </row>
    <row r="439" spans="1:10">
      <c r="A439" s="43">
        <v>43612</v>
      </c>
      <c r="B439">
        <v>2019</v>
      </c>
      <c r="C439">
        <v>1762</v>
      </c>
      <c r="D439">
        <v>438</v>
      </c>
      <c r="E439">
        <v>11000</v>
      </c>
      <c r="F439" t="s">
        <v>59</v>
      </c>
      <c r="G439" s="53">
        <v>12</v>
      </c>
      <c r="H439" t="s">
        <v>133</v>
      </c>
      <c r="I439">
        <v>0</v>
      </c>
      <c r="J439" s="59">
        <f t="shared" si="6"/>
        <v>12</v>
      </c>
    </row>
    <row r="440" spans="1:10">
      <c r="A440" s="43">
        <v>43612</v>
      </c>
      <c r="B440">
        <v>2019</v>
      </c>
      <c r="C440">
        <v>1762</v>
      </c>
      <c r="D440">
        <v>439</v>
      </c>
      <c r="E440">
        <v>11000</v>
      </c>
      <c r="F440" t="s">
        <v>59</v>
      </c>
      <c r="G440" s="53">
        <v>12</v>
      </c>
      <c r="H440" t="s">
        <v>133</v>
      </c>
      <c r="I440">
        <v>0</v>
      </c>
      <c r="J440" s="59">
        <f t="shared" si="6"/>
        <v>12</v>
      </c>
    </row>
    <row r="441" spans="1:10">
      <c r="A441" s="43">
        <v>43612</v>
      </c>
      <c r="B441">
        <v>2019</v>
      </c>
      <c r="C441">
        <v>1774</v>
      </c>
      <c r="D441">
        <v>440</v>
      </c>
      <c r="E441">
        <v>11000</v>
      </c>
      <c r="F441" t="s">
        <v>59</v>
      </c>
      <c r="G441" s="53">
        <v>12</v>
      </c>
      <c r="H441" t="s">
        <v>133</v>
      </c>
      <c r="I441">
        <v>0</v>
      </c>
      <c r="J441" s="59">
        <f t="shared" si="6"/>
        <v>12</v>
      </c>
    </row>
    <row r="442" spans="1:10">
      <c r="A442" s="43">
        <v>43493</v>
      </c>
      <c r="B442">
        <v>2019</v>
      </c>
      <c r="C442">
        <v>1774</v>
      </c>
      <c r="D442">
        <v>441</v>
      </c>
      <c r="E442">
        <v>10850</v>
      </c>
      <c r="F442" t="s">
        <v>59</v>
      </c>
      <c r="G442" s="53">
        <v>6</v>
      </c>
      <c r="H442" t="s">
        <v>133</v>
      </c>
      <c r="I442">
        <v>0</v>
      </c>
      <c r="J442" s="59">
        <f t="shared" si="6"/>
        <v>6</v>
      </c>
    </row>
    <row r="443" spans="1:10">
      <c r="A443" s="43">
        <v>43374</v>
      </c>
      <c r="B443">
        <v>2018</v>
      </c>
      <c r="C443">
        <v>1774</v>
      </c>
      <c r="D443">
        <v>442</v>
      </c>
      <c r="E443">
        <v>12000</v>
      </c>
      <c r="F443" t="s">
        <v>59</v>
      </c>
      <c r="G443" s="53">
        <v>6</v>
      </c>
      <c r="H443" t="s">
        <v>133</v>
      </c>
      <c r="I443">
        <v>1</v>
      </c>
      <c r="J443" s="59">
        <f t="shared" si="6"/>
        <v>6</v>
      </c>
    </row>
    <row r="444" spans="1:10">
      <c r="A444" s="43">
        <v>43542</v>
      </c>
      <c r="B444">
        <v>2018</v>
      </c>
      <c r="C444">
        <v>1774</v>
      </c>
      <c r="D444">
        <v>443</v>
      </c>
      <c r="E444">
        <v>11475</v>
      </c>
      <c r="F444" t="s">
        <v>59</v>
      </c>
      <c r="G444" s="53">
        <v>7</v>
      </c>
      <c r="H444" t="s">
        <v>133</v>
      </c>
      <c r="I444">
        <v>1</v>
      </c>
      <c r="J444" s="59">
        <f t="shared" si="6"/>
        <v>7</v>
      </c>
    </row>
    <row r="445" spans="1:10">
      <c r="A445" s="43">
        <v>43528</v>
      </c>
      <c r="B445">
        <v>2016</v>
      </c>
      <c r="C445">
        <v>1785</v>
      </c>
      <c r="D445">
        <v>444</v>
      </c>
      <c r="E445">
        <v>10150</v>
      </c>
      <c r="F445" t="s">
        <v>59</v>
      </c>
      <c r="G445" s="53">
        <v>5</v>
      </c>
      <c r="H445" t="s">
        <v>133</v>
      </c>
      <c r="I445">
        <v>3</v>
      </c>
      <c r="J445" s="59">
        <f t="shared" si="6"/>
        <v>5</v>
      </c>
    </row>
    <row r="446" spans="1:10">
      <c r="A446" s="43">
        <v>43070</v>
      </c>
      <c r="B446">
        <v>2013</v>
      </c>
      <c r="C446">
        <v>1800</v>
      </c>
      <c r="D446">
        <v>445</v>
      </c>
      <c r="E446">
        <v>9950</v>
      </c>
      <c r="F446" t="s">
        <v>59</v>
      </c>
      <c r="G446" s="53">
        <v>3</v>
      </c>
      <c r="H446" t="s">
        <v>133</v>
      </c>
      <c r="I446">
        <v>6</v>
      </c>
      <c r="J446" s="59">
        <f t="shared" si="6"/>
        <v>3</v>
      </c>
    </row>
    <row r="447" spans="1:10">
      <c r="A447" s="43">
        <v>43388</v>
      </c>
      <c r="B447">
        <v>2012</v>
      </c>
      <c r="C447">
        <v>1800</v>
      </c>
      <c r="D447">
        <v>446</v>
      </c>
      <c r="E447">
        <v>8750</v>
      </c>
      <c r="F447" t="s">
        <v>59</v>
      </c>
      <c r="G447" s="53">
        <v>6</v>
      </c>
      <c r="H447" t="s">
        <v>133</v>
      </c>
      <c r="I447">
        <v>7</v>
      </c>
      <c r="J447" s="59">
        <f t="shared" si="6"/>
        <v>6</v>
      </c>
    </row>
    <row r="448" spans="1:10">
      <c r="A448" s="43">
        <v>43208</v>
      </c>
      <c r="B448">
        <v>2013</v>
      </c>
      <c r="C448">
        <v>1800</v>
      </c>
      <c r="D448">
        <v>447</v>
      </c>
      <c r="E448">
        <v>13000</v>
      </c>
      <c r="F448" t="s">
        <v>59</v>
      </c>
      <c r="G448" s="53">
        <v>6</v>
      </c>
      <c r="H448" t="s">
        <v>133</v>
      </c>
      <c r="I448">
        <v>6</v>
      </c>
      <c r="J448" s="59">
        <f t="shared" si="6"/>
        <v>6</v>
      </c>
    </row>
    <row r="449" spans="1:10">
      <c r="A449" s="43">
        <v>42703</v>
      </c>
      <c r="B449">
        <v>2013</v>
      </c>
      <c r="C449">
        <v>1800</v>
      </c>
      <c r="D449">
        <v>448</v>
      </c>
      <c r="E449">
        <v>7800</v>
      </c>
      <c r="F449" t="s">
        <v>59</v>
      </c>
      <c r="G449" s="53">
        <v>6</v>
      </c>
      <c r="H449" t="s">
        <v>133</v>
      </c>
      <c r="I449">
        <v>6</v>
      </c>
      <c r="J449" s="59">
        <f t="shared" si="6"/>
        <v>6</v>
      </c>
    </row>
    <row r="450" spans="1:10">
      <c r="A450" s="43">
        <v>43139</v>
      </c>
      <c r="B450">
        <v>2012</v>
      </c>
      <c r="C450">
        <v>1800</v>
      </c>
      <c r="D450">
        <v>449</v>
      </c>
      <c r="E450">
        <v>8900</v>
      </c>
      <c r="F450" t="s">
        <v>59</v>
      </c>
      <c r="G450" s="53">
        <v>7</v>
      </c>
      <c r="H450" t="s">
        <v>133</v>
      </c>
      <c r="I450">
        <v>7</v>
      </c>
      <c r="J450" s="59">
        <f t="shared" ref="J450:J513" si="7">IF(H450="days",ROUND(G450/30,0),IF(H450="years",G450*12,G450))</f>
        <v>7</v>
      </c>
    </row>
    <row r="451" spans="1:10">
      <c r="A451" s="43">
        <v>43602</v>
      </c>
      <c r="B451">
        <v>2017</v>
      </c>
      <c r="C451">
        <v>1805</v>
      </c>
      <c r="D451">
        <v>450</v>
      </c>
      <c r="E451">
        <v>10500</v>
      </c>
      <c r="F451" t="s">
        <v>59</v>
      </c>
      <c r="G451" s="53">
        <v>6</v>
      </c>
      <c r="H451" t="s">
        <v>133</v>
      </c>
      <c r="I451">
        <v>2</v>
      </c>
      <c r="J451" s="59">
        <f t="shared" si="7"/>
        <v>6</v>
      </c>
    </row>
    <row r="452" spans="1:10">
      <c r="A452" s="43">
        <v>43405</v>
      </c>
      <c r="B452">
        <v>2017</v>
      </c>
      <c r="C452">
        <v>1805</v>
      </c>
      <c r="D452">
        <v>451</v>
      </c>
      <c r="E452">
        <v>11500</v>
      </c>
      <c r="F452" t="s">
        <v>59</v>
      </c>
      <c r="G452" s="53">
        <v>6</v>
      </c>
      <c r="H452" t="s">
        <v>133</v>
      </c>
      <c r="I452">
        <v>2</v>
      </c>
      <c r="J452" s="59">
        <f t="shared" si="7"/>
        <v>6</v>
      </c>
    </row>
    <row r="453" spans="1:10">
      <c r="A453" s="43">
        <v>43221</v>
      </c>
      <c r="B453">
        <v>2017</v>
      </c>
      <c r="C453">
        <v>1805</v>
      </c>
      <c r="D453">
        <v>452</v>
      </c>
      <c r="E453">
        <v>13250</v>
      </c>
      <c r="F453" t="s">
        <v>59</v>
      </c>
      <c r="G453" s="53">
        <v>6</v>
      </c>
      <c r="H453" t="s">
        <v>133</v>
      </c>
      <c r="I453">
        <v>2</v>
      </c>
      <c r="J453" s="59">
        <f t="shared" si="7"/>
        <v>6</v>
      </c>
    </row>
    <row r="454" spans="1:10">
      <c r="A454" s="43">
        <v>43403</v>
      </c>
      <c r="B454">
        <v>2017</v>
      </c>
      <c r="C454">
        <v>1805</v>
      </c>
      <c r="D454">
        <v>453</v>
      </c>
      <c r="E454">
        <v>11500</v>
      </c>
      <c r="F454" t="s">
        <v>59</v>
      </c>
      <c r="G454" s="53">
        <v>7</v>
      </c>
      <c r="H454" t="s">
        <v>133</v>
      </c>
      <c r="I454">
        <v>2</v>
      </c>
      <c r="J454" s="59">
        <f t="shared" si="7"/>
        <v>7</v>
      </c>
    </row>
    <row r="455" spans="1:10">
      <c r="A455" s="43">
        <v>43161</v>
      </c>
      <c r="B455">
        <v>2017</v>
      </c>
      <c r="C455">
        <v>1805</v>
      </c>
      <c r="D455">
        <v>454</v>
      </c>
      <c r="E455">
        <v>12000</v>
      </c>
      <c r="F455" t="s">
        <v>59</v>
      </c>
      <c r="G455" s="53">
        <v>8</v>
      </c>
      <c r="H455" t="s">
        <v>133</v>
      </c>
      <c r="I455">
        <v>2</v>
      </c>
      <c r="J455" s="59">
        <f t="shared" si="7"/>
        <v>8</v>
      </c>
    </row>
    <row r="456" spans="1:10">
      <c r="A456" s="43">
        <v>43151</v>
      </c>
      <c r="B456">
        <v>2017</v>
      </c>
      <c r="C456">
        <v>1805</v>
      </c>
      <c r="D456">
        <v>455</v>
      </c>
      <c r="E456">
        <v>12000</v>
      </c>
      <c r="F456" t="s">
        <v>59</v>
      </c>
      <c r="G456" s="53">
        <v>8</v>
      </c>
      <c r="H456" t="s">
        <v>133</v>
      </c>
      <c r="I456">
        <v>2</v>
      </c>
      <c r="J456" s="59">
        <f t="shared" si="7"/>
        <v>8</v>
      </c>
    </row>
    <row r="457" spans="1:10">
      <c r="A457" s="43">
        <v>42887</v>
      </c>
      <c r="B457">
        <v>2017</v>
      </c>
      <c r="C457">
        <v>1808</v>
      </c>
      <c r="D457">
        <v>456</v>
      </c>
      <c r="E457">
        <v>7000</v>
      </c>
      <c r="F457" t="s">
        <v>59</v>
      </c>
      <c r="G457" s="61">
        <v>30</v>
      </c>
      <c r="H457" t="s">
        <v>60</v>
      </c>
      <c r="I457">
        <v>2</v>
      </c>
      <c r="J457" s="59">
        <f t="shared" si="7"/>
        <v>1</v>
      </c>
    </row>
    <row r="458" spans="1:10">
      <c r="A458" s="43">
        <v>43592</v>
      </c>
      <c r="B458">
        <v>2019</v>
      </c>
      <c r="C458">
        <v>1809</v>
      </c>
      <c r="D458">
        <v>457</v>
      </c>
      <c r="E458">
        <v>11000</v>
      </c>
      <c r="F458" t="s">
        <v>59</v>
      </c>
      <c r="G458" s="53">
        <v>6</v>
      </c>
      <c r="H458" t="s">
        <v>133</v>
      </c>
      <c r="I458">
        <v>0</v>
      </c>
      <c r="J458" s="59">
        <f t="shared" si="7"/>
        <v>6</v>
      </c>
    </row>
    <row r="459" spans="1:10">
      <c r="A459" s="43">
        <v>43139</v>
      </c>
      <c r="B459">
        <v>2013</v>
      </c>
      <c r="C459">
        <v>1891</v>
      </c>
      <c r="D459">
        <v>458</v>
      </c>
      <c r="E459">
        <v>11000</v>
      </c>
      <c r="F459" t="s">
        <v>59</v>
      </c>
      <c r="G459" s="53">
        <v>6</v>
      </c>
      <c r="H459" t="s">
        <v>133</v>
      </c>
      <c r="I459">
        <v>6</v>
      </c>
      <c r="J459" s="59">
        <f t="shared" si="7"/>
        <v>6</v>
      </c>
    </row>
    <row r="460" spans="1:10">
      <c r="A460" s="43">
        <v>43528</v>
      </c>
      <c r="B460">
        <v>2013</v>
      </c>
      <c r="C460">
        <v>1891</v>
      </c>
      <c r="D460">
        <v>459</v>
      </c>
      <c r="E460">
        <v>10200</v>
      </c>
      <c r="F460" t="s">
        <v>59</v>
      </c>
      <c r="G460" s="53">
        <v>8</v>
      </c>
      <c r="H460" t="s">
        <v>133</v>
      </c>
      <c r="I460">
        <v>6</v>
      </c>
      <c r="J460" s="59">
        <f t="shared" si="7"/>
        <v>8</v>
      </c>
    </row>
    <row r="461" spans="1:10">
      <c r="A461" s="43">
        <v>42948</v>
      </c>
      <c r="B461">
        <v>2017</v>
      </c>
      <c r="C461">
        <v>1900</v>
      </c>
      <c r="D461">
        <v>460</v>
      </c>
      <c r="E461">
        <v>8900</v>
      </c>
      <c r="F461" t="s">
        <v>59</v>
      </c>
      <c r="G461" s="53">
        <v>6</v>
      </c>
      <c r="H461" t="s">
        <v>133</v>
      </c>
      <c r="I461">
        <v>2</v>
      </c>
      <c r="J461" s="59">
        <f t="shared" si="7"/>
        <v>6</v>
      </c>
    </row>
    <row r="462" spans="1:10">
      <c r="A462" s="43">
        <v>43215</v>
      </c>
      <c r="B462">
        <v>2016</v>
      </c>
      <c r="C462">
        <v>1922</v>
      </c>
      <c r="D462">
        <v>461</v>
      </c>
      <c r="E462">
        <v>14750</v>
      </c>
      <c r="F462" t="s">
        <v>59</v>
      </c>
      <c r="G462" s="53">
        <v>12</v>
      </c>
      <c r="H462" t="s">
        <v>133</v>
      </c>
      <c r="I462">
        <v>3</v>
      </c>
      <c r="J462" s="59">
        <f t="shared" si="7"/>
        <v>12</v>
      </c>
    </row>
    <row r="463" spans="1:10">
      <c r="A463" s="43">
        <v>43563</v>
      </c>
      <c r="B463">
        <v>2016</v>
      </c>
      <c r="C463">
        <v>1922</v>
      </c>
      <c r="D463">
        <v>462</v>
      </c>
      <c r="E463">
        <v>14300</v>
      </c>
      <c r="F463" t="s">
        <v>59</v>
      </c>
      <c r="G463" s="61">
        <v>45</v>
      </c>
      <c r="H463" t="s">
        <v>60</v>
      </c>
      <c r="I463">
        <v>3</v>
      </c>
      <c r="J463" s="59">
        <f t="shared" si="7"/>
        <v>2</v>
      </c>
    </row>
    <row r="464" spans="1:10">
      <c r="A464" s="43">
        <v>43185</v>
      </c>
      <c r="B464">
        <v>2016</v>
      </c>
      <c r="C464">
        <v>1922</v>
      </c>
      <c r="D464">
        <v>463</v>
      </c>
      <c r="E464">
        <v>14750</v>
      </c>
      <c r="F464" t="s">
        <v>59</v>
      </c>
      <c r="G464" s="53">
        <v>6</v>
      </c>
      <c r="H464" t="s">
        <v>133</v>
      </c>
      <c r="I464">
        <v>3</v>
      </c>
      <c r="J464" s="59">
        <f t="shared" si="7"/>
        <v>6</v>
      </c>
    </row>
    <row r="465" spans="1:10">
      <c r="A465" s="43">
        <v>42838</v>
      </c>
      <c r="B465">
        <v>2017</v>
      </c>
      <c r="C465">
        <v>1922</v>
      </c>
      <c r="D465">
        <v>464</v>
      </c>
      <c r="E465">
        <v>10250</v>
      </c>
      <c r="F465" t="s">
        <v>59</v>
      </c>
      <c r="G465" s="53">
        <v>6</v>
      </c>
      <c r="H465" t="s">
        <v>133</v>
      </c>
      <c r="I465">
        <v>2</v>
      </c>
      <c r="J465" s="59">
        <f t="shared" si="7"/>
        <v>6</v>
      </c>
    </row>
    <row r="466" spans="1:10">
      <c r="A466" s="43">
        <v>42993</v>
      </c>
      <c r="B466">
        <v>2017</v>
      </c>
      <c r="C466">
        <v>1922</v>
      </c>
      <c r="D466">
        <v>465</v>
      </c>
      <c r="E466">
        <v>10750</v>
      </c>
      <c r="F466" t="s">
        <v>59</v>
      </c>
      <c r="G466" s="53">
        <v>8</v>
      </c>
      <c r="H466" t="s">
        <v>133</v>
      </c>
      <c r="I466">
        <v>2</v>
      </c>
      <c r="J466" s="59">
        <f t="shared" si="7"/>
        <v>8</v>
      </c>
    </row>
    <row r="467" spans="1:10">
      <c r="A467" s="43">
        <v>43104</v>
      </c>
      <c r="B467">
        <v>2017</v>
      </c>
      <c r="C467">
        <v>1946</v>
      </c>
      <c r="D467">
        <v>466</v>
      </c>
      <c r="E467">
        <v>10500</v>
      </c>
      <c r="F467" t="s">
        <v>59</v>
      </c>
      <c r="G467" s="53">
        <v>6</v>
      </c>
      <c r="H467" t="s">
        <v>133</v>
      </c>
      <c r="I467">
        <v>2</v>
      </c>
      <c r="J467" s="59">
        <f t="shared" si="7"/>
        <v>6</v>
      </c>
    </row>
    <row r="468" spans="1:10">
      <c r="A468" s="43">
        <v>43070</v>
      </c>
      <c r="B468">
        <v>2017</v>
      </c>
      <c r="C468">
        <v>1946</v>
      </c>
      <c r="D468">
        <v>467</v>
      </c>
      <c r="E468">
        <v>10500</v>
      </c>
      <c r="F468" t="s">
        <v>59</v>
      </c>
      <c r="G468" s="53">
        <v>6</v>
      </c>
      <c r="H468" t="s">
        <v>133</v>
      </c>
      <c r="I468">
        <v>2</v>
      </c>
      <c r="J468" s="59">
        <f t="shared" si="7"/>
        <v>6</v>
      </c>
    </row>
    <row r="469" spans="1:10">
      <c r="A469" s="43">
        <v>43062</v>
      </c>
      <c r="B469">
        <v>2018</v>
      </c>
      <c r="C469">
        <v>1946</v>
      </c>
      <c r="D469">
        <v>468</v>
      </c>
      <c r="E469">
        <v>10000</v>
      </c>
      <c r="F469" t="s">
        <v>59</v>
      </c>
      <c r="G469" s="53">
        <v>7</v>
      </c>
      <c r="H469" t="s">
        <v>133</v>
      </c>
      <c r="I469">
        <v>1</v>
      </c>
      <c r="J469" s="59">
        <f t="shared" si="7"/>
        <v>7</v>
      </c>
    </row>
    <row r="470" spans="1:10">
      <c r="A470" s="43">
        <v>42459</v>
      </c>
      <c r="B470">
        <v>2016</v>
      </c>
      <c r="C470">
        <v>1980</v>
      </c>
      <c r="D470">
        <v>469</v>
      </c>
      <c r="E470">
        <v>9200</v>
      </c>
      <c r="F470" t="s">
        <v>59</v>
      </c>
      <c r="G470" s="53">
        <v>9</v>
      </c>
      <c r="H470" t="s">
        <v>133</v>
      </c>
      <c r="I470">
        <v>3</v>
      </c>
      <c r="J470" s="59">
        <f t="shared" si="7"/>
        <v>9</v>
      </c>
    </row>
    <row r="471" spans="1:10">
      <c r="A471" s="43">
        <v>43286</v>
      </c>
      <c r="B471">
        <v>2016</v>
      </c>
      <c r="C471">
        <v>2034</v>
      </c>
      <c r="D471">
        <v>470</v>
      </c>
      <c r="E471">
        <v>13500</v>
      </c>
      <c r="F471" t="s">
        <v>59</v>
      </c>
      <c r="G471" s="53">
        <v>12</v>
      </c>
      <c r="H471" t="s">
        <v>133</v>
      </c>
      <c r="I471">
        <v>3</v>
      </c>
      <c r="J471" s="59">
        <f t="shared" si="7"/>
        <v>12</v>
      </c>
    </row>
    <row r="472" spans="1:10">
      <c r="A472" s="43">
        <v>43273</v>
      </c>
      <c r="B472">
        <v>2016</v>
      </c>
      <c r="C472">
        <v>2034</v>
      </c>
      <c r="D472">
        <v>471</v>
      </c>
      <c r="E472">
        <v>13500</v>
      </c>
      <c r="F472" t="s">
        <v>59</v>
      </c>
      <c r="G472" s="53">
        <v>13</v>
      </c>
      <c r="H472" t="s">
        <v>133</v>
      </c>
      <c r="I472">
        <v>3</v>
      </c>
      <c r="J472" s="59">
        <f t="shared" si="7"/>
        <v>13</v>
      </c>
    </row>
    <row r="473" spans="1:10">
      <c r="A473" s="43">
        <v>42951</v>
      </c>
      <c r="B473">
        <v>2016</v>
      </c>
      <c r="C473">
        <v>2034</v>
      </c>
      <c r="D473">
        <v>472</v>
      </c>
      <c r="E473">
        <v>9250</v>
      </c>
      <c r="F473" t="s">
        <v>59</v>
      </c>
      <c r="G473" s="53">
        <v>5</v>
      </c>
      <c r="H473" t="s">
        <v>133</v>
      </c>
      <c r="I473">
        <v>3</v>
      </c>
      <c r="J473" s="59">
        <f t="shared" si="7"/>
        <v>5</v>
      </c>
    </row>
    <row r="474" spans="1:10">
      <c r="A474" s="43">
        <v>43054</v>
      </c>
      <c r="B474">
        <v>2016</v>
      </c>
      <c r="C474">
        <v>2034</v>
      </c>
      <c r="D474">
        <v>473</v>
      </c>
      <c r="E474">
        <v>10000</v>
      </c>
      <c r="F474" t="s">
        <v>59</v>
      </c>
      <c r="G474" s="53">
        <v>7</v>
      </c>
      <c r="H474" t="s">
        <v>133</v>
      </c>
      <c r="I474">
        <v>3</v>
      </c>
      <c r="J474" s="59">
        <f t="shared" si="7"/>
        <v>7</v>
      </c>
    </row>
    <row r="475" spans="1:10">
      <c r="A475" s="43">
        <v>42613</v>
      </c>
      <c r="B475">
        <v>2016</v>
      </c>
      <c r="C475">
        <v>2034</v>
      </c>
      <c r="D475">
        <v>474</v>
      </c>
      <c r="E475">
        <v>8500</v>
      </c>
      <c r="F475" t="s">
        <v>59</v>
      </c>
      <c r="G475" s="53">
        <v>7</v>
      </c>
      <c r="H475" t="s">
        <v>133</v>
      </c>
      <c r="I475">
        <v>3</v>
      </c>
      <c r="J475" s="59">
        <f t="shared" si="7"/>
        <v>7</v>
      </c>
    </row>
    <row r="476" spans="1:10">
      <c r="A476" s="43">
        <v>43559</v>
      </c>
      <c r="B476">
        <v>2017</v>
      </c>
      <c r="C476">
        <v>2034</v>
      </c>
      <c r="D476">
        <v>475</v>
      </c>
      <c r="E476">
        <v>10750</v>
      </c>
      <c r="F476" t="s">
        <v>59</v>
      </c>
      <c r="G476" s="53">
        <v>8</v>
      </c>
      <c r="H476" t="s">
        <v>133</v>
      </c>
      <c r="I476">
        <v>2</v>
      </c>
      <c r="J476" s="59">
        <f t="shared" si="7"/>
        <v>8</v>
      </c>
    </row>
    <row r="477" spans="1:10">
      <c r="A477" s="43">
        <v>42963</v>
      </c>
      <c r="B477">
        <v>2016</v>
      </c>
      <c r="C477">
        <v>2190</v>
      </c>
      <c r="D477">
        <v>476</v>
      </c>
      <c r="E477">
        <v>11300</v>
      </c>
      <c r="F477" t="s">
        <v>59</v>
      </c>
      <c r="G477" s="53">
        <v>10</v>
      </c>
      <c r="H477" t="s">
        <v>133</v>
      </c>
      <c r="I477">
        <v>3</v>
      </c>
      <c r="J477" s="59">
        <f t="shared" si="7"/>
        <v>10</v>
      </c>
    </row>
    <row r="478" spans="1:10">
      <c r="A478" s="43">
        <v>42752</v>
      </c>
      <c r="B478">
        <v>2017</v>
      </c>
      <c r="C478">
        <v>2190</v>
      </c>
      <c r="D478">
        <v>477</v>
      </c>
      <c r="E478">
        <v>9500</v>
      </c>
      <c r="F478" t="s">
        <v>59</v>
      </c>
      <c r="G478" s="53">
        <v>10</v>
      </c>
      <c r="H478" t="s">
        <v>133</v>
      </c>
      <c r="I478">
        <v>2</v>
      </c>
      <c r="J478" s="59">
        <f t="shared" si="7"/>
        <v>10</v>
      </c>
    </row>
    <row r="479" spans="1:10">
      <c r="A479" s="43">
        <v>42508</v>
      </c>
      <c r="B479">
        <v>2015</v>
      </c>
      <c r="C479">
        <v>2190</v>
      </c>
      <c r="D479">
        <v>478</v>
      </c>
      <c r="E479">
        <v>9525</v>
      </c>
      <c r="F479" t="s">
        <v>59</v>
      </c>
      <c r="G479" s="53">
        <v>10</v>
      </c>
      <c r="H479" t="s">
        <v>133</v>
      </c>
      <c r="I479">
        <v>4</v>
      </c>
      <c r="J479" s="59">
        <f t="shared" si="7"/>
        <v>10</v>
      </c>
    </row>
    <row r="480" spans="1:10">
      <c r="A480" s="43">
        <v>42464</v>
      </c>
      <c r="B480">
        <v>2014</v>
      </c>
      <c r="C480">
        <v>2190</v>
      </c>
      <c r="D480">
        <v>479</v>
      </c>
      <c r="E480">
        <v>9750</v>
      </c>
      <c r="F480" t="s">
        <v>59</v>
      </c>
      <c r="G480" s="53">
        <v>10</v>
      </c>
      <c r="H480" t="s">
        <v>133</v>
      </c>
      <c r="I480">
        <v>5</v>
      </c>
      <c r="J480" s="59">
        <f t="shared" si="7"/>
        <v>10</v>
      </c>
    </row>
    <row r="481" spans="1:10">
      <c r="A481" s="43">
        <v>43238</v>
      </c>
      <c r="B481">
        <v>2014</v>
      </c>
      <c r="C481">
        <v>2190</v>
      </c>
      <c r="D481">
        <v>480</v>
      </c>
      <c r="E481">
        <v>15250</v>
      </c>
      <c r="F481" t="s">
        <v>59</v>
      </c>
      <c r="G481" s="53">
        <v>12</v>
      </c>
      <c r="H481" t="s">
        <v>133</v>
      </c>
      <c r="I481">
        <v>5</v>
      </c>
      <c r="J481" s="59">
        <f t="shared" si="7"/>
        <v>12</v>
      </c>
    </row>
    <row r="482" spans="1:10">
      <c r="A482" s="43">
        <v>42775</v>
      </c>
      <c r="B482">
        <v>2014</v>
      </c>
      <c r="C482">
        <v>2190</v>
      </c>
      <c r="D482">
        <v>481</v>
      </c>
      <c r="E482">
        <v>8900</v>
      </c>
      <c r="F482" t="s">
        <v>59</v>
      </c>
      <c r="G482" s="53">
        <v>12</v>
      </c>
      <c r="H482" t="s">
        <v>133</v>
      </c>
      <c r="I482">
        <v>5</v>
      </c>
      <c r="J482" s="59">
        <f t="shared" si="7"/>
        <v>12</v>
      </c>
    </row>
    <row r="483" spans="1:10">
      <c r="A483" s="43">
        <v>42415</v>
      </c>
      <c r="B483">
        <v>2014</v>
      </c>
      <c r="C483">
        <v>2190</v>
      </c>
      <c r="D483">
        <v>482</v>
      </c>
      <c r="E483">
        <v>9750</v>
      </c>
      <c r="F483" t="s">
        <v>59</v>
      </c>
      <c r="G483" s="53">
        <v>12</v>
      </c>
      <c r="H483" t="s">
        <v>133</v>
      </c>
      <c r="I483">
        <v>5</v>
      </c>
      <c r="J483" s="59">
        <f t="shared" si="7"/>
        <v>12</v>
      </c>
    </row>
    <row r="484" spans="1:10">
      <c r="A484" s="43">
        <v>43570</v>
      </c>
      <c r="B484">
        <v>2015</v>
      </c>
      <c r="C484">
        <v>2190</v>
      </c>
      <c r="D484">
        <v>483</v>
      </c>
      <c r="E484">
        <v>10350</v>
      </c>
      <c r="F484" t="s">
        <v>59</v>
      </c>
      <c r="G484" s="53">
        <v>15</v>
      </c>
      <c r="H484" t="s">
        <v>133</v>
      </c>
      <c r="I484">
        <v>4</v>
      </c>
      <c r="J484" s="59">
        <f t="shared" si="7"/>
        <v>15</v>
      </c>
    </row>
    <row r="485" spans="1:10">
      <c r="A485" s="43">
        <v>42885</v>
      </c>
      <c r="B485">
        <v>2017</v>
      </c>
      <c r="C485">
        <v>2190</v>
      </c>
      <c r="D485">
        <v>484</v>
      </c>
      <c r="E485">
        <v>10750</v>
      </c>
      <c r="F485" t="s">
        <v>59</v>
      </c>
      <c r="G485" s="61">
        <v>160</v>
      </c>
      <c r="H485" t="s">
        <v>60</v>
      </c>
      <c r="I485">
        <v>2</v>
      </c>
      <c r="J485" s="59">
        <f t="shared" si="7"/>
        <v>5</v>
      </c>
    </row>
    <row r="486" spans="1:10">
      <c r="A486" s="43">
        <v>43592</v>
      </c>
      <c r="B486">
        <v>2014</v>
      </c>
      <c r="C486">
        <v>2190</v>
      </c>
      <c r="D486">
        <v>485</v>
      </c>
      <c r="E486">
        <v>10750</v>
      </c>
      <c r="F486" t="s">
        <v>59</v>
      </c>
      <c r="G486" s="53">
        <v>2</v>
      </c>
      <c r="H486" t="s">
        <v>133</v>
      </c>
      <c r="I486">
        <v>5</v>
      </c>
      <c r="J486" s="59">
        <f t="shared" si="7"/>
        <v>2</v>
      </c>
    </row>
    <row r="487" spans="1:10">
      <c r="A487" s="43">
        <v>43250</v>
      </c>
      <c r="B487">
        <v>2016</v>
      </c>
      <c r="C487">
        <v>2190</v>
      </c>
      <c r="D487">
        <v>486</v>
      </c>
      <c r="E487">
        <v>15350</v>
      </c>
      <c r="F487" t="s">
        <v>59</v>
      </c>
      <c r="G487" s="53">
        <v>2</v>
      </c>
      <c r="H487" t="s">
        <v>133</v>
      </c>
      <c r="I487">
        <v>3</v>
      </c>
      <c r="J487" s="59">
        <f t="shared" si="7"/>
        <v>2</v>
      </c>
    </row>
    <row r="488" spans="1:10">
      <c r="A488" s="43">
        <v>43376</v>
      </c>
      <c r="B488">
        <v>2016</v>
      </c>
      <c r="C488">
        <v>2190</v>
      </c>
      <c r="D488">
        <v>487</v>
      </c>
      <c r="E488">
        <v>14100</v>
      </c>
      <c r="F488" t="s">
        <v>59</v>
      </c>
      <c r="G488" s="53">
        <v>3</v>
      </c>
      <c r="H488" t="s">
        <v>133</v>
      </c>
      <c r="I488">
        <v>3</v>
      </c>
      <c r="J488" s="59">
        <f t="shared" si="7"/>
        <v>3</v>
      </c>
    </row>
    <row r="489" spans="1:10">
      <c r="A489" s="43">
        <v>42825</v>
      </c>
      <c r="B489">
        <v>2017</v>
      </c>
      <c r="C489">
        <v>2190</v>
      </c>
      <c r="D489">
        <v>488</v>
      </c>
      <c r="E489">
        <v>11000</v>
      </c>
      <c r="F489" t="s">
        <v>59</v>
      </c>
      <c r="G489" s="53">
        <v>3</v>
      </c>
      <c r="H489" t="s">
        <v>133</v>
      </c>
      <c r="I489">
        <v>2</v>
      </c>
      <c r="J489" s="59">
        <f t="shared" si="7"/>
        <v>3</v>
      </c>
    </row>
    <row r="490" spans="1:10">
      <c r="A490" s="43">
        <v>43342</v>
      </c>
      <c r="B490">
        <v>2015</v>
      </c>
      <c r="C490">
        <v>2190</v>
      </c>
      <c r="D490">
        <v>489</v>
      </c>
      <c r="E490">
        <v>13800</v>
      </c>
      <c r="F490" t="s">
        <v>59</v>
      </c>
      <c r="G490" s="53">
        <v>4</v>
      </c>
      <c r="H490" t="s">
        <v>133</v>
      </c>
      <c r="I490">
        <v>4</v>
      </c>
      <c r="J490" s="59">
        <f t="shared" si="7"/>
        <v>4</v>
      </c>
    </row>
    <row r="491" spans="1:10">
      <c r="A491" s="43">
        <v>43522</v>
      </c>
      <c r="B491">
        <v>2014</v>
      </c>
      <c r="C491">
        <v>2190</v>
      </c>
      <c r="D491">
        <v>490</v>
      </c>
      <c r="E491">
        <v>12000</v>
      </c>
      <c r="F491" t="s">
        <v>59</v>
      </c>
      <c r="G491" s="61">
        <v>42</v>
      </c>
      <c r="H491" t="s">
        <v>60</v>
      </c>
      <c r="I491">
        <v>5</v>
      </c>
      <c r="J491" s="59">
        <f t="shared" si="7"/>
        <v>1</v>
      </c>
    </row>
    <row r="492" spans="1:10">
      <c r="A492" s="43">
        <v>43276</v>
      </c>
      <c r="B492">
        <v>2015</v>
      </c>
      <c r="C492">
        <v>2190</v>
      </c>
      <c r="D492">
        <v>491</v>
      </c>
      <c r="E492">
        <v>15350</v>
      </c>
      <c r="F492" t="s">
        <v>59</v>
      </c>
      <c r="G492" s="53">
        <v>5</v>
      </c>
      <c r="H492" t="s">
        <v>133</v>
      </c>
      <c r="I492">
        <v>4</v>
      </c>
      <c r="J492" s="59">
        <f t="shared" si="7"/>
        <v>5</v>
      </c>
    </row>
    <row r="493" spans="1:10">
      <c r="A493" s="43">
        <v>42866</v>
      </c>
      <c r="B493">
        <v>2016</v>
      </c>
      <c r="C493">
        <v>2190</v>
      </c>
      <c r="D493">
        <v>492</v>
      </c>
      <c r="E493">
        <v>10850</v>
      </c>
      <c r="F493" t="s">
        <v>59</v>
      </c>
      <c r="G493" s="53">
        <v>5</v>
      </c>
      <c r="H493" t="s">
        <v>133</v>
      </c>
      <c r="I493">
        <v>3</v>
      </c>
      <c r="J493" s="59">
        <f t="shared" si="7"/>
        <v>5</v>
      </c>
    </row>
    <row r="494" spans="1:10">
      <c r="A494" s="43">
        <v>43535</v>
      </c>
      <c r="B494">
        <v>2014</v>
      </c>
      <c r="C494">
        <v>2190</v>
      </c>
      <c r="D494">
        <v>493</v>
      </c>
      <c r="E494">
        <v>10500</v>
      </c>
      <c r="F494" t="s">
        <v>59</v>
      </c>
      <c r="G494" s="53">
        <v>6</v>
      </c>
      <c r="H494" t="s">
        <v>133</v>
      </c>
      <c r="I494">
        <v>5</v>
      </c>
      <c r="J494" s="59">
        <f t="shared" si="7"/>
        <v>6</v>
      </c>
    </row>
    <row r="495" spans="1:10">
      <c r="A495" s="43">
        <v>43488</v>
      </c>
      <c r="B495">
        <v>2017</v>
      </c>
      <c r="C495">
        <v>2190</v>
      </c>
      <c r="D495">
        <v>494</v>
      </c>
      <c r="E495">
        <v>12350</v>
      </c>
      <c r="F495" t="s">
        <v>59</v>
      </c>
      <c r="G495" s="53">
        <v>6</v>
      </c>
      <c r="H495" t="s">
        <v>133</v>
      </c>
      <c r="I495">
        <v>2</v>
      </c>
      <c r="J495" s="59">
        <f t="shared" si="7"/>
        <v>6</v>
      </c>
    </row>
    <row r="496" spans="1:10">
      <c r="A496" s="43">
        <v>42514</v>
      </c>
      <c r="B496">
        <v>2016</v>
      </c>
      <c r="C496">
        <v>2190</v>
      </c>
      <c r="D496">
        <v>495</v>
      </c>
      <c r="E496">
        <v>9550</v>
      </c>
      <c r="F496" t="s">
        <v>59</v>
      </c>
      <c r="G496" s="53">
        <v>6</v>
      </c>
      <c r="H496" t="s">
        <v>133</v>
      </c>
      <c r="I496">
        <v>3</v>
      </c>
      <c r="J496" s="59">
        <f t="shared" si="7"/>
        <v>6</v>
      </c>
    </row>
    <row r="497" spans="1:10">
      <c r="A497" s="43">
        <v>43594</v>
      </c>
      <c r="B497">
        <v>2014</v>
      </c>
      <c r="C497">
        <v>2190</v>
      </c>
      <c r="D497">
        <v>496</v>
      </c>
      <c r="E497">
        <v>10750</v>
      </c>
      <c r="F497" t="s">
        <v>59</v>
      </c>
      <c r="G497" s="53">
        <v>7</v>
      </c>
      <c r="H497" t="s">
        <v>133</v>
      </c>
      <c r="I497">
        <v>5</v>
      </c>
      <c r="J497" s="59">
        <f t="shared" si="7"/>
        <v>7</v>
      </c>
    </row>
    <row r="498" spans="1:10">
      <c r="A498" s="43">
        <v>43594</v>
      </c>
      <c r="B498">
        <v>2015</v>
      </c>
      <c r="C498">
        <v>2190</v>
      </c>
      <c r="D498">
        <v>497</v>
      </c>
      <c r="E498">
        <v>10750</v>
      </c>
      <c r="F498" t="s">
        <v>59</v>
      </c>
      <c r="G498" s="53">
        <v>7</v>
      </c>
      <c r="H498" t="s">
        <v>133</v>
      </c>
      <c r="I498">
        <v>4</v>
      </c>
      <c r="J498" s="59">
        <f t="shared" si="7"/>
        <v>7</v>
      </c>
    </row>
    <row r="499" spans="1:10">
      <c r="A499" s="43">
        <v>43418</v>
      </c>
      <c r="B499">
        <v>2015</v>
      </c>
      <c r="C499">
        <v>2190</v>
      </c>
      <c r="D499">
        <v>498</v>
      </c>
      <c r="E499">
        <v>13500</v>
      </c>
      <c r="F499" t="s">
        <v>59</v>
      </c>
      <c r="G499" s="53">
        <v>7</v>
      </c>
      <c r="H499" t="s">
        <v>133</v>
      </c>
      <c r="I499">
        <v>4</v>
      </c>
      <c r="J499" s="59">
        <f t="shared" si="7"/>
        <v>7</v>
      </c>
    </row>
    <row r="500" spans="1:10">
      <c r="A500" s="43">
        <v>43536</v>
      </c>
      <c r="B500">
        <v>2016</v>
      </c>
      <c r="C500">
        <v>2190</v>
      </c>
      <c r="D500">
        <v>499</v>
      </c>
      <c r="E500">
        <v>10250</v>
      </c>
      <c r="F500" t="s">
        <v>59</v>
      </c>
      <c r="G500" s="53">
        <v>8</v>
      </c>
      <c r="H500" t="s">
        <v>133</v>
      </c>
      <c r="I500">
        <v>3</v>
      </c>
      <c r="J500" s="59">
        <f t="shared" si="7"/>
        <v>8</v>
      </c>
    </row>
    <row r="501" spans="1:10">
      <c r="A501" s="43">
        <v>43432</v>
      </c>
      <c r="B501">
        <v>2017</v>
      </c>
      <c r="C501">
        <v>2190</v>
      </c>
      <c r="D501">
        <v>500</v>
      </c>
      <c r="E501">
        <v>13850</v>
      </c>
      <c r="F501" t="s">
        <v>59</v>
      </c>
      <c r="G501" s="53">
        <v>8</v>
      </c>
      <c r="H501" t="s">
        <v>133</v>
      </c>
      <c r="I501">
        <v>2</v>
      </c>
      <c r="J501" s="59">
        <f t="shared" si="7"/>
        <v>8</v>
      </c>
    </row>
    <row r="502" spans="1:10">
      <c r="A502" s="43">
        <v>43391</v>
      </c>
      <c r="B502">
        <v>2016</v>
      </c>
      <c r="C502">
        <v>2190</v>
      </c>
      <c r="D502">
        <v>501</v>
      </c>
      <c r="E502">
        <v>13850</v>
      </c>
      <c r="F502" t="s">
        <v>59</v>
      </c>
      <c r="G502" s="53">
        <v>8</v>
      </c>
      <c r="H502" t="s">
        <v>133</v>
      </c>
      <c r="I502">
        <v>3</v>
      </c>
      <c r="J502" s="59">
        <f t="shared" si="7"/>
        <v>8</v>
      </c>
    </row>
    <row r="503" spans="1:10">
      <c r="A503" s="43">
        <v>43304</v>
      </c>
      <c r="B503">
        <v>2017</v>
      </c>
      <c r="C503">
        <v>2190</v>
      </c>
      <c r="D503">
        <v>502</v>
      </c>
      <c r="E503">
        <v>15350</v>
      </c>
      <c r="F503" t="s">
        <v>59</v>
      </c>
      <c r="G503" s="53">
        <v>8</v>
      </c>
      <c r="H503" t="s">
        <v>133</v>
      </c>
      <c r="I503">
        <v>2</v>
      </c>
      <c r="J503" s="59">
        <f t="shared" si="7"/>
        <v>8</v>
      </c>
    </row>
    <row r="504" spans="1:10">
      <c r="A504" s="43">
        <v>43119</v>
      </c>
      <c r="B504">
        <v>2015</v>
      </c>
      <c r="C504">
        <v>2190</v>
      </c>
      <c r="D504">
        <v>503</v>
      </c>
      <c r="E504">
        <v>13750</v>
      </c>
      <c r="F504" t="s">
        <v>59</v>
      </c>
      <c r="G504" s="53">
        <v>8</v>
      </c>
      <c r="H504" t="s">
        <v>133</v>
      </c>
      <c r="I504">
        <v>4</v>
      </c>
      <c r="J504" s="59">
        <f t="shared" si="7"/>
        <v>8</v>
      </c>
    </row>
    <row r="505" spans="1:10">
      <c r="A505" s="43">
        <v>43028</v>
      </c>
      <c r="B505">
        <v>2015</v>
      </c>
      <c r="C505">
        <v>2190</v>
      </c>
      <c r="D505">
        <v>504</v>
      </c>
      <c r="E505">
        <v>12000</v>
      </c>
      <c r="F505" t="s">
        <v>59</v>
      </c>
      <c r="G505" s="53">
        <v>8</v>
      </c>
      <c r="H505" t="s">
        <v>133</v>
      </c>
      <c r="I505">
        <v>4</v>
      </c>
      <c r="J505" s="59">
        <f t="shared" si="7"/>
        <v>8</v>
      </c>
    </row>
    <row r="506" spans="1:10">
      <c r="A506" s="43">
        <v>43003</v>
      </c>
      <c r="B506">
        <v>2014</v>
      </c>
      <c r="C506">
        <v>2190</v>
      </c>
      <c r="D506">
        <v>505</v>
      </c>
      <c r="E506">
        <v>11850</v>
      </c>
      <c r="F506" t="s">
        <v>59</v>
      </c>
      <c r="G506" s="53">
        <v>8</v>
      </c>
      <c r="H506" t="s">
        <v>133</v>
      </c>
      <c r="I506">
        <v>5</v>
      </c>
      <c r="J506" s="59">
        <f t="shared" si="7"/>
        <v>8</v>
      </c>
    </row>
    <row r="507" spans="1:10">
      <c r="A507" s="43">
        <v>42822</v>
      </c>
      <c r="B507">
        <v>2015</v>
      </c>
      <c r="C507">
        <v>2190</v>
      </c>
      <c r="D507">
        <v>506</v>
      </c>
      <c r="E507">
        <v>9700</v>
      </c>
      <c r="F507" t="s">
        <v>59</v>
      </c>
      <c r="G507" s="53">
        <v>8</v>
      </c>
      <c r="H507" t="s">
        <v>133</v>
      </c>
      <c r="I507">
        <v>4</v>
      </c>
      <c r="J507" s="59">
        <f t="shared" si="7"/>
        <v>8</v>
      </c>
    </row>
    <row r="508" spans="1:10">
      <c r="A508" s="43">
        <v>42804</v>
      </c>
      <c r="B508">
        <v>2015</v>
      </c>
      <c r="C508">
        <v>2190</v>
      </c>
      <c r="D508">
        <v>507</v>
      </c>
      <c r="E508">
        <v>9600</v>
      </c>
      <c r="F508" t="s">
        <v>59</v>
      </c>
      <c r="G508" s="53">
        <v>8</v>
      </c>
      <c r="H508" t="s">
        <v>133</v>
      </c>
      <c r="I508">
        <v>4</v>
      </c>
      <c r="J508" s="59">
        <f t="shared" si="7"/>
        <v>8</v>
      </c>
    </row>
    <row r="509" spans="1:10">
      <c r="A509" s="43">
        <v>42774</v>
      </c>
      <c r="B509">
        <v>2014</v>
      </c>
      <c r="C509">
        <v>2190</v>
      </c>
      <c r="D509">
        <v>508</v>
      </c>
      <c r="E509">
        <v>8900</v>
      </c>
      <c r="F509" t="s">
        <v>59</v>
      </c>
      <c r="G509" s="53">
        <v>8</v>
      </c>
      <c r="H509" t="s">
        <v>133</v>
      </c>
      <c r="I509">
        <v>5</v>
      </c>
      <c r="J509" s="59">
        <f t="shared" si="7"/>
        <v>8</v>
      </c>
    </row>
    <row r="510" spans="1:10">
      <c r="A510" s="43">
        <v>43607</v>
      </c>
      <c r="B510">
        <v>2014</v>
      </c>
      <c r="C510">
        <v>2190</v>
      </c>
      <c r="D510">
        <v>509</v>
      </c>
      <c r="E510">
        <v>11400</v>
      </c>
      <c r="F510" t="s">
        <v>59</v>
      </c>
      <c r="G510" s="53">
        <v>9</v>
      </c>
      <c r="H510" t="s">
        <v>133</v>
      </c>
      <c r="I510">
        <v>5</v>
      </c>
      <c r="J510" s="59">
        <f t="shared" si="7"/>
        <v>9</v>
      </c>
    </row>
    <row r="511" spans="1:10">
      <c r="A511" s="43">
        <v>42979</v>
      </c>
      <c r="B511">
        <v>2018</v>
      </c>
      <c r="C511">
        <v>2190</v>
      </c>
      <c r="D511">
        <v>510</v>
      </c>
      <c r="E511">
        <v>11750</v>
      </c>
      <c r="F511" t="s">
        <v>59</v>
      </c>
      <c r="G511" s="53">
        <v>9</v>
      </c>
      <c r="H511" t="s">
        <v>133</v>
      </c>
      <c r="I511">
        <v>1</v>
      </c>
      <c r="J511" s="59">
        <f t="shared" si="7"/>
        <v>9</v>
      </c>
    </row>
    <row r="512" spans="1:10">
      <c r="A512" s="43">
        <v>42663</v>
      </c>
      <c r="B512">
        <v>2016</v>
      </c>
      <c r="C512">
        <v>2190</v>
      </c>
      <c r="D512">
        <v>511</v>
      </c>
      <c r="E512">
        <v>9250</v>
      </c>
      <c r="F512" t="s">
        <v>59</v>
      </c>
      <c r="G512" s="53">
        <v>9</v>
      </c>
      <c r="H512" t="s">
        <v>133</v>
      </c>
      <c r="I512">
        <v>3</v>
      </c>
      <c r="J512" s="59">
        <f t="shared" si="7"/>
        <v>9</v>
      </c>
    </row>
    <row r="513" spans="1:10">
      <c r="A513" s="43">
        <v>43409</v>
      </c>
      <c r="B513">
        <v>2015</v>
      </c>
      <c r="C513">
        <v>2202</v>
      </c>
      <c r="D513">
        <v>512</v>
      </c>
      <c r="E513">
        <v>13750</v>
      </c>
      <c r="F513" t="s">
        <v>59</v>
      </c>
      <c r="G513" s="53">
        <v>11</v>
      </c>
      <c r="H513" t="s">
        <v>133</v>
      </c>
      <c r="I513">
        <v>4</v>
      </c>
      <c r="J513" s="59">
        <f t="shared" si="7"/>
        <v>11</v>
      </c>
    </row>
    <row r="514" spans="1:10">
      <c r="A514" s="43">
        <v>43388</v>
      </c>
      <c r="B514">
        <v>2016</v>
      </c>
      <c r="C514">
        <v>2202</v>
      </c>
      <c r="D514">
        <v>513</v>
      </c>
      <c r="E514">
        <v>13800</v>
      </c>
      <c r="F514" t="s">
        <v>59</v>
      </c>
      <c r="G514" s="53">
        <v>11</v>
      </c>
      <c r="H514" t="s">
        <v>133</v>
      </c>
      <c r="I514">
        <v>3</v>
      </c>
      <c r="J514" s="59">
        <f t="shared" ref="J514:J577" si="8">IF(H514="days",ROUND(G514/30,0),IF(H514="years",G514*12,G514))</f>
        <v>11</v>
      </c>
    </row>
    <row r="515" spans="1:10">
      <c r="A515" s="43">
        <v>43621</v>
      </c>
      <c r="B515">
        <v>2016</v>
      </c>
      <c r="C515">
        <v>2202</v>
      </c>
      <c r="D515">
        <v>514</v>
      </c>
      <c r="E515">
        <v>12400</v>
      </c>
      <c r="F515" t="s">
        <v>59</v>
      </c>
      <c r="G515" s="53">
        <v>12</v>
      </c>
      <c r="H515" t="s">
        <v>133</v>
      </c>
      <c r="I515">
        <v>3</v>
      </c>
      <c r="J515" s="59">
        <f t="shared" si="8"/>
        <v>12</v>
      </c>
    </row>
    <row r="516" spans="1:10">
      <c r="A516" s="43">
        <v>43570</v>
      </c>
      <c r="B516">
        <v>2015</v>
      </c>
      <c r="C516">
        <v>2202</v>
      </c>
      <c r="D516">
        <v>515</v>
      </c>
      <c r="E516">
        <v>10350</v>
      </c>
      <c r="F516" t="s">
        <v>59</v>
      </c>
      <c r="G516" s="53">
        <v>15</v>
      </c>
      <c r="H516" t="s">
        <v>133</v>
      </c>
      <c r="I516">
        <v>4</v>
      </c>
      <c r="J516" s="59">
        <f t="shared" si="8"/>
        <v>15</v>
      </c>
    </row>
    <row r="517" spans="1:10">
      <c r="A517" s="43">
        <v>43115</v>
      </c>
      <c r="B517">
        <v>2017</v>
      </c>
      <c r="C517">
        <v>2202</v>
      </c>
      <c r="D517">
        <v>516</v>
      </c>
      <c r="E517">
        <v>11500</v>
      </c>
      <c r="F517" t="s">
        <v>59</v>
      </c>
      <c r="G517" s="53">
        <v>3</v>
      </c>
      <c r="H517" t="s">
        <v>133</v>
      </c>
      <c r="I517">
        <v>2</v>
      </c>
      <c r="J517" s="59">
        <f t="shared" si="8"/>
        <v>3</v>
      </c>
    </row>
    <row r="518" spans="1:10">
      <c r="A518" s="43">
        <v>42446</v>
      </c>
      <c r="B518">
        <v>2016</v>
      </c>
      <c r="C518">
        <v>2202</v>
      </c>
      <c r="D518">
        <v>517</v>
      </c>
      <c r="E518">
        <v>10000</v>
      </c>
      <c r="F518" t="s">
        <v>59</v>
      </c>
      <c r="G518" s="53">
        <v>3</v>
      </c>
      <c r="H518" t="s">
        <v>133</v>
      </c>
      <c r="I518">
        <v>3</v>
      </c>
      <c r="J518" s="59">
        <f t="shared" si="8"/>
        <v>3</v>
      </c>
    </row>
    <row r="519" spans="1:10">
      <c r="A519" s="43">
        <v>43368</v>
      </c>
      <c r="B519">
        <v>2017</v>
      </c>
      <c r="C519">
        <v>2202</v>
      </c>
      <c r="D519">
        <v>518</v>
      </c>
      <c r="E519">
        <v>13500</v>
      </c>
      <c r="F519" t="s">
        <v>59</v>
      </c>
      <c r="G519" s="53">
        <v>5</v>
      </c>
      <c r="H519" t="s">
        <v>133</v>
      </c>
      <c r="I519">
        <v>2</v>
      </c>
      <c r="J519" s="59">
        <f t="shared" si="8"/>
        <v>5</v>
      </c>
    </row>
    <row r="520" spans="1:10">
      <c r="A520" s="43">
        <v>43245</v>
      </c>
      <c r="B520">
        <v>2015</v>
      </c>
      <c r="C520">
        <v>2202</v>
      </c>
      <c r="D520">
        <v>519</v>
      </c>
      <c r="E520">
        <v>14000</v>
      </c>
      <c r="F520" t="s">
        <v>59</v>
      </c>
      <c r="G520" s="53">
        <v>5</v>
      </c>
      <c r="H520" t="s">
        <v>133</v>
      </c>
      <c r="I520">
        <v>4</v>
      </c>
      <c r="J520" s="59">
        <f t="shared" si="8"/>
        <v>5</v>
      </c>
    </row>
    <row r="521" spans="1:10">
      <c r="A521" s="43">
        <v>42646</v>
      </c>
      <c r="B521">
        <v>2016</v>
      </c>
      <c r="C521">
        <v>2202</v>
      </c>
      <c r="D521">
        <v>520</v>
      </c>
      <c r="E521">
        <v>9250</v>
      </c>
      <c r="F521" t="s">
        <v>59</v>
      </c>
      <c r="G521" s="53">
        <v>5</v>
      </c>
      <c r="H521" t="s">
        <v>133</v>
      </c>
      <c r="I521">
        <v>3</v>
      </c>
      <c r="J521" s="59">
        <f t="shared" si="8"/>
        <v>5</v>
      </c>
    </row>
    <row r="522" spans="1:10">
      <c r="A522" s="43">
        <v>42613</v>
      </c>
      <c r="B522">
        <v>2016</v>
      </c>
      <c r="C522">
        <v>2202</v>
      </c>
      <c r="D522">
        <v>521</v>
      </c>
      <c r="E522">
        <v>9250</v>
      </c>
      <c r="F522" t="s">
        <v>59</v>
      </c>
      <c r="G522" s="53">
        <v>5</v>
      </c>
      <c r="H522" t="s">
        <v>133</v>
      </c>
      <c r="I522">
        <v>3</v>
      </c>
      <c r="J522" s="59">
        <f t="shared" si="8"/>
        <v>5</v>
      </c>
    </row>
    <row r="523" spans="1:10">
      <c r="A523" s="43">
        <v>43528</v>
      </c>
      <c r="B523">
        <v>2017</v>
      </c>
      <c r="C523">
        <v>2202</v>
      </c>
      <c r="D523">
        <v>522</v>
      </c>
      <c r="E523">
        <v>10000</v>
      </c>
      <c r="F523" t="s">
        <v>59</v>
      </c>
      <c r="G523" s="53">
        <v>6</v>
      </c>
      <c r="H523" t="s">
        <v>133</v>
      </c>
      <c r="I523">
        <v>2</v>
      </c>
      <c r="J523" s="59">
        <f t="shared" si="8"/>
        <v>6</v>
      </c>
    </row>
    <row r="524" spans="1:10">
      <c r="A524" s="43">
        <v>43017</v>
      </c>
      <c r="B524">
        <v>2017</v>
      </c>
      <c r="C524">
        <v>2202</v>
      </c>
      <c r="D524">
        <v>523</v>
      </c>
      <c r="E524">
        <v>11000</v>
      </c>
      <c r="F524" t="s">
        <v>59</v>
      </c>
      <c r="G524" s="53">
        <v>6</v>
      </c>
      <c r="H524" t="s">
        <v>133</v>
      </c>
      <c r="I524">
        <v>2</v>
      </c>
      <c r="J524" s="59">
        <f t="shared" si="8"/>
        <v>6</v>
      </c>
    </row>
    <row r="525" spans="1:10">
      <c r="A525" s="43">
        <v>43235</v>
      </c>
      <c r="B525">
        <v>2016</v>
      </c>
      <c r="C525">
        <v>2202</v>
      </c>
      <c r="D525">
        <v>524</v>
      </c>
      <c r="E525">
        <v>14150</v>
      </c>
      <c r="F525" t="s">
        <v>59</v>
      </c>
      <c r="G525" s="53">
        <v>7</v>
      </c>
      <c r="H525" t="s">
        <v>133</v>
      </c>
      <c r="I525">
        <v>3</v>
      </c>
      <c r="J525" s="59">
        <f t="shared" si="8"/>
        <v>7</v>
      </c>
    </row>
    <row r="526" spans="1:10">
      <c r="A526" s="43">
        <v>43174</v>
      </c>
      <c r="B526">
        <v>2017</v>
      </c>
      <c r="C526">
        <v>2202</v>
      </c>
      <c r="D526">
        <v>525</v>
      </c>
      <c r="E526">
        <v>14700</v>
      </c>
      <c r="F526" t="s">
        <v>59</v>
      </c>
      <c r="G526" s="53">
        <v>7</v>
      </c>
      <c r="H526" t="s">
        <v>133</v>
      </c>
      <c r="I526">
        <v>2</v>
      </c>
      <c r="J526" s="59">
        <f t="shared" si="8"/>
        <v>7</v>
      </c>
    </row>
    <row r="527" spans="1:10">
      <c r="A527" s="43">
        <v>43174</v>
      </c>
      <c r="B527">
        <v>2017</v>
      </c>
      <c r="C527">
        <v>2202</v>
      </c>
      <c r="D527">
        <v>526</v>
      </c>
      <c r="E527">
        <v>14700</v>
      </c>
      <c r="F527" t="s">
        <v>59</v>
      </c>
      <c r="G527" s="53">
        <v>7</v>
      </c>
      <c r="H527" t="s">
        <v>133</v>
      </c>
      <c r="I527">
        <v>2</v>
      </c>
      <c r="J527" s="59">
        <f t="shared" si="8"/>
        <v>7</v>
      </c>
    </row>
    <row r="528" spans="1:10">
      <c r="A528" s="43">
        <v>43052</v>
      </c>
      <c r="B528">
        <v>2016</v>
      </c>
      <c r="C528">
        <v>2202</v>
      </c>
      <c r="D528">
        <v>527</v>
      </c>
      <c r="E528">
        <v>12950</v>
      </c>
      <c r="F528" t="s">
        <v>59</v>
      </c>
      <c r="G528" s="53">
        <v>7</v>
      </c>
      <c r="H528" t="s">
        <v>133</v>
      </c>
      <c r="I528">
        <v>3</v>
      </c>
      <c r="J528" s="59">
        <f t="shared" si="8"/>
        <v>7</v>
      </c>
    </row>
    <row r="529" spans="1:10">
      <c r="A529" s="43">
        <v>43039</v>
      </c>
      <c r="B529">
        <v>2015</v>
      </c>
      <c r="C529">
        <v>2202</v>
      </c>
      <c r="D529">
        <v>528</v>
      </c>
      <c r="E529">
        <v>12800</v>
      </c>
      <c r="F529" t="s">
        <v>59</v>
      </c>
      <c r="G529" s="53">
        <v>7</v>
      </c>
      <c r="H529" t="s">
        <v>133</v>
      </c>
      <c r="I529">
        <v>4</v>
      </c>
      <c r="J529" s="59">
        <f t="shared" si="8"/>
        <v>7</v>
      </c>
    </row>
    <row r="530" spans="1:10">
      <c r="A530" s="43">
        <v>43377</v>
      </c>
      <c r="B530">
        <v>2016</v>
      </c>
      <c r="C530">
        <v>2202</v>
      </c>
      <c r="D530">
        <v>529</v>
      </c>
      <c r="E530">
        <v>13850</v>
      </c>
      <c r="F530" t="s">
        <v>59</v>
      </c>
      <c r="G530" s="53">
        <v>8</v>
      </c>
      <c r="H530" t="s">
        <v>133</v>
      </c>
      <c r="I530">
        <v>3</v>
      </c>
      <c r="J530" s="59">
        <f t="shared" si="8"/>
        <v>8</v>
      </c>
    </row>
    <row r="531" spans="1:10">
      <c r="A531" s="43">
        <v>43377</v>
      </c>
      <c r="B531">
        <v>2017</v>
      </c>
      <c r="C531">
        <v>2202</v>
      </c>
      <c r="D531">
        <v>530</v>
      </c>
      <c r="E531">
        <v>13100</v>
      </c>
      <c r="F531" t="s">
        <v>59</v>
      </c>
      <c r="G531" s="53">
        <v>8</v>
      </c>
      <c r="H531" t="s">
        <v>133</v>
      </c>
      <c r="I531">
        <v>2</v>
      </c>
      <c r="J531" s="59">
        <f t="shared" si="8"/>
        <v>8</v>
      </c>
    </row>
    <row r="532" spans="1:10">
      <c r="A532" s="43">
        <v>43011</v>
      </c>
      <c r="B532">
        <v>2016</v>
      </c>
      <c r="C532">
        <v>2202</v>
      </c>
      <c r="D532">
        <v>531</v>
      </c>
      <c r="E532">
        <v>12100</v>
      </c>
      <c r="F532" t="s">
        <v>59</v>
      </c>
      <c r="G532" s="53">
        <v>8</v>
      </c>
      <c r="H532" t="s">
        <v>133</v>
      </c>
      <c r="I532">
        <v>3</v>
      </c>
      <c r="J532" s="59">
        <f t="shared" si="8"/>
        <v>8</v>
      </c>
    </row>
    <row r="533" spans="1:10">
      <c r="A533" s="43">
        <v>42789</v>
      </c>
      <c r="B533">
        <v>2017</v>
      </c>
      <c r="C533">
        <v>2202</v>
      </c>
      <c r="D533">
        <v>532</v>
      </c>
      <c r="E533">
        <v>8750</v>
      </c>
      <c r="F533" t="s">
        <v>59</v>
      </c>
      <c r="G533" s="53">
        <v>8</v>
      </c>
      <c r="H533" t="s">
        <v>133</v>
      </c>
      <c r="I533">
        <v>2</v>
      </c>
      <c r="J533" s="59">
        <f t="shared" si="8"/>
        <v>8</v>
      </c>
    </row>
    <row r="534" spans="1:10">
      <c r="A534" s="43">
        <v>42896</v>
      </c>
      <c r="B534">
        <v>2017</v>
      </c>
      <c r="C534">
        <v>2202</v>
      </c>
      <c r="D534">
        <v>533</v>
      </c>
      <c r="E534">
        <v>9000</v>
      </c>
      <c r="F534" t="s">
        <v>59</v>
      </c>
      <c r="G534" s="53">
        <v>9</v>
      </c>
      <c r="H534" t="s">
        <v>133</v>
      </c>
      <c r="I534">
        <v>2</v>
      </c>
      <c r="J534" s="59">
        <f t="shared" si="8"/>
        <v>9</v>
      </c>
    </row>
    <row r="535" spans="1:10">
      <c r="A535" s="43">
        <v>42782</v>
      </c>
      <c r="B535">
        <v>2016</v>
      </c>
      <c r="C535">
        <v>2202</v>
      </c>
      <c r="D535">
        <v>534</v>
      </c>
      <c r="E535">
        <v>8900</v>
      </c>
      <c r="F535" t="s">
        <v>59</v>
      </c>
      <c r="G535" s="53">
        <v>9</v>
      </c>
      <c r="H535" t="s">
        <v>133</v>
      </c>
      <c r="I535">
        <v>3</v>
      </c>
      <c r="J535" s="59">
        <f t="shared" si="8"/>
        <v>9</v>
      </c>
    </row>
    <row r="536" spans="1:10">
      <c r="A536" s="43">
        <v>42755</v>
      </c>
      <c r="B536">
        <v>2016</v>
      </c>
      <c r="C536">
        <v>2202</v>
      </c>
      <c r="D536">
        <v>535</v>
      </c>
      <c r="E536">
        <v>9250</v>
      </c>
      <c r="F536" t="s">
        <v>59</v>
      </c>
      <c r="G536" s="53">
        <v>9</v>
      </c>
      <c r="H536" t="s">
        <v>133</v>
      </c>
      <c r="I536">
        <v>3</v>
      </c>
      <c r="J536" s="59">
        <f t="shared" si="8"/>
        <v>9</v>
      </c>
    </row>
    <row r="537" spans="1:10">
      <c r="A537" s="43">
        <v>42501</v>
      </c>
      <c r="B537">
        <v>2015</v>
      </c>
      <c r="C537">
        <v>2202</v>
      </c>
      <c r="D537">
        <v>536</v>
      </c>
      <c r="E537">
        <v>9650</v>
      </c>
      <c r="F537" t="s">
        <v>59</v>
      </c>
      <c r="G537" s="53">
        <v>9</v>
      </c>
      <c r="H537" t="s">
        <v>133</v>
      </c>
      <c r="I537">
        <v>4</v>
      </c>
      <c r="J537" s="59">
        <f t="shared" si="8"/>
        <v>9</v>
      </c>
    </row>
    <row r="538" spans="1:10">
      <c r="A538" s="43">
        <v>43031</v>
      </c>
      <c r="B538">
        <v>2016</v>
      </c>
      <c r="C538">
        <v>2268</v>
      </c>
      <c r="D538">
        <v>537</v>
      </c>
      <c r="E538">
        <v>12500</v>
      </c>
      <c r="F538" t="s">
        <v>59</v>
      </c>
      <c r="G538" s="53">
        <v>10</v>
      </c>
      <c r="H538" t="s">
        <v>133</v>
      </c>
      <c r="I538">
        <v>3</v>
      </c>
      <c r="J538" s="59">
        <f t="shared" si="8"/>
        <v>10</v>
      </c>
    </row>
    <row r="539" spans="1:10">
      <c r="A539" s="43">
        <v>43355</v>
      </c>
      <c r="B539">
        <v>2016</v>
      </c>
      <c r="C539">
        <v>2268</v>
      </c>
      <c r="D539">
        <v>538</v>
      </c>
      <c r="E539">
        <v>13850</v>
      </c>
      <c r="F539" t="s">
        <v>59</v>
      </c>
      <c r="G539" s="53">
        <v>11</v>
      </c>
      <c r="H539" t="s">
        <v>133</v>
      </c>
      <c r="I539">
        <v>3</v>
      </c>
      <c r="J539" s="59">
        <f t="shared" si="8"/>
        <v>11</v>
      </c>
    </row>
    <row r="540" spans="1:10">
      <c r="A540" s="43">
        <v>43521</v>
      </c>
      <c r="B540">
        <v>2016</v>
      </c>
      <c r="C540">
        <v>2268</v>
      </c>
      <c r="D540">
        <v>539</v>
      </c>
      <c r="E540">
        <v>10000</v>
      </c>
      <c r="F540" t="s">
        <v>59</v>
      </c>
      <c r="G540" s="53">
        <v>12</v>
      </c>
      <c r="H540" t="s">
        <v>133</v>
      </c>
      <c r="I540">
        <v>3</v>
      </c>
      <c r="J540" s="59">
        <f t="shared" si="8"/>
        <v>12</v>
      </c>
    </row>
    <row r="541" spans="1:10">
      <c r="A541" s="43">
        <v>43132</v>
      </c>
      <c r="B541">
        <v>2016</v>
      </c>
      <c r="C541">
        <v>2268</v>
      </c>
      <c r="D541">
        <v>540</v>
      </c>
      <c r="E541">
        <v>11500</v>
      </c>
      <c r="F541" t="s">
        <v>59</v>
      </c>
      <c r="G541" s="53">
        <v>12</v>
      </c>
      <c r="H541" t="s">
        <v>133</v>
      </c>
      <c r="I541">
        <v>3</v>
      </c>
      <c r="J541" s="59">
        <f t="shared" si="8"/>
        <v>12</v>
      </c>
    </row>
    <row r="542" spans="1:10">
      <c r="A542" s="43">
        <v>42760</v>
      </c>
      <c r="B542">
        <v>2016</v>
      </c>
      <c r="C542">
        <v>2268</v>
      </c>
      <c r="D542">
        <v>541</v>
      </c>
      <c r="E542">
        <v>8900</v>
      </c>
      <c r="F542" t="s">
        <v>59</v>
      </c>
      <c r="G542" s="53">
        <v>14</v>
      </c>
      <c r="H542" t="s">
        <v>133</v>
      </c>
      <c r="I542">
        <v>3</v>
      </c>
      <c r="J542" s="59">
        <f t="shared" si="8"/>
        <v>14</v>
      </c>
    </row>
    <row r="543" spans="1:10">
      <c r="A543" s="43">
        <v>43012</v>
      </c>
      <c r="B543">
        <v>2017</v>
      </c>
      <c r="C543">
        <v>2268</v>
      </c>
      <c r="D543">
        <v>542</v>
      </c>
      <c r="E543">
        <v>12250</v>
      </c>
      <c r="F543" t="s">
        <v>59</v>
      </c>
      <c r="G543" s="53">
        <v>6</v>
      </c>
      <c r="H543" t="s">
        <v>133</v>
      </c>
      <c r="I543">
        <v>2</v>
      </c>
      <c r="J543" s="59">
        <f t="shared" si="8"/>
        <v>6</v>
      </c>
    </row>
    <row r="544" spans="1:10">
      <c r="A544" s="43">
        <v>42842</v>
      </c>
      <c r="B544">
        <v>2016</v>
      </c>
      <c r="C544">
        <v>2268</v>
      </c>
      <c r="D544">
        <v>543</v>
      </c>
      <c r="E544">
        <v>10450</v>
      </c>
      <c r="F544" t="s">
        <v>59</v>
      </c>
      <c r="G544" s="53">
        <v>6</v>
      </c>
      <c r="H544" t="s">
        <v>133</v>
      </c>
      <c r="I544">
        <v>3</v>
      </c>
      <c r="J544" s="59">
        <f t="shared" si="8"/>
        <v>6</v>
      </c>
    </row>
    <row r="545" spans="1:10">
      <c r="A545" s="43">
        <v>43087</v>
      </c>
      <c r="B545">
        <v>2015</v>
      </c>
      <c r="C545">
        <v>2339</v>
      </c>
      <c r="D545">
        <v>544</v>
      </c>
      <c r="E545">
        <v>8500</v>
      </c>
      <c r="F545" t="s">
        <v>59</v>
      </c>
      <c r="G545" s="61">
        <v>100</v>
      </c>
      <c r="H545" t="s">
        <v>60</v>
      </c>
      <c r="I545">
        <v>4</v>
      </c>
      <c r="J545" s="59">
        <f t="shared" si="8"/>
        <v>3</v>
      </c>
    </row>
    <row r="546" spans="1:10">
      <c r="A546" s="43">
        <v>43635</v>
      </c>
      <c r="B546">
        <v>2015</v>
      </c>
      <c r="C546">
        <v>2339</v>
      </c>
      <c r="D546">
        <v>545</v>
      </c>
      <c r="E546">
        <v>14000</v>
      </c>
      <c r="F546" t="s">
        <v>59</v>
      </c>
      <c r="G546" s="53">
        <v>12</v>
      </c>
      <c r="H546" t="s">
        <v>133</v>
      </c>
      <c r="I546">
        <v>4</v>
      </c>
      <c r="J546" s="59">
        <f t="shared" si="8"/>
        <v>12</v>
      </c>
    </row>
    <row r="547" spans="1:10">
      <c r="A547" s="43">
        <v>43368</v>
      </c>
      <c r="B547">
        <v>2017</v>
      </c>
      <c r="C547">
        <v>2339</v>
      </c>
      <c r="D547">
        <v>546</v>
      </c>
      <c r="E547">
        <v>15000</v>
      </c>
      <c r="F547" t="s">
        <v>59</v>
      </c>
      <c r="G547" s="53">
        <v>12</v>
      </c>
      <c r="H547" t="s">
        <v>133</v>
      </c>
      <c r="I547">
        <v>2</v>
      </c>
      <c r="J547" s="59">
        <f t="shared" si="8"/>
        <v>12</v>
      </c>
    </row>
    <row r="548" spans="1:10">
      <c r="A548" s="43">
        <v>43368</v>
      </c>
      <c r="B548">
        <v>2015</v>
      </c>
      <c r="C548">
        <v>2339</v>
      </c>
      <c r="D548">
        <v>547</v>
      </c>
      <c r="E548">
        <v>15000</v>
      </c>
      <c r="F548" t="s">
        <v>59</v>
      </c>
      <c r="G548" s="53">
        <v>12</v>
      </c>
      <c r="H548" t="s">
        <v>133</v>
      </c>
      <c r="I548">
        <v>4</v>
      </c>
      <c r="J548" s="59">
        <f t="shared" si="8"/>
        <v>12</v>
      </c>
    </row>
    <row r="549" spans="1:10">
      <c r="A549" s="43">
        <v>43159</v>
      </c>
      <c r="B549">
        <v>2015</v>
      </c>
      <c r="C549">
        <v>2339</v>
      </c>
      <c r="D549">
        <v>548</v>
      </c>
      <c r="E549">
        <v>12500</v>
      </c>
      <c r="F549" t="s">
        <v>59</v>
      </c>
      <c r="G549" s="53">
        <v>12</v>
      </c>
      <c r="H549" t="s">
        <v>133</v>
      </c>
      <c r="I549">
        <v>4</v>
      </c>
      <c r="J549" s="59">
        <f t="shared" si="8"/>
        <v>12</v>
      </c>
    </row>
    <row r="550" spans="1:10">
      <c r="A550" s="43">
        <v>42971</v>
      </c>
      <c r="B550">
        <v>2015</v>
      </c>
      <c r="C550">
        <v>2339</v>
      </c>
      <c r="D550">
        <v>549</v>
      </c>
      <c r="E550">
        <v>11500</v>
      </c>
      <c r="F550" t="s">
        <v>59</v>
      </c>
      <c r="G550" s="53">
        <v>12</v>
      </c>
      <c r="H550" t="s">
        <v>133</v>
      </c>
      <c r="I550">
        <v>4</v>
      </c>
      <c r="J550" s="59">
        <f t="shared" si="8"/>
        <v>12</v>
      </c>
    </row>
    <row r="551" spans="1:10">
      <c r="A551" s="43">
        <v>42704</v>
      </c>
      <c r="B551">
        <v>2015</v>
      </c>
      <c r="C551">
        <v>2339</v>
      </c>
      <c r="D551">
        <v>550</v>
      </c>
      <c r="E551">
        <v>8500</v>
      </c>
      <c r="F551" t="s">
        <v>59</v>
      </c>
      <c r="G551" s="53">
        <v>12</v>
      </c>
      <c r="H551" t="s">
        <v>133</v>
      </c>
      <c r="I551">
        <v>4</v>
      </c>
      <c r="J551" s="59">
        <f t="shared" si="8"/>
        <v>12</v>
      </c>
    </row>
    <row r="552" spans="1:10">
      <c r="A552" s="43">
        <v>43509</v>
      </c>
      <c r="B552">
        <v>2019</v>
      </c>
      <c r="C552">
        <v>2339</v>
      </c>
      <c r="D552">
        <v>551</v>
      </c>
      <c r="E552">
        <v>14000</v>
      </c>
      <c r="F552" t="s">
        <v>59</v>
      </c>
      <c r="G552" s="53">
        <v>13</v>
      </c>
      <c r="H552" t="s">
        <v>133</v>
      </c>
      <c r="I552">
        <v>0</v>
      </c>
      <c r="J552" s="59">
        <f t="shared" si="8"/>
        <v>13</v>
      </c>
    </row>
    <row r="553" spans="1:10">
      <c r="A553" s="43">
        <v>43451</v>
      </c>
      <c r="B553">
        <v>2015</v>
      </c>
      <c r="C553">
        <v>2339</v>
      </c>
      <c r="D553">
        <v>552</v>
      </c>
      <c r="E553">
        <v>14500</v>
      </c>
      <c r="F553" t="s">
        <v>59</v>
      </c>
      <c r="G553" s="53">
        <v>13</v>
      </c>
      <c r="H553" t="s">
        <v>133</v>
      </c>
      <c r="I553">
        <v>4</v>
      </c>
      <c r="J553" s="59">
        <f t="shared" si="8"/>
        <v>13</v>
      </c>
    </row>
    <row r="554" spans="1:10">
      <c r="A554" s="43">
        <v>43063</v>
      </c>
      <c r="B554">
        <v>2017</v>
      </c>
      <c r="C554">
        <v>2339</v>
      </c>
      <c r="D554">
        <v>553</v>
      </c>
      <c r="E554">
        <v>13250</v>
      </c>
      <c r="F554" t="s">
        <v>59</v>
      </c>
      <c r="G554" s="53">
        <v>13</v>
      </c>
      <c r="H554" t="s">
        <v>133</v>
      </c>
      <c r="I554">
        <v>2</v>
      </c>
      <c r="J554" s="59">
        <f t="shared" si="8"/>
        <v>13</v>
      </c>
    </row>
    <row r="555" spans="1:10">
      <c r="A555" s="43">
        <v>42583</v>
      </c>
      <c r="B555">
        <v>2015</v>
      </c>
      <c r="C555">
        <v>2339</v>
      </c>
      <c r="D555">
        <v>554</v>
      </c>
      <c r="E555">
        <v>10000</v>
      </c>
      <c r="F555" t="s">
        <v>59</v>
      </c>
      <c r="G555" s="53">
        <v>13</v>
      </c>
      <c r="H555" t="s">
        <v>133</v>
      </c>
      <c r="I555">
        <v>4</v>
      </c>
      <c r="J555" s="59">
        <f t="shared" si="8"/>
        <v>13</v>
      </c>
    </row>
    <row r="556" spans="1:10">
      <c r="A556" s="43">
        <v>43238</v>
      </c>
      <c r="B556">
        <v>2015</v>
      </c>
      <c r="C556">
        <v>2339</v>
      </c>
      <c r="D556">
        <v>555</v>
      </c>
      <c r="E556">
        <v>14750</v>
      </c>
      <c r="F556" t="s">
        <v>59</v>
      </c>
      <c r="G556" s="53">
        <v>14</v>
      </c>
      <c r="H556" t="s">
        <v>133</v>
      </c>
      <c r="I556">
        <v>4</v>
      </c>
      <c r="J556" s="59">
        <f t="shared" si="8"/>
        <v>14</v>
      </c>
    </row>
    <row r="557" spans="1:10">
      <c r="A557" s="43">
        <v>42755</v>
      </c>
      <c r="B557">
        <v>2015</v>
      </c>
      <c r="C557">
        <v>2339</v>
      </c>
      <c r="D557">
        <v>556</v>
      </c>
      <c r="E557">
        <v>9000</v>
      </c>
      <c r="F557" t="s">
        <v>59</v>
      </c>
      <c r="G557" s="53">
        <v>14</v>
      </c>
      <c r="H557" t="s">
        <v>133</v>
      </c>
      <c r="I557">
        <v>4</v>
      </c>
      <c r="J557" s="59">
        <f t="shared" si="8"/>
        <v>14</v>
      </c>
    </row>
    <row r="558" spans="1:10">
      <c r="A558" s="43">
        <v>43368</v>
      </c>
      <c r="B558">
        <v>2015</v>
      </c>
      <c r="C558">
        <v>2339</v>
      </c>
      <c r="D558">
        <v>557</v>
      </c>
      <c r="E558">
        <v>15000</v>
      </c>
      <c r="F558" t="s">
        <v>59</v>
      </c>
      <c r="G558" s="53">
        <v>15</v>
      </c>
      <c r="H558" t="s">
        <v>133</v>
      </c>
      <c r="I558">
        <v>4</v>
      </c>
      <c r="J558" s="59">
        <f t="shared" si="8"/>
        <v>15</v>
      </c>
    </row>
    <row r="559" spans="1:10">
      <c r="A559" s="43">
        <v>43353</v>
      </c>
      <c r="B559">
        <v>2015</v>
      </c>
      <c r="C559">
        <v>2339</v>
      </c>
      <c r="D559">
        <v>558</v>
      </c>
      <c r="E559">
        <v>15000</v>
      </c>
      <c r="F559" t="s">
        <v>59</v>
      </c>
      <c r="G559" s="53">
        <v>15</v>
      </c>
      <c r="H559" t="s">
        <v>133</v>
      </c>
      <c r="I559">
        <v>4</v>
      </c>
      <c r="J559" s="59">
        <f t="shared" si="8"/>
        <v>15</v>
      </c>
    </row>
    <row r="560" spans="1:10">
      <c r="A560" s="43">
        <v>42948</v>
      </c>
      <c r="B560">
        <v>2017</v>
      </c>
      <c r="C560">
        <v>2339</v>
      </c>
      <c r="D560">
        <v>559</v>
      </c>
      <c r="E560">
        <v>11500</v>
      </c>
      <c r="F560" t="s">
        <v>59</v>
      </c>
      <c r="G560" s="53">
        <v>15</v>
      </c>
      <c r="H560" t="s">
        <v>133</v>
      </c>
      <c r="I560">
        <v>2</v>
      </c>
      <c r="J560" s="59">
        <f t="shared" si="8"/>
        <v>15</v>
      </c>
    </row>
    <row r="561" spans="1:10">
      <c r="A561" s="43">
        <v>42506</v>
      </c>
      <c r="B561">
        <v>2015</v>
      </c>
      <c r="C561">
        <v>2339</v>
      </c>
      <c r="D561">
        <v>560</v>
      </c>
      <c r="E561">
        <v>9525</v>
      </c>
      <c r="F561" t="s">
        <v>59</v>
      </c>
      <c r="G561" s="53">
        <v>15</v>
      </c>
      <c r="H561" t="s">
        <v>133</v>
      </c>
      <c r="I561">
        <v>4</v>
      </c>
      <c r="J561" s="59">
        <f t="shared" si="8"/>
        <v>15</v>
      </c>
    </row>
    <row r="562" spans="1:10">
      <c r="A562" s="43">
        <v>43266</v>
      </c>
      <c r="B562">
        <v>2015</v>
      </c>
      <c r="C562">
        <v>2339</v>
      </c>
      <c r="D562">
        <v>561</v>
      </c>
      <c r="E562">
        <v>15250</v>
      </c>
      <c r="F562" t="s">
        <v>59</v>
      </c>
      <c r="G562" s="53">
        <v>16</v>
      </c>
      <c r="H562" t="s">
        <v>133</v>
      </c>
      <c r="I562">
        <v>4</v>
      </c>
      <c r="J562" s="59">
        <f t="shared" si="8"/>
        <v>16</v>
      </c>
    </row>
    <row r="563" spans="1:10">
      <c r="A563" s="43">
        <v>43584</v>
      </c>
      <c r="B563">
        <v>2015</v>
      </c>
      <c r="C563">
        <v>2339</v>
      </c>
      <c r="D563">
        <v>562</v>
      </c>
      <c r="E563">
        <v>14000</v>
      </c>
      <c r="F563" t="s">
        <v>59</v>
      </c>
      <c r="G563" s="53">
        <v>18</v>
      </c>
      <c r="H563" t="s">
        <v>133</v>
      </c>
      <c r="I563">
        <v>4</v>
      </c>
      <c r="J563" s="59">
        <f t="shared" si="8"/>
        <v>18</v>
      </c>
    </row>
    <row r="564" spans="1:10">
      <c r="A564" s="43">
        <v>43501</v>
      </c>
      <c r="B564">
        <v>2018</v>
      </c>
      <c r="C564">
        <v>2339</v>
      </c>
      <c r="D564">
        <v>563</v>
      </c>
      <c r="E564">
        <v>14000</v>
      </c>
      <c r="F564" t="s">
        <v>59</v>
      </c>
      <c r="G564" s="53">
        <v>18</v>
      </c>
      <c r="H564" t="s">
        <v>133</v>
      </c>
      <c r="I564">
        <v>1</v>
      </c>
      <c r="J564" s="59">
        <f t="shared" si="8"/>
        <v>18</v>
      </c>
    </row>
    <row r="565" spans="1:10">
      <c r="A565" s="43">
        <v>42689</v>
      </c>
      <c r="B565">
        <v>2015</v>
      </c>
      <c r="C565">
        <v>2339</v>
      </c>
      <c r="D565">
        <v>564</v>
      </c>
      <c r="E565">
        <v>8500</v>
      </c>
      <c r="F565" t="s">
        <v>59</v>
      </c>
      <c r="G565" s="53">
        <v>18</v>
      </c>
      <c r="H565" t="s">
        <v>133</v>
      </c>
      <c r="I565">
        <v>4</v>
      </c>
      <c r="J565" s="59">
        <f t="shared" si="8"/>
        <v>18</v>
      </c>
    </row>
    <row r="566" spans="1:10">
      <c r="A566" s="43">
        <v>43264</v>
      </c>
      <c r="B566">
        <v>2015</v>
      </c>
      <c r="C566">
        <v>2339</v>
      </c>
      <c r="D566">
        <v>565</v>
      </c>
      <c r="E566">
        <v>15350</v>
      </c>
      <c r="F566" t="s">
        <v>59</v>
      </c>
      <c r="G566" s="53">
        <v>3</v>
      </c>
      <c r="H566" t="s">
        <v>133</v>
      </c>
      <c r="I566">
        <v>4</v>
      </c>
      <c r="J566" s="59">
        <f t="shared" si="8"/>
        <v>3</v>
      </c>
    </row>
    <row r="567" spans="1:10">
      <c r="A567" s="43">
        <v>42403</v>
      </c>
      <c r="B567">
        <v>2015</v>
      </c>
      <c r="C567">
        <v>2339</v>
      </c>
      <c r="D567">
        <v>566</v>
      </c>
      <c r="E567">
        <v>11000</v>
      </c>
      <c r="F567" t="s">
        <v>59</v>
      </c>
      <c r="G567" s="53">
        <v>3</v>
      </c>
      <c r="H567" t="s">
        <v>133</v>
      </c>
      <c r="I567">
        <v>4</v>
      </c>
      <c r="J567" s="59">
        <f t="shared" si="8"/>
        <v>3</v>
      </c>
    </row>
    <row r="568" spans="1:10">
      <c r="A568" s="43">
        <v>43501</v>
      </c>
      <c r="B568">
        <v>2015</v>
      </c>
      <c r="C568">
        <v>2339</v>
      </c>
      <c r="D568">
        <v>567</v>
      </c>
      <c r="E568">
        <v>14000</v>
      </c>
      <c r="F568" t="s">
        <v>59</v>
      </c>
      <c r="G568" s="61">
        <v>42</v>
      </c>
      <c r="H568" t="s">
        <v>60</v>
      </c>
      <c r="I568">
        <v>4</v>
      </c>
      <c r="J568" s="59">
        <f t="shared" si="8"/>
        <v>1</v>
      </c>
    </row>
    <row r="569" spans="1:10">
      <c r="A569" s="43">
        <v>43206</v>
      </c>
      <c r="B569">
        <v>2015</v>
      </c>
      <c r="C569">
        <v>2339</v>
      </c>
      <c r="D569">
        <v>568</v>
      </c>
      <c r="E569">
        <v>15000</v>
      </c>
      <c r="F569" t="s">
        <v>59</v>
      </c>
      <c r="G569" s="53">
        <v>5</v>
      </c>
      <c r="H569" t="s">
        <v>133</v>
      </c>
      <c r="I569">
        <v>4</v>
      </c>
      <c r="J569" s="59">
        <f t="shared" si="8"/>
        <v>5</v>
      </c>
    </row>
    <row r="570" spans="1:10">
      <c r="A570" s="43">
        <v>42824</v>
      </c>
      <c r="B570">
        <v>2015</v>
      </c>
      <c r="C570">
        <v>2339</v>
      </c>
      <c r="D570">
        <v>569</v>
      </c>
      <c r="E570">
        <v>10000</v>
      </c>
      <c r="F570" t="s">
        <v>59</v>
      </c>
      <c r="G570" s="53">
        <v>6</v>
      </c>
      <c r="H570" t="s">
        <v>133</v>
      </c>
      <c r="I570">
        <v>4</v>
      </c>
      <c r="J570" s="59">
        <f t="shared" si="8"/>
        <v>6</v>
      </c>
    </row>
    <row r="571" spans="1:10">
      <c r="A571" s="43">
        <v>43370</v>
      </c>
      <c r="B571">
        <v>2015</v>
      </c>
      <c r="C571">
        <v>2339</v>
      </c>
      <c r="D571">
        <v>570</v>
      </c>
      <c r="E571">
        <v>13750</v>
      </c>
      <c r="F571" t="s">
        <v>59</v>
      </c>
      <c r="G571" s="53">
        <v>8</v>
      </c>
      <c r="H571" t="s">
        <v>133</v>
      </c>
      <c r="I571">
        <v>4</v>
      </c>
      <c r="J571" s="59">
        <f t="shared" si="8"/>
        <v>8</v>
      </c>
    </row>
    <row r="572" spans="1:10">
      <c r="A572" s="43">
        <v>43052</v>
      </c>
      <c r="B572">
        <v>2015</v>
      </c>
      <c r="C572">
        <v>2339</v>
      </c>
      <c r="D572">
        <v>571</v>
      </c>
      <c r="E572">
        <v>12500</v>
      </c>
      <c r="F572" t="s">
        <v>59</v>
      </c>
      <c r="G572" s="53">
        <v>9</v>
      </c>
      <c r="H572" t="s">
        <v>133</v>
      </c>
      <c r="I572">
        <v>4</v>
      </c>
      <c r="J572" s="59">
        <f t="shared" si="8"/>
        <v>9</v>
      </c>
    </row>
    <row r="573" spans="1:10">
      <c r="A573" s="43">
        <v>42695</v>
      </c>
      <c r="B573">
        <v>2015</v>
      </c>
      <c r="C573">
        <v>2339</v>
      </c>
      <c r="D573">
        <v>572</v>
      </c>
      <c r="E573">
        <v>8500</v>
      </c>
      <c r="F573" t="s">
        <v>59</v>
      </c>
      <c r="G573" s="53">
        <v>9</v>
      </c>
      <c r="H573" t="s">
        <v>133</v>
      </c>
      <c r="I573">
        <v>4</v>
      </c>
      <c r="J573" s="59">
        <f t="shared" si="8"/>
        <v>9</v>
      </c>
    </row>
    <row r="574" spans="1:10">
      <c r="A574" s="43">
        <v>42501</v>
      </c>
      <c r="B574">
        <v>2015</v>
      </c>
      <c r="C574">
        <v>2339</v>
      </c>
      <c r="D574">
        <v>573</v>
      </c>
      <c r="E574">
        <v>9525</v>
      </c>
      <c r="F574" t="s">
        <v>59</v>
      </c>
      <c r="G574" s="53">
        <v>9</v>
      </c>
      <c r="H574" t="s">
        <v>133</v>
      </c>
      <c r="I574">
        <v>4</v>
      </c>
      <c r="J574" s="59">
        <f t="shared" si="8"/>
        <v>9</v>
      </c>
    </row>
    <row r="575" spans="1:10">
      <c r="A575" s="43">
        <v>43129</v>
      </c>
      <c r="B575">
        <v>2018</v>
      </c>
      <c r="C575">
        <v>2500</v>
      </c>
      <c r="D575">
        <v>574</v>
      </c>
      <c r="E575">
        <v>12500</v>
      </c>
      <c r="F575" t="s">
        <v>59</v>
      </c>
      <c r="G575" s="61">
        <v>80</v>
      </c>
      <c r="H575" t="s">
        <v>60</v>
      </c>
      <c r="I575">
        <v>1</v>
      </c>
      <c r="J575" s="59">
        <f t="shared" si="8"/>
        <v>3</v>
      </c>
    </row>
    <row r="576" spans="1:10">
      <c r="A576" s="43">
        <v>43299</v>
      </c>
      <c r="B576">
        <v>2018</v>
      </c>
      <c r="C576">
        <v>2506</v>
      </c>
      <c r="D576">
        <v>575</v>
      </c>
      <c r="E576">
        <v>14000</v>
      </c>
      <c r="F576" t="s">
        <v>59</v>
      </c>
      <c r="G576" s="53">
        <v>10</v>
      </c>
      <c r="H576" t="s">
        <v>133</v>
      </c>
      <c r="I576">
        <v>1</v>
      </c>
      <c r="J576" s="59">
        <f t="shared" si="8"/>
        <v>10</v>
      </c>
    </row>
    <row r="577" spans="1:10">
      <c r="A577" s="43">
        <v>43028</v>
      </c>
      <c r="B577">
        <v>2017</v>
      </c>
      <c r="C577">
        <v>2506</v>
      </c>
      <c r="D577">
        <v>576</v>
      </c>
      <c r="E577">
        <v>12500</v>
      </c>
      <c r="F577" t="s">
        <v>59</v>
      </c>
      <c r="G577" s="53">
        <v>10</v>
      </c>
      <c r="H577" t="s">
        <v>133</v>
      </c>
      <c r="I577">
        <v>2</v>
      </c>
      <c r="J577" s="59">
        <f t="shared" si="8"/>
        <v>10</v>
      </c>
    </row>
    <row r="578" spans="1:10">
      <c r="A578" s="43">
        <v>43028</v>
      </c>
      <c r="B578">
        <v>2016</v>
      </c>
      <c r="C578">
        <v>2506</v>
      </c>
      <c r="D578">
        <v>577</v>
      </c>
      <c r="E578">
        <v>12500</v>
      </c>
      <c r="F578" t="s">
        <v>59</v>
      </c>
      <c r="G578" s="53">
        <v>10</v>
      </c>
      <c r="H578" t="s">
        <v>133</v>
      </c>
      <c r="I578">
        <v>3</v>
      </c>
      <c r="J578" s="59">
        <f t="shared" ref="J578:J641" si="9">IF(H578="days",ROUND(G578/30,0),IF(H578="years",G578*12,G578))</f>
        <v>10</v>
      </c>
    </row>
    <row r="579" spans="1:10">
      <c r="A579" s="43">
        <v>43398</v>
      </c>
      <c r="B579">
        <v>2016</v>
      </c>
      <c r="C579">
        <v>2506</v>
      </c>
      <c r="D579">
        <v>578</v>
      </c>
      <c r="E579">
        <v>14750</v>
      </c>
      <c r="F579" t="s">
        <v>59</v>
      </c>
      <c r="G579" s="53">
        <v>12</v>
      </c>
      <c r="H579" t="s">
        <v>133</v>
      </c>
      <c r="I579">
        <v>3</v>
      </c>
      <c r="J579" s="59">
        <f t="shared" si="9"/>
        <v>12</v>
      </c>
    </row>
    <row r="580" spans="1:10">
      <c r="A580" s="43">
        <v>43280</v>
      </c>
      <c r="B580">
        <v>2016</v>
      </c>
      <c r="C580">
        <v>2506</v>
      </c>
      <c r="D580">
        <v>579</v>
      </c>
      <c r="E580">
        <v>15000</v>
      </c>
      <c r="F580" t="s">
        <v>59</v>
      </c>
      <c r="G580" s="53">
        <v>12</v>
      </c>
      <c r="H580" t="s">
        <v>133</v>
      </c>
      <c r="I580">
        <v>3</v>
      </c>
      <c r="J580" s="59">
        <f t="shared" si="9"/>
        <v>12</v>
      </c>
    </row>
    <row r="581" spans="1:10">
      <c r="A581" s="43">
        <v>43290</v>
      </c>
      <c r="B581">
        <v>2018</v>
      </c>
      <c r="C581">
        <v>2506</v>
      </c>
      <c r="D581">
        <v>580</v>
      </c>
      <c r="E581">
        <v>15000</v>
      </c>
      <c r="F581" t="s">
        <v>59</v>
      </c>
      <c r="G581" s="53">
        <v>13</v>
      </c>
      <c r="H581" t="s">
        <v>133</v>
      </c>
      <c r="I581">
        <v>1</v>
      </c>
      <c r="J581" s="59">
        <f t="shared" si="9"/>
        <v>13</v>
      </c>
    </row>
    <row r="582" spans="1:10">
      <c r="A582" s="43">
        <v>42705</v>
      </c>
      <c r="B582">
        <v>2017</v>
      </c>
      <c r="C582">
        <v>2506</v>
      </c>
      <c r="D582">
        <v>581</v>
      </c>
      <c r="E582">
        <v>8550</v>
      </c>
      <c r="F582" t="s">
        <v>59</v>
      </c>
      <c r="G582" s="53">
        <v>13</v>
      </c>
      <c r="H582" t="s">
        <v>133</v>
      </c>
      <c r="I582">
        <v>2</v>
      </c>
      <c r="J582" s="59">
        <f t="shared" si="9"/>
        <v>13</v>
      </c>
    </row>
    <row r="583" spans="1:10">
      <c r="A583" s="43">
        <v>43340</v>
      </c>
      <c r="B583">
        <v>2017</v>
      </c>
      <c r="C583">
        <v>2506</v>
      </c>
      <c r="D583">
        <v>582</v>
      </c>
      <c r="E583">
        <v>15000</v>
      </c>
      <c r="F583" t="s">
        <v>59</v>
      </c>
      <c r="G583" s="53">
        <v>15</v>
      </c>
      <c r="H583" t="s">
        <v>133</v>
      </c>
      <c r="I583">
        <v>2</v>
      </c>
      <c r="J583" s="59">
        <f t="shared" si="9"/>
        <v>15</v>
      </c>
    </row>
    <row r="584" spans="1:10">
      <c r="A584" s="43">
        <v>42401</v>
      </c>
      <c r="B584">
        <v>2016</v>
      </c>
      <c r="C584">
        <v>2506</v>
      </c>
      <c r="D584">
        <v>583</v>
      </c>
      <c r="E584">
        <v>11500</v>
      </c>
      <c r="F584" t="s">
        <v>59</v>
      </c>
      <c r="G584" s="53">
        <v>18</v>
      </c>
      <c r="H584" t="s">
        <v>133</v>
      </c>
      <c r="I584">
        <v>3</v>
      </c>
      <c r="J584" s="59">
        <f t="shared" si="9"/>
        <v>18</v>
      </c>
    </row>
    <row r="585" spans="1:10">
      <c r="A585" s="43">
        <v>43214</v>
      </c>
      <c r="B585">
        <v>2018</v>
      </c>
      <c r="C585">
        <v>2506</v>
      </c>
      <c r="D585">
        <v>584</v>
      </c>
      <c r="E585">
        <v>15000</v>
      </c>
      <c r="F585" t="s">
        <v>59</v>
      </c>
      <c r="G585" s="61">
        <v>40</v>
      </c>
      <c r="H585" t="s">
        <v>60</v>
      </c>
      <c r="I585">
        <v>1</v>
      </c>
      <c r="J585" s="59">
        <f t="shared" si="9"/>
        <v>1</v>
      </c>
    </row>
    <row r="586" spans="1:10">
      <c r="A586" s="43">
        <v>43013</v>
      </c>
      <c r="B586">
        <v>2016</v>
      </c>
      <c r="C586">
        <v>2506</v>
      </c>
      <c r="D586">
        <v>585</v>
      </c>
      <c r="E586">
        <v>9750</v>
      </c>
      <c r="F586" t="s">
        <v>59</v>
      </c>
      <c r="G586" s="53">
        <v>6</v>
      </c>
      <c r="H586" t="s">
        <v>133</v>
      </c>
      <c r="I586">
        <v>3</v>
      </c>
      <c r="J586" s="59">
        <f t="shared" si="9"/>
        <v>6</v>
      </c>
    </row>
    <row r="587" spans="1:10">
      <c r="A587" s="43">
        <v>43221</v>
      </c>
      <c r="B587">
        <v>2018</v>
      </c>
      <c r="C587">
        <v>2506</v>
      </c>
      <c r="D587">
        <v>586</v>
      </c>
      <c r="E587">
        <v>14950</v>
      </c>
      <c r="F587" t="s">
        <v>59</v>
      </c>
      <c r="G587" s="61">
        <v>60</v>
      </c>
      <c r="H587" t="s">
        <v>60</v>
      </c>
      <c r="I587">
        <v>1</v>
      </c>
      <c r="J587" s="59">
        <f t="shared" si="9"/>
        <v>2</v>
      </c>
    </row>
    <row r="588" spans="1:10">
      <c r="A588" s="43">
        <v>43598</v>
      </c>
      <c r="B588">
        <v>2018</v>
      </c>
      <c r="C588">
        <v>2506</v>
      </c>
      <c r="D588">
        <v>587</v>
      </c>
      <c r="E588">
        <v>15000</v>
      </c>
      <c r="F588" t="s">
        <v>59</v>
      </c>
      <c r="G588" s="53">
        <v>7</v>
      </c>
      <c r="H588" t="s">
        <v>133</v>
      </c>
      <c r="I588">
        <v>1</v>
      </c>
      <c r="J588" s="59">
        <f t="shared" si="9"/>
        <v>7</v>
      </c>
    </row>
    <row r="589" spans="1:10">
      <c r="A589" s="43">
        <v>43588</v>
      </c>
      <c r="B589">
        <v>2018</v>
      </c>
      <c r="C589">
        <v>2506</v>
      </c>
      <c r="D589">
        <v>588</v>
      </c>
      <c r="E589">
        <v>13000</v>
      </c>
      <c r="F589" t="s">
        <v>59</v>
      </c>
      <c r="G589" s="53">
        <v>7</v>
      </c>
      <c r="H589" t="s">
        <v>133</v>
      </c>
      <c r="I589">
        <v>1</v>
      </c>
      <c r="J589" s="59">
        <f t="shared" si="9"/>
        <v>7</v>
      </c>
    </row>
    <row r="590" spans="1:10">
      <c r="A590" s="43">
        <v>42699</v>
      </c>
      <c r="B590">
        <v>2011</v>
      </c>
      <c r="C590">
        <v>2535</v>
      </c>
      <c r="D590">
        <v>589</v>
      </c>
      <c r="E590">
        <v>5600</v>
      </c>
      <c r="F590" t="s">
        <v>59</v>
      </c>
      <c r="G590" s="53">
        <v>10</v>
      </c>
      <c r="H590" t="s">
        <v>133</v>
      </c>
      <c r="I590">
        <v>8</v>
      </c>
      <c r="J590" s="59">
        <f t="shared" si="9"/>
        <v>10</v>
      </c>
    </row>
    <row r="591" spans="1:10">
      <c r="A591" s="43">
        <v>42646</v>
      </c>
      <c r="B591">
        <v>2011</v>
      </c>
      <c r="C591">
        <v>2535</v>
      </c>
      <c r="D591">
        <v>590</v>
      </c>
      <c r="E591">
        <v>5750</v>
      </c>
      <c r="F591" t="s">
        <v>59</v>
      </c>
      <c r="G591" s="53">
        <v>10</v>
      </c>
      <c r="H591" t="s">
        <v>133</v>
      </c>
      <c r="I591">
        <v>8</v>
      </c>
      <c r="J591" s="59">
        <f t="shared" si="9"/>
        <v>10</v>
      </c>
    </row>
    <row r="592" spans="1:10">
      <c r="A592" s="43">
        <v>43271</v>
      </c>
      <c r="B592">
        <v>2011</v>
      </c>
      <c r="C592">
        <v>2535</v>
      </c>
      <c r="D592">
        <v>591</v>
      </c>
      <c r="E592">
        <v>12300</v>
      </c>
      <c r="F592" t="s">
        <v>59</v>
      </c>
      <c r="G592" s="53">
        <v>11</v>
      </c>
      <c r="H592" t="s">
        <v>133</v>
      </c>
      <c r="I592">
        <v>8</v>
      </c>
      <c r="J592" s="59">
        <f t="shared" si="9"/>
        <v>11</v>
      </c>
    </row>
    <row r="593" spans="1:10">
      <c r="A593" s="43">
        <v>42979</v>
      </c>
      <c r="B593">
        <v>2011</v>
      </c>
      <c r="C593">
        <v>2535</v>
      </c>
      <c r="D593">
        <v>592</v>
      </c>
      <c r="E593">
        <v>8200</v>
      </c>
      <c r="F593" t="s">
        <v>59</v>
      </c>
      <c r="G593" s="53">
        <v>12</v>
      </c>
      <c r="H593" t="s">
        <v>133</v>
      </c>
      <c r="I593">
        <v>8</v>
      </c>
      <c r="J593" s="59">
        <f t="shared" si="9"/>
        <v>12</v>
      </c>
    </row>
    <row r="594" spans="1:10">
      <c r="A594" s="43">
        <v>42795</v>
      </c>
      <c r="B594">
        <v>2011</v>
      </c>
      <c r="C594">
        <v>2535</v>
      </c>
      <c r="D594">
        <v>593</v>
      </c>
      <c r="E594">
        <v>6500</v>
      </c>
      <c r="F594" t="s">
        <v>59</v>
      </c>
      <c r="G594" s="53">
        <v>3</v>
      </c>
      <c r="H594" t="s">
        <v>133</v>
      </c>
      <c r="I594">
        <v>8</v>
      </c>
      <c r="J594" s="59">
        <f t="shared" si="9"/>
        <v>3</v>
      </c>
    </row>
    <row r="595" spans="1:10">
      <c r="A595" s="43">
        <v>42879</v>
      </c>
      <c r="B595">
        <v>2011</v>
      </c>
      <c r="C595">
        <v>2535</v>
      </c>
      <c r="D595">
        <v>594</v>
      </c>
      <c r="E595">
        <v>9450</v>
      </c>
      <c r="F595" t="s">
        <v>59</v>
      </c>
      <c r="G595" s="53">
        <v>5</v>
      </c>
      <c r="H595" t="s">
        <v>133</v>
      </c>
      <c r="I595">
        <v>8</v>
      </c>
      <c r="J595" s="59">
        <f t="shared" si="9"/>
        <v>5</v>
      </c>
    </row>
    <row r="596" spans="1:10">
      <c r="A596" s="43">
        <v>43523</v>
      </c>
      <c r="B596">
        <v>2011</v>
      </c>
      <c r="C596">
        <v>2535</v>
      </c>
      <c r="D596">
        <v>595</v>
      </c>
      <c r="E596">
        <v>8200</v>
      </c>
      <c r="F596" t="s">
        <v>59</v>
      </c>
      <c r="G596" s="53">
        <v>6</v>
      </c>
      <c r="H596" t="s">
        <v>133</v>
      </c>
      <c r="I596">
        <v>8</v>
      </c>
      <c r="J596" s="59">
        <f t="shared" si="9"/>
        <v>6</v>
      </c>
    </row>
    <row r="597" spans="1:10">
      <c r="A597" s="43">
        <v>43385</v>
      </c>
      <c r="B597">
        <v>2011</v>
      </c>
      <c r="C597">
        <v>2535</v>
      </c>
      <c r="D597">
        <v>596</v>
      </c>
      <c r="E597">
        <v>9500</v>
      </c>
      <c r="F597" t="s">
        <v>59</v>
      </c>
      <c r="G597" s="53">
        <v>6</v>
      </c>
      <c r="H597" t="s">
        <v>133</v>
      </c>
      <c r="I597">
        <v>8</v>
      </c>
      <c r="J597" s="59">
        <f t="shared" si="9"/>
        <v>6</v>
      </c>
    </row>
    <row r="598" spans="1:10">
      <c r="A598" s="43">
        <v>43054</v>
      </c>
      <c r="B598">
        <v>2011</v>
      </c>
      <c r="C598">
        <v>2535</v>
      </c>
      <c r="D598">
        <v>597</v>
      </c>
      <c r="E598">
        <v>8850</v>
      </c>
      <c r="F598" t="s">
        <v>59</v>
      </c>
      <c r="G598" s="53">
        <v>6</v>
      </c>
      <c r="H598" t="s">
        <v>133</v>
      </c>
      <c r="I598">
        <v>8</v>
      </c>
      <c r="J598" s="59">
        <f t="shared" si="9"/>
        <v>6</v>
      </c>
    </row>
    <row r="599" spans="1:10">
      <c r="A599" s="43">
        <v>42657</v>
      </c>
      <c r="B599">
        <v>2011</v>
      </c>
      <c r="C599">
        <v>2535</v>
      </c>
      <c r="D599">
        <v>598</v>
      </c>
      <c r="E599">
        <v>5500</v>
      </c>
      <c r="F599" t="s">
        <v>59</v>
      </c>
      <c r="G599" s="53">
        <v>6</v>
      </c>
      <c r="H599" t="s">
        <v>133</v>
      </c>
      <c r="I599">
        <v>8</v>
      </c>
      <c r="J599" s="59">
        <f t="shared" si="9"/>
        <v>6</v>
      </c>
    </row>
    <row r="600" spans="1:10">
      <c r="A600" s="43">
        <v>42643</v>
      </c>
      <c r="B600">
        <v>2011</v>
      </c>
      <c r="C600">
        <v>2535</v>
      </c>
      <c r="D600">
        <v>599</v>
      </c>
      <c r="E600">
        <v>5850</v>
      </c>
      <c r="F600" t="s">
        <v>59</v>
      </c>
      <c r="G600" s="53">
        <v>6</v>
      </c>
      <c r="H600" t="s">
        <v>133</v>
      </c>
      <c r="I600">
        <v>8</v>
      </c>
      <c r="J600" s="59">
        <f t="shared" si="9"/>
        <v>6</v>
      </c>
    </row>
    <row r="601" spans="1:10">
      <c r="A601" s="43">
        <v>43188</v>
      </c>
      <c r="B601">
        <v>2011</v>
      </c>
      <c r="C601">
        <v>2535</v>
      </c>
      <c r="D601">
        <v>600</v>
      </c>
      <c r="E601">
        <v>9950</v>
      </c>
      <c r="F601" t="s">
        <v>59</v>
      </c>
      <c r="G601" s="53">
        <v>7</v>
      </c>
      <c r="H601" t="s">
        <v>133</v>
      </c>
      <c r="I601">
        <v>8</v>
      </c>
      <c r="J601" s="59">
        <f t="shared" si="9"/>
        <v>7</v>
      </c>
    </row>
    <row r="602" spans="1:10">
      <c r="A602" s="43">
        <v>43383</v>
      </c>
      <c r="B602">
        <v>2014</v>
      </c>
      <c r="C602">
        <v>2546</v>
      </c>
      <c r="D602">
        <v>601</v>
      </c>
      <c r="E602">
        <v>10250</v>
      </c>
      <c r="F602" t="s">
        <v>59</v>
      </c>
      <c r="G602" s="53">
        <v>12</v>
      </c>
      <c r="H602" t="s">
        <v>133</v>
      </c>
      <c r="I602">
        <v>5</v>
      </c>
      <c r="J602" s="59">
        <f t="shared" si="9"/>
        <v>12</v>
      </c>
    </row>
    <row r="603" spans="1:10">
      <c r="A603" s="43">
        <v>43222</v>
      </c>
      <c r="B603">
        <v>2013</v>
      </c>
      <c r="C603">
        <v>2546</v>
      </c>
      <c r="D603">
        <v>602</v>
      </c>
      <c r="E603">
        <v>12200</v>
      </c>
      <c r="F603" t="s">
        <v>59</v>
      </c>
      <c r="G603" s="53">
        <v>12</v>
      </c>
      <c r="H603" t="s">
        <v>133</v>
      </c>
      <c r="I603">
        <v>6</v>
      </c>
      <c r="J603" s="59">
        <f t="shared" si="9"/>
        <v>12</v>
      </c>
    </row>
    <row r="604" spans="1:10">
      <c r="A604" s="43">
        <v>43081</v>
      </c>
      <c r="B604">
        <v>2014</v>
      </c>
      <c r="C604">
        <v>2546</v>
      </c>
      <c r="D604">
        <v>603</v>
      </c>
      <c r="E604">
        <v>9500</v>
      </c>
      <c r="F604" t="s">
        <v>59</v>
      </c>
      <c r="G604" s="53">
        <v>12</v>
      </c>
      <c r="H604" t="s">
        <v>133</v>
      </c>
      <c r="I604">
        <v>5</v>
      </c>
      <c r="J604" s="59">
        <f t="shared" si="9"/>
        <v>12</v>
      </c>
    </row>
    <row r="605" spans="1:10">
      <c r="A605" s="43">
        <v>43054</v>
      </c>
      <c r="B605">
        <v>2012</v>
      </c>
      <c r="C605">
        <v>2546</v>
      </c>
      <c r="D605">
        <v>604</v>
      </c>
      <c r="E605">
        <v>8750</v>
      </c>
      <c r="F605" t="s">
        <v>59</v>
      </c>
      <c r="G605" s="53">
        <v>12</v>
      </c>
      <c r="H605" t="s">
        <v>133</v>
      </c>
      <c r="I605">
        <v>7</v>
      </c>
      <c r="J605" s="59">
        <f t="shared" si="9"/>
        <v>12</v>
      </c>
    </row>
    <row r="606" spans="1:10">
      <c r="A606" s="43">
        <v>42797</v>
      </c>
      <c r="B606">
        <v>2013</v>
      </c>
      <c r="C606">
        <v>2546</v>
      </c>
      <c r="D606">
        <v>605</v>
      </c>
      <c r="E606">
        <v>8250</v>
      </c>
      <c r="F606" t="s">
        <v>59</v>
      </c>
      <c r="G606" s="53">
        <v>12</v>
      </c>
      <c r="H606" t="s">
        <v>133</v>
      </c>
      <c r="I606">
        <v>6</v>
      </c>
      <c r="J606" s="59">
        <f t="shared" si="9"/>
        <v>12</v>
      </c>
    </row>
    <row r="607" spans="1:10">
      <c r="A607" s="43">
        <v>42748</v>
      </c>
      <c r="B607">
        <v>2014</v>
      </c>
      <c r="C607">
        <v>2546</v>
      </c>
      <c r="D607">
        <v>606</v>
      </c>
      <c r="E607">
        <v>7500</v>
      </c>
      <c r="F607" t="s">
        <v>59</v>
      </c>
      <c r="G607" s="53">
        <v>12</v>
      </c>
      <c r="H607" t="s">
        <v>133</v>
      </c>
      <c r="I607">
        <v>5</v>
      </c>
      <c r="J607" s="59">
        <f t="shared" si="9"/>
        <v>12</v>
      </c>
    </row>
    <row r="608" spans="1:10">
      <c r="A608" s="43">
        <v>42688</v>
      </c>
      <c r="B608">
        <v>2012</v>
      </c>
      <c r="C608">
        <v>2546</v>
      </c>
      <c r="D608">
        <v>607</v>
      </c>
      <c r="E608">
        <v>5500</v>
      </c>
      <c r="F608" t="s">
        <v>59</v>
      </c>
      <c r="G608" s="53">
        <v>12</v>
      </c>
      <c r="H608" t="s">
        <v>133</v>
      </c>
      <c r="I608">
        <v>7</v>
      </c>
      <c r="J608" s="59">
        <f t="shared" si="9"/>
        <v>12</v>
      </c>
    </row>
    <row r="609" spans="1:10">
      <c r="A609" s="43">
        <v>42486</v>
      </c>
      <c r="B609">
        <v>2011</v>
      </c>
      <c r="C609">
        <v>2546</v>
      </c>
      <c r="D609">
        <v>608</v>
      </c>
      <c r="E609">
        <v>9500</v>
      </c>
      <c r="F609" t="s">
        <v>59</v>
      </c>
      <c r="G609" s="53">
        <v>12</v>
      </c>
      <c r="H609" t="s">
        <v>133</v>
      </c>
      <c r="I609">
        <v>8</v>
      </c>
      <c r="J609" s="59">
        <f t="shared" si="9"/>
        <v>12</v>
      </c>
    </row>
    <row r="610" spans="1:10">
      <c r="A610" s="43">
        <v>42480</v>
      </c>
      <c r="B610">
        <v>2014</v>
      </c>
      <c r="C610">
        <v>2546</v>
      </c>
      <c r="D610">
        <v>609</v>
      </c>
      <c r="E610">
        <v>7350</v>
      </c>
      <c r="F610" t="s">
        <v>59</v>
      </c>
      <c r="G610" s="53">
        <v>12</v>
      </c>
      <c r="H610" t="s">
        <v>133</v>
      </c>
      <c r="I610">
        <v>5</v>
      </c>
      <c r="J610" s="59">
        <f t="shared" si="9"/>
        <v>12</v>
      </c>
    </row>
    <row r="611" spans="1:10">
      <c r="A611" s="43">
        <v>42905</v>
      </c>
      <c r="B611">
        <v>2011</v>
      </c>
      <c r="C611">
        <v>2546</v>
      </c>
      <c r="D611">
        <v>610</v>
      </c>
      <c r="E611">
        <v>9500</v>
      </c>
      <c r="F611" t="s">
        <v>59</v>
      </c>
      <c r="G611" s="53">
        <v>13</v>
      </c>
      <c r="H611" t="s">
        <v>133</v>
      </c>
      <c r="I611">
        <v>8</v>
      </c>
      <c r="J611" s="59">
        <f t="shared" si="9"/>
        <v>13</v>
      </c>
    </row>
    <row r="612" spans="1:10">
      <c r="A612" s="43">
        <v>43367</v>
      </c>
      <c r="B612">
        <v>2011</v>
      </c>
      <c r="C612">
        <v>2546</v>
      </c>
      <c r="D612">
        <v>611</v>
      </c>
      <c r="E612">
        <v>12000</v>
      </c>
      <c r="F612" t="s">
        <v>59</v>
      </c>
      <c r="G612" s="53">
        <v>18</v>
      </c>
      <c r="H612" t="s">
        <v>133</v>
      </c>
      <c r="I612">
        <v>8</v>
      </c>
      <c r="J612" s="59">
        <f t="shared" si="9"/>
        <v>18</v>
      </c>
    </row>
    <row r="613" spans="1:10">
      <c r="A613" s="43">
        <v>43102</v>
      </c>
      <c r="B613">
        <v>2013</v>
      </c>
      <c r="C613">
        <v>2546</v>
      </c>
      <c r="D613">
        <v>612</v>
      </c>
      <c r="E613">
        <v>10750</v>
      </c>
      <c r="F613" t="s">
        <v>59</v>
      </c>
      <c r="G613" s="53">
        <v>26</v>
      </c>
      <c r="H613" t="s">
        <v>133</v>
      </c>
      <c r="I613">
        <v>6</v>
      </c>
      <c r="J613" s="59">
        <f t="shared" si="9"/>
        <v>26</v>
      </c>
    </row>
    <row r="614" spans="1:10">
      <c r="A614" s="43">
        <v>43495</v>
      </c>
      <c r="B614">
        <v>2013</v>
      </c>
      <c r="C614">
        <v>2546</v>
      </c>
      <c r="D614">
        <v>613</v>
      </c>
      <c r="E614">
        <v>10750</v>
      </c>
      <c r="F614" t="s">
        <v>59</v>
      </c>
      <c r="G614" s="53">
        <v>3</v>
      </c>
      <c r="H614" t="s">
        <v>133</v>
      </c>
      <c r="I614">
        <v>6</v>
      </c>
      <c r="J614" s="59">
        <f t="shared" si="9"/>
        <v>3</v>
      </c>
    </row>
    <row r="615" spans="1:10">
      <c r="A615" s="43">
        <v>42969</v>
      </c>
      <c r="B615">
        <v>2014</v>
      </c>
      <c r="C615">
        <v>2546</v>
      </c>
      <c r="D615">
        <v>614</v>
      </c>
      <c r="E615">
        <v>9500</v>
      </c>
      <c r="F615" t="s">
        <v>59</v>
      </c>
      <c r="G615" s="61">
        <v>35</v>
      </c>
      <c r="H615" t="s">
        <v>60</v>
      </c>
      <c r="I615">
        <v>5</v>
      </c>
      <c r="J615" s="59">
        <f t="shared" si="9"/>
        <v>1</v>
      </c>
    </row>
    <row r="616" spans="1:10">
      <c r="A616" s="43">
        <v>42912</v>
      </c>
      <c r="B616">
        <v>2014</v>
      </c>
      <c r="C616">
        <v>2546</v>
      </c>
      <c r="D616">
        <v>615</v>
      </c>
      <c r="E616">
        <v>8250</v>
      </c>
      <c r="F616" t="s">
        <v>59</v>
      </c>
      <c r="G616" s="53">
        <v>4</v>
      </c>
      <c r="H616" t="s">
        <v>133</v>
      </c>
      <c r="I616">
        <v>5</v>
      </c>
      <c r="J616" s="59">
        <f t="shared" si="9"/>
        <v>4</v>
      </c>
    </row>
    <row r="617" spans="1:10">
      <c r="A617" s="43">
        <v>42544</v>
      </c>
      <c r="B617">
        <v>2014</v>
      </c>
      <c r="C617">
        <v>2546</v>
      </c>
      <c r="D617">
        <v>616</v>
      </c>
      <c r="E617">
        <v>6650</v>
      </c>
      <c r="F617" t="s">
        <v>59</v>
      </c>
      <c r="G617" s="53">
        <v>5</v>
      </c>
      <c r="H617" t="s">
        <v>133</v>
      </c>
      <c r="I617">
        <v>5</v>
      </c>
      <c r="J617" s="59">
        <f t="shared" si="9"/>
        <v>5</v>
      </c>
    </row>
    <row r="618" spans="1:10">
      <c r="A618" s="43">
        <v>42852</v>
      </c>
      <c r="B618">
        <v>2014</v>
      </c>
      <c r="C618">
        <v>2546</v>
      </c>
      <c r="D618">
        <v>617</v>
      </c>
      <c r="E618">
        <v>10000</v>
      </c>
      <c r="F618" t="s">
        <v>59</v>
      </c>
      <c r="G618" s="53">
        <v>6</v>
      </c>
      <c r="H618" t="s">
        <v>133</v>
      </c>
      <c r="I618">
        <v>5</v>
      </c>
      <c r="J618" s="59">
        <f t="shared" si="9"/>
        <v>6</v>
      </c>
    </row>
    <row r="619" spans="1:10">
      <c r="A619" s="43">
        <v>42688</v>
      </c>
      <c r="B619">
        <v>2014</v>
      </c>
      <c r="C619">
        <v>2546</v>
      </c>
      <c r="D619">
        <v>618</v>
      </c>
      <c r="E619">
        <v>6000</v>
      </c>
      <c r="F619" t="s">
        <v>59</v>
      </c>
      <c r="G619" s="53">
        <v>6</v>
      </c>
      <c r="H619" t="s">
        <v>133</v>
      </c>
      <c r="I619">
        <v>5</v>
      </c>
      <c r="J619" s="59">
        <f t="shared" si="9"/>
        <v>6</v>
      </c>
    </row>
    <row r="620" spans="1:10">
      <c r="A620" s="43">
        <v>42524</v>
      </c>
      <c r="B620">
        <v>2013</v>
      </c>
      <c r="C620">
        <v>2546</v>
      </c>
      <c r="D620">
        <v>619</v>
      </c>
      <c r="E620">
        <v>6700</v>
      </c>
      <c r="F620" t="s">
        <v>59</v>
      </c>
      <c r="G620" s="61">
        <v>60</v>
      </c>
      <c r="H620" t="s">
        <v>60</v>
      </c>
      <c r="I620">
        <v>6</v>
      </c>
      <c r="J620" s="59">
        <f t="shared" si="9"/>
        <v>2</v>
      </c>
    </row>
    <row r="621" spans="1:10">
      <c r="A621" s="43">
        <v>43272</v>
      </c>
      <c r="B621">
        <v>2013</v>
      </c>
      <c r="C621">
        <v>2546</v>
      </c>
      <c r="D621">
        <v>620</v>
      </c>
      <c r="E621">
        <v>13250</v>
      </c>
      <c r="F621" t="s">
        <v>59</v>
      </c>
      <c r="G621" s="53">
        <v>7</v>
      </c>
      <c r="H621" t="s">
        <v>133</v>
      </c>
      <c r="I621">
        <v>6</v>
      </c>
      <c r="J621" s="59">
        <f t="shared" si="9"/>
        <v>7</v>
      </c>
    </row>
    <row r="622" spans="1:10">
      <c r="A622" s="43">
        <v>42689</v>
      </c>
      <c r="B622">
        <v>2014</v>
      </c>
      <c r="C622">
        <v>2546</v>
      </c>
      <c r="D622">
        <v>621</v>
      </c>
      <c r="E622">
        <v>6000</v>
      </c>
      <c r="F622" t="s">
        <v>59</v>
      </c>
      <c r="G622" s="53">
        <v>7</v>
      </c>
      <c r="H622" t="s">
        <v>133</v>
      </c>
      <c r="I622">
        <v>5</v>
      </c>
      <c r="J622" s="59">
        <f t="shared" si="9"/>
        <v>7</v>
      </c>
    </row>
    <row r="623" spans="1:10">
      <c r="A623" s="43">
        <v>43634</v>
      </c>
      <c r="B623">
        <v>2014</v>
      </c>
      <c r="C623">
        <v>2546</v>
      </c>
      <c r="D623">
        <v>622</v>
      </c>
      <c r="E623">
        <v>10500</v>
      </c>
      <c r="F623" t="s">
        <v>59</v>
      </c>
      <c r="G623" s="53">
        <v>8</v>
      </c>
      <c r="H623" t="s">
        <v>133</v>
      </c>
      <c r="I623">
        <v>5</v>
      </c>
      <c r="J623" s="59">
        <f t="shared" si="9"/>
        <v>8</v>
      </c>
    </row>
    <row r="624" spans="1:10">
      <c r="A624" s="43">
        <v>43402</v>
      </c>
      <c r="B624">
        <v>2012</v>
      </c>
      <c r="C624">
        <v>2546</v>
      </c>
      <c r="D624">
        <v>623</v>
      </c>
      <c r="E624">
        <v>10000</v>
      </c>
      <c r="F624" t="s">
        <v>59</v>
      </c>
      <c r="G624" s="53">
        <v>8</v>
      </c>
      <c r="H624" t="s">
        <v>133</v>
      </c>
      <c r="I624">
        <v>7</v>
      </c>
      <c r="J624" s="59">
        <f t="shared" si="9"/>
        <v>8</v>
      </c>
    </row>
    <row r="625" spans="1:10">
      <c r="A625" s="43">
        <v>43136</v>
      </c>
      <c r="B625">
        <v>2014</v>
      </c>
      <c r="C625">
        <v>2546</v>
      </c>
      <c r="D625">
        <v>624</v>
      </c>
      <c r="E625">
        <v>10500</v>
      </c>
      <c r="F625" t="s">
        <v>59</v>
      </c>
      <c r="G625" s="53">
        <v>8</v>
      </c>
      <c r="H625" t="s">
        <v>133</v>
      </c>
      <c r="I625">
        <v>5</v>
      </c>
      <c r="J625" s="59">
        <f t="shared" si="9"/>
        <v>8</v>
      </c>
    </row>
    <row r="626" spans="1:10">
      <c r="A626" s="43">
        <v>43024</v>
      </c>
      <c r="B626">
        <v>2014</v>
      </c>
      <c r="C626">
        <v>2546</v>
      </c>
      <c r="D626">
        <v>625</v>
      </c>
      <c r="E626">
        <v>9125</v>
      </c>
      <c r="F626" t="s">
        <v>59</v>
      </c>
      <c r="G626" s="53">
        <v>8</v>
      </c>
      <c r="H626" t="s">
        <v>133</v>
      </c>
      <c r="I626">
        <v>5</v>
      </c>
      <c r="J626" s="59">
        <f t="shared" si="9"/>
        <v>8</v>
      </c>
    </row>
    <row r="627" spans="1:10">
      <c r="A627" s="43">
        <v>42948</v>
      </c>
      <c r="B627">
        <v>2013</v>
      </c>
      <c r="C627">
        <v>2546</v>
      </c>
      <c r="D627">
        <v>626</v>
      </c>
      <c r="E627">
        <v>9000</v>
      </c>
      <c r="F627" t="s">
        <v>59</v>
      </c>
      <c r="G627" s="53">
        <v>8</v>
      </c>
      <c r="H627" t="s">
        <v>133</v>
      </c>
      <c r="I627">
        <v>6</v>
      </c>
      <c r="J627" s="59">
        <f t="shared" si="9"/>
        <v>8</v>
      </c>
    </row>
    <row r="628" spans="1:10">
      <c r="A628" s="43">
        <v>43225</v>
      </c>
      <c r="B628">
        <v>2014</v>
      </c>
      <c r="C628">
        <v>2546</v>
      </c>
      <c r="D628">
        <v>627</v>
      </c>
      <c r="E628">
        <v>12000</v>
      </c>
      <c r="F628" t="s">
        <v>59</v>
      </c>
      <c r="G628" s="53">
        <v>9</v>
      </c>
      <c r="H628" t="s">
        <v>133</v>
      </c>
      <c r="I628">
        <v>5</v>
      </c>
      <c r="J628" s="59">
        <f t="shared" si="9"/>
        <v>9</v>
      </c>
    </row>
    <row r="629" spans="1:10">
      <c r="A629" s="43">
        <v>42571</v>
      </c>
      <c r="B629">
        <v>2012</v>
      </c>
      <c r="C629">
        <v>2546</v>
      </c>
      <c r="D629">
        <v>628</v>
      </c>
      <c r="E629">
        <v>5500</v>
      </c>
      <c r="F629" t="s">
        <v>59</v>
      </c>
      <c r="G629" s="53">
        <v>9</v>
      </c>
      <c r="H629" t="s">
        <v>133</v>
      </c>
      <c r="I629">
        <v>7</v>
      </c>
      <c r="J629" s="59">
        <f t="shared" si="9"/>
        <v>9</v>
      </c>
    </row>
    <row r="630" spans="1:10">
      <c r="A630" s="43">
        <v>42422</v>
      </c>
      <c r="B630">
        <v>2013</v>
      </c>
      <c r="C630">
        <v>2546</v>
      </c>
      <c r="D630">
        <v>629</v>
      </c>
      <c r="E630">
        <v>6900</v>
      </c>
      <c r="F630" t="s">
        <v>59</v>
      </c>
      <c r="G630" s="61">
        <v>90</v>
      </c>
      <c r="H630" t="s">
        <v>60</v>
      </c>
      <c r="I630">
        <v>6</v>
      </c>
      <c r="J630" s="59">
        <f t="shared" si="9"/>
        <v>3</v>
      </c>
    </row>
    <row r="631" spans="1:10">
      <c r="A631" s="43">
        <v>42422</v>
      </c>
      <c r="B631">
        <v>2014</v>
      </c>
      <c r="C631">
        <v>2546</v>
      </c>
      <c r="D631">
        <v>630</v>
      </c>
      <c r="E631">
        <v>6900</v>
      </c>
      <c r="F631" t="s">
        <v>59</v>
      </c>
      <c r="G631" s="61">
        <v>90</v>
      </c>
      <c r="H631" t="s">
        <v>60</v>
      </c>
      <c r="I631">
        <v>5</v>
      </c>
      <c r="J631" s="59">
        <f t="shared" si="9"/>
        <v>3</v>
      </c>
    </row>
    <row r="632" spans="1:10">
      <c r="A632" s="43">
        <v>43024</v>
      </c>
      <c r="B632">
        <v>2017</v>
      </c>
      <c r="C632">
        <v>2700</v>
      </c>
      <c r="D632">
        <v>631</v>
      </c>
      <c r="E632">
        <v>11900</v>
      </c>
      <c r="F632" t="s">
        <v>59</v>
      </c>
      <c r="G632" s="53">
        <v>5</v>
      </c>
      <c r="H632" t="s">
        <v>133</v>
      </c>
      <c r="I632">
        <v>2</v>
      </c>
      <c r="J632" s="59">
        <f t="shared" si="9"/>
        <v>5</v>
      </c>
    </row>
    <row r="633" spans="1:10">
      <c r="A633" s="43">
        <v>43343</v>
      </c>
      <c r="B633">
        <v>2018</v>
      </c>
      <c r="C633">
        <v>2700</v>
      </c>
      <c r="D633">
        <v>632</v>
      </c>
      <c r="E633">
        <v>14000</v>
      </c>
      <c r="F633" t="s">
        <v>59</v>
      </c>
      <c r="G633" s="53">
        <v>6</v>
      </c>
      <c r="H633" t="s">
        <v>133</v>
      </c>
      <c r="I633">
        <v>1</v>
      </c>
      <c r="J633" s="59">
        <f t="shared" si="9"/>
        <v>6</v>
      </c>
    </row>
    <row r="634" spans="1:10">
      <c r="A634" s="43">
        <v>43262</v>
      </c>
      <c r="B634">
        <v>2018</v>
      </c>
      <c r="C634">
        <v>2700</v>
      </c>
      <c r="D634">
        <v>633</v>
      </c>
      <c r="E634">
        <v>14000</v>
      </c>
      <c r="F634" t="s">
        <v>59</v>
      </c>
      <c r="G634" s="53">
        <v>6</v>
      </c>
      <c r="H634" t="s">
        <v>133</v>
      </c>
      <c r="I634">
        <v>1</v>
      </c>
      <c r="J634" s="59">
        <f t="shared" si="9"/>
        <v>6</v>
      </c>
    </row>
    <row r="635" spans="1:10">
      <c r="A635" s="43">
        <v>43367</v>
      </c>
      <c r="B635">
        <v>2017</v>
      </c>
      <c r="C635">
        <v>2708</v>
      </c>
      <c r="D635">
        <v>634</v>
      </c>
      <c r="E635">
        <v>13750</v>
      </c>
      <c r="F635" t="s">
        <v>59</v>
      </c>
      <c r="G635" s="53">
        <v>18</v>
      </c>
      <c r="H635" t="s">
        <v>133</v>
      </c>
      <c r="I635">
        <v>2</v>
      </c>
      <c r="J635" s="59">
        <f t="shared" si="9"/>
        <v>18</v>
      </c>
    </row>
    <row r="636" spans="1:10">
      <c r="A636" s="43">
        <v>43187</v>
      </c>
      <c r="B636">
        <v>2017</v>
      </c>
      <c r="C636">
        <v>2708</v>
      </c>
      <c r="D636">
        <v>635</v>
      </c>
      <c r="E636">
        <v>13350</v>
      </c>
      <c r="F636" t="s">
        <v>59</v>
      </c>
      <c r="G636" s="53">
        <v>6</v>
      </c>
      <c r="H636" t="s">
        <v>133</v>
      </c>
      <c r="I636">
        <v>2</v>
      </c>
      <c r="J636" s="59">
        <f t="shared" si="9"/>
        <v>6</v>
      </c>
    </row>
    <row r="637" spans="1:10">
      <c r="A637" s="43">
        <v>43052</v>
      </c>
      <c r="B637">
        <v>2017</v>
      </c>
      <c r="C637">
        <v>2708</v>
      </c>
      <c r="D637">
        <v>636</v>
      </c>
      <c r="E637">
        <v>11500</v>
      </c>
      <c r="F637" t="s">
        <v>59</v>
      </c>
      <c r="G637" s="53">
        <v>6</v>
      </c>
      <c r="H637" t="s">
        <v>133</v>
      </c>
      <c r="I637">
        <v>2</v>
      </c>
      <c r="J637" s="59">
        <f t="shared" si="9"/>
        <v>6</v>
      </c>
    </row>
    <row r="638" spans="1:10">
      <c r="A638" s="43">
        <v>43213</v>
      </c>
      <c r="B638">
        <v>2017</v>
      </c>
      <c r="C638">
        <v>2708</v>
      </c>
      <c r="D638">
        <v>637</v>
      </c>
      <c r="E638">
        <v>13750</v>
      </c>
      <c r="F638" t="s">
        <v>59</v>
      </c>
      <c r="G638" s="53">
        <v>8</v>
      </c>
      <c r="H638" t="s">
        <v>133</v>
      </c>
      <c r="I638">
        <v>2</v>
      </c>
      <c r="J638" s="59">
        <f t="shared" si="9"/>
        <v>8</v>
      </c>
    </row>
    <row r="639" spans="1:10">
      <c r="A639" s="43">
        <v>42635</v>
      </c>
      <c r="B639">
        <v>2016</v>
      </c>
      <c r="C639">
        <v>2754</v>
      </c>
      <c r="D639">
        <v>638</v>
      </c>
      <c r="E639">
        <v>11900</v>
      </c>
      <c r="F639" t="s">
        <v>59</v>
      </c>
      <c r="G639" s="53">
        <v>3</v>
      </c>
      <c r="H639" t="s">
        <v>134</v>
      </c>
      <c r="I639">
        <v>3</v>
      </c>
      <c r="J639" s="59">
        <f t="shared" si="9"/>
        <v>36</v>
      </c>
    </row>
    <row r="640" spans="1:10">
      <c r="A640" s="43">
        <v>42552</v>
      </c>
      <c r="B640">
        <v>2017</v>
      </c>
      <c r="C640">
        <v>2754</v>
      </c>
      <c r="D640">
        <v>639</v>
      </c>
      <c r="E640">
        <v>11900</v>
      </c>
      <c r="F640" t="s">
        <v>59</v>
      </c>
      <c r="G640" s="53">
        <v>3</v>
      </c>
      <c r="H640" t="s">
        <v>134</v>
      </c>
      <c r="I640">
        <v>2</v>
      </c>
      <c r="J640" s="59">
        <f t="shared" si="9"/>
        <v>36</v>
      </c>
    </row>
    <row r="641" spans="1:10">
      <c r="A641" s="43">
        <v>42552</v>
      </c>
      <c r="B641">
        <v>2016</v>
      </c>
      <c r="C641">
        <v>2754</v>
      </c>
      <c r="D641">
        <v>640</v>
      </c>
      <c r="E641">
        <v>11900</v>
      </c>
      <c r="F641" t="s">
        <v>59</v>
      </c>
      <c r="G641" s="53">
        <v>36</v>
      </c>
      <c r="H641" t="s">
        <v>133</v>
      </c>
      <c r="I641">
        <v>3</v>
      </c>
      <c r="J641" s="59">
        <f t="shared" si="9"/>
        <v>36</v>
      </c>
    </row>
    <row r="642" spans="1:10">
      <c r="A642" s="43">
        <v>43521</v>
      </c>
      <c r="B642">
        <v>2011</v>
      </c>
      <c r="C642">
        <v>2758</v>
      </c>
      <c r="D642">
        <v>641</v>
      </c>
      <c r="E642">
        <v>8500</v>
      </c>
      <c r="F642" t="s">
        <v>59</v>
      </c>
      <c r="G642" s="53">
        <v>12</v>
      </c>
      <c r="H642" t="s">
        <v>133</v>
      </c>
      <c r="I642">
        <v>8</v>
      </c>
      <c r="J642" s="59">
        <f t="shared" ref="J642:J688" si="10">IF(H642="days",ROUND(G642/30,0),IF(H642="years",G642*12,G642))</f>
        <v>12</v>
      </c>
    </row>
    <row r="643" spans="1:10">
      <c r="A643" s="43">
        <v>43374</v>
      </c>
      <c r="B643">
        <v>2011</v>
      </c>
      <c r="C643">
        <v>2758</v>
      </c>
      <c r="D643">
        <v>642</v>
      </c>
      <c r="E643">
        <v>11000</v>
      </c>
      <c r="F643" t="s">
        <v>59</v>
      </c>
      <c r="G643" s="53">
        <v>12</v>
      </c>
      <c r="H643" t="s">
        <v>133</v>
      </c>
      <c r="I643">
        <v>8</v>
      </c>
      <c r="J643" s="59">
        <f t="shared" si="10"/>
        <v>12</v>
      </c>
    </row>
    <row r="644" spans="1:10">
      <c r="A644" s="43">
        <v>42779</v>
      </c>
      <c r="B644">
        <v>2011</v>
      </c>
      <c r="C644">
        <v>2758</v>
      </c>
      <c r="D644">
        <v>643</v>
      </c>
      <c r="E644">
        <v>6000</v>
      </c>
      <c r="F644" t="s">
        <v>59</v>
      </c>
      <c r="G644" s="53">
        <v>12</v>
      </c>
      <c r="H644" t="s">
        <v>133</v>
      </c>
      <c r="I644">
        <v>8</v>
      </c>
      <c r="J644" s="59">
        <f t="shared" si="10"/>
        <v>12</v>
      </c>
    </row>
    <row r="645" spans="1:10">
      <c r="A645" s="43">
        <v>42776</v>
      </c>
      <c r="B645">
        <v>2012</v>
      </c>
      <c r="C645">
        <v>2758</v>
      </c>
      <c r="D645">
        <v>644</v>
      </c>
      <c r="E645">
        <v>6000</v>
      </c>
      <c r="F645" t="s">
        <v>59</v>
      </c>
      <c r="G645" s="53">
        <v>12</v>
      </c>
      <c r="H645" t="s">
        <v>133</v>
      </c>
      <c r="I645">
        <v>7</v>
      </c>
      <c r="J645" s="59">
        <f t="shared" si="10"/>
        <v>12</v>
      </c>
    </row>
    <row r="646" spans="1:10">
      <c r="A646" s="43">
        <v>42583</v>
      </c>
      <c r="B646">
        <v>2011</v>
      </c>
      <c r="C646">
        <v>2758</v>
      </c>
      <c r="D646">
        <v>645</v>
      </c>
      <c r="E646">
        <v>6500</v>
      </c>
      <c r="F646" t="s">
        <v>59</v>
      </c>
      <c r="G646" s="53">
        <v>12</v>
      </c>
      <c r="H646" t="s">
        <v>133</v>
      </c>
      <c r="I646">
        <v>8</v>
      </c>
      <c r="J646" s="59">
        <f t="shared" si="10"/>
        <v>12</v>
      </c>
    </row>
    <row r="647" spans="1:10">
      <c r="A647" s="43">
        <v>42566</v>
      </c>
      <c r="B647">
        <v>2011</v>
      </c>
      <c r="C647">
        <v>2758</v>
      </c>
      <c r="D647">
        <v>646</v>
      </c>
      <c r="E647">
        <v>5800</v>
      </c>
      <c r="F647" t="s">
        <v>59</v>
      </c>
      <c r="G647" s="53">
        <v>3</v>
      </c>
      <c r="H647" t="s">
        <v>133</v>
      </c>
      <c r="I647">
        <v>8</v>
      </c>
      <c r="J647" s="59">
        <f t="shared" si="10"/>
        <v>3</v>
      </c>
    </row>
    <row r="648" spans="1:10">
      <c r="A648" s="43">
        <v>42914</v>
      </c>
      <c r="B648">
        <v>2011</v>
      </c>
      <c r="C648">
        <v>2758</v>
      </c>
      <c r="D648">
        <v>647</v>
      </c>
      <c r="E648">
        <v>8500</v>
      </c>
      <c r="F648" t="s">
        <v>59</v>
      </c>
      <c r="G648" s="53">
        <v>4</v>
      </c>
      <c r="H648" t="s">
        <v>133</v>
      </c>
      <c r="I648">
        <v>8</v>
      </c>
      <c r="J648" s="59">
        <f t="shared" si="10"/>
        <v>4</v>
      </c>
    </row>
    <row r="649" spans="1:10">
      <c r="A649" s="43">
        <v>42816</v>
      </c>
      <c r="B649">
        <v>2011</v>
      </c>
      <c r="C649">
        <v>2758</v>
      </c>
      <c r="D649">
        <v>648</v>
      </c>
      <c r="E649">
        <v>8750</v>
      </c>
      <c r="F649" t="s">
        <v>59</v>
      </c>
      <c r="G649" s="53">
        <v>4</v>
      </c>
      <c r="H649" t="s">
        <v>133</v>
      </c>
      <c r="I649">
        <v>8</v>
      </c>
      <c r="J649" s="59">
        <f t="shared" si="10"/>
        <v>4</v>
      </c>
    </row>
    <row r="650" spans="1:10">
      <c r="A650" s="43">
        <v>42383</v>
      </c>
      <c r="B650">
        <v>2011</v>
      </c>
      <c r="C650">
        <v>2758</v>
      </c>
      <c r="D650">
        <v>649</v>
      </c>
      <c r="E650">
        <v>6350</v>
      </c>
      <c r="F650" t="s">
        <v>59</v>
      </c>
      <c r="G650" s="53">
        <v>4</v>
      </c>
      <c r="H650" t="s">
        <v>133</v>
      </c>
      <c r="I650">
        <v>8</v>
      </c>
      <c r="J650" s="59">
        <f t="shared" si="10"/>
        <v>4</v>
      </c>
    </row>
    <row r="651" spans="1:10">
      <c r="A651" s="43">
        <v>42642</v>
      </c>
      <c r="B651">
        <v>2011</v>
      </c>
      <c r="C651">
        <v>2758</v>
      </c>
      <c r="D651">
        <v>650</v>
      </c>
      <c r="E651">
        <v>6000</v>
      </c>
      <c r="F651" t="s">
        <v>59</v>
      </c>
      <c r="G651" s="53">
        <v>5</v>
      </c>
      <c r="H651" t="s">
        <v>133</v>
      </c>
      <c r="I651">
        <v>8</v>
      </c>
      <c r="J651" s="59">
        <f t="shared" si="10"/>
        <v>5</v>
      </c>
    </row>
    <row r="652" spans="1:10">
      <c r="A652" s="43">
        <v>42495</v>
      </c>
      <c r="B652">
        <v>2011</v>
      </c>
      <c r="C652">
        <v>2758</v>
      </c>
      <c r="D652">
        <v>651</v>
      </c>
      <c r="E652">
        <v>6000</v>
      </c>
      <c r="F652" t="s">
        <v>59</v>
      </c>
      <c r="G652" s="53">
        <v>5</v>
      </c>
      <c r="H652" t="s">
        <v>133</v>
      </c>
      <c r="I652">
        <v>8</v>
      </c>
      <c r="J652" s="59">
        <f t="shared" si="10"/>
        <v>5</v>
      </c>
    </row>
    <row r="653" spans="1:10">
      <c r="A653" s="43">
        <v>43425</v>
      </c>
      <c r="B653">
        <v>2011</v>
      </c>
      <c r="C653">
        <v>2758</v>
      </c>
      <c r="D653">
        <v>652</v>
      </c>
      <c r="E653">
        <v>9500</v>
      </c>
      <c r="F653" t="s">
        <v>59</v>
      </c>
      <c r="G653" s="61">
        <v>50</v>
      </c>
      <c r="H653" t="s">
        <v>60</v>
      </c>
      <c r="I653">
        <v>8</v>
      </c>
      <c r="J653" s="59">
        <f t="shared" si="10"/>
        <v>2</v>
      </c>
    </row>
    <row r="654" spans="1:10">
      <c r="A654" s="43">
        <v>43405</v>
      </c>
      <c r="B654">
        <v>2011</v>
      </c>
      <c r="C654">
        <v>2758</v>
      </c>
      <c r="D654">
        <v>653</v>
      </c>
      <c r="E654">
        <v>10400</v>
      </c>
      <c r="F654" t="s">
        <v>59</v>
      </c>
      <c r="G654" s="53">
        <v>6</v>
      </c>
      <c r="H654" t="s">
        <v>133</v>
      </c>
      <c r="I654">
        <v>8</v>
      </c>
      <c r="J654" s="59">
        <f t="shared" si="10"/>
        <v>6</v>
      </c>
    </row>
    <row r="655" spans="1:10">
      <c r="A655" s="43">
        <v>43234</v>
      </c>
      <c r="B655">
        <v>2011</v>
      </c>
      <c r="C655">
        <v>2758</v>
      </c>
      <c r="D655">
        <v>654</v>
      </c>
      <c r="E655">
        <v>11850</v>
      </c>
      <c r="F655" t="s">
        <v>59</v>
      </c>
      <c r="G655" s="53">
        <v>6</v>
      </c>
      <c r="H655" t="s">
        <v>133</v>
      </c>
      <c r="I655">
        <v>8</v>
      </c>
      <c r="J655" s="59">
        <f t="shared" si="10"/>
        <v>6</v>
      </c>
    </row>
    <row r="656" spans="1:10">
      <c r="A656" s="43">
        <v>43144</v>
      </c>
      <c r="B656">
        <v>2012</v>
      </c>
      <c r="C656">
        <v>2758</v>
      </c>
      <c r="D656">
        <v>655</v>
      </c>
      <c r="E656">
        <v>9250</v>
      </c>
      <c r="F656" t="s">
        <v>59</v>
      </c>
      <c r="G656" s="53">
        <v>6</v>
      </c>
      <c r="H656" t="s">
        <v>133</v>
      </c>
      <c r="I656">
        <v>7</v>
      </c>
      <c r="J656" s="59">
        <f t="shared" si="10"/>
        <v>6</v>
      </c>
    </row>
    <row r="657" spans="1:10">
      <c r="A657" s="43">
        <v>42992</v>
      </c>
      <c r="B657">
        <v>2011</v>
      </c>
      <c r="C657">
        <v>2758</v>
      </c>
      <c r="D657">
        <v>656</v>
      </c>
      <c r="E657">
        <v>8000</v>
      </c>
      <c r="F657" t="s">
        <v>59</v>
      </c>
      <c r="G657" s="53">
        <v>6</v>
      </c>
      <c r="H657" t="s">
        <v>133</v>
      </c>
      <c r="I657">
        <v>8</v>
      </c>
      <c r="J657" s="59">
        <f t="shared" si="10"/>
        <v>6</v>
      </c>
    </row>
    <row r="658" spans="1:10">
      <c r="A658" s="43">
        <v>42657</v>
      </c>
      <c r="B658">
        <v>2011</v>
      </c>
      <c r="C658">
        <v>2758</v>
      </c>
      <c r="D658">
        <v>657</v>
      </c>
      <c r="E658">
        <v>6100</v>
      </c>
      <c r="F658" t="s">
        <v>59</v>
      </c>
      <c r="G658" s="53">
        <v>6</v>
      </c>
      <c r="H658" t="s">
        <v>133</v>
      </c>
      <c r="I658">
        <v>8</v>
      </c>
      <c r="J658" s="59">
        <f t="shared" si="10"/>
        <v>6</v>
      </c>
    </row>
    <row r="659" spans="1:10">
      <c r="A659" s="43">
        <v>42648</v>
      </c>
      <c r="B659">
        <v>2011</v>
      </c>
      <c r="C659">
        <v>2758</v>
      </c>
      <c r="D659">
        <v>658</v>
      </c>
      <c r="E659">
        <v>6250</v>
      </c>
      <c r="F659" t="s">
        <v>59</v>
      </c>
      <c r="G659" s="53">
        <v>6</v>
      </c>
      <c r="H659" t="s">
        <v>133</v>
      </c>
      <c r="I659">
        <v>8</v>
      </c>
      <c r="J659" s="59">
        <f t="shared" si="10"/>
        <v>6</v>
      </c>
    </row>
    <row r="660" spans="1:10">
      <c r="A660" s="43">
        <v>42488</v>
      </c>
      <c r="B660">
        <v>2012</v>
      </c>
      <c r="C660">
        <v>2758</v>
      </c>
      <c r="D660">
        <v>659</v>
      </c>
      <c r="E660">
        <v>6100</v>
      </c>
      <c r="F660" t="s">
        <v>59</v>
      </c>
      <c r="G660" s="53">
        <v>6</v>
      </c>
      <c r="H660" t="s">
        <v>133</v>
      </c>
      <c r="I660">
        <v>7</v>
      </c>
      <c r="J660" s="59">
        <f t="shared" si="10"/>
        <v>6</v>
      </c>
    </row>
    <row r="661" spans="1:10">
      <c r="A661" s="43">
        <v>42474</v>
      </c>
      <c r="B661">
        <v>2011</v>
      </c>
      <c r="C661">
        <v>2758</v>
      </c>
      <c r="D661">
        <v>660</v>
      </c>
      <c r="E661">
        <v>6000</v>
      </c>
      <c r="F661" t="s">
        <v>59</v>
      </c>
      <c r="G661" s="53">
        <v>6</v>
      </c>
      <c r="H661" t="s">
        <v>133</v>
      </c>
      <c r="I661">
        <v>8</v>
      </c>
      <c r="J661" s="59">
        <f t="shared" si="10"/>
        <v>6</v>
      </c>
    </row>
    <row r="662" spans="1:10">
      <c r="A662" s="43">
        <v>43115</v>
      </c>
      <c r="B662">
        <v>2011</v>
      </c>
      <c r="C662">
        <v>2758</v>
      </c>
      <c r="D662">
        <v>661</v>
      </c>
      <c r="E662">
        <v>8900</v>
      </c>
      <c r="F662" t="s">
        <v>59</v>
      </c>
      <c r="G662" s="53">
        <v>7</v>
      </c>
      <c r="H662" t="s">
        <v>133</v>
      </c>
      <c r="I662">
        <v>8</v>
      </c>
      <c r="J662" s="59">
        <f t="shared" si="10"/>
        <v>7</v>
      </c>
    </row>
    <row r="663" spans="1:10">
      <c r="A663" s="43">
        <v>43018</v>
      </c>
      <c r="B663">
        <v>2011</v>
      </c>
      <c r="C663">
        <v>2758</v>
      </c>
      <c r="D663">
        <v>662</v>
      </c>
      <c r="E663">
        <v>9150</v>
      </c>
      <c r="F663" t="s">
        <v>59</v>
      </c>
      <c r="G663" s="53">
        <v>7</v>
      </c>
      <c r="H663" t="s">
        <v>133</v>
      </c>
      <c r="I663">
        <v>8</v>
      </c>
      <c r="J663" s="59">
        <f t="shared" si="10"/>
        <v>7</v>
      </c>
    </row>
    <row r="664" spans="1:10">
      <c r="A664" s="43">
        <v>43178</v>
      </c>
      <c r="B664">
        <v>2011</v>
      </c>
      <c r="C664">
        <v>2758</v>
      </c>
      <c r="D664">
        <v>663</v>
      </c>
      <c r="E664">
        <v>9550</v>
      </c>
      <c r="F664" t="s">
        <v>59</v>
      </c>
      <c r="G664" s="53">
        <v>8</v>
      </c>
      <c r="H664" t="s">
        <v>133</v>
      </c>
      <c r="I664">
        <v>8</v>
      </c>
      <c r="J664" s="59">
        <f t="shared" si="10"/>
        <v>8</v>
      </c>
    </row>
    <row r="665" spans="1:10">
      <c r="A665" s="43">
        <v>43542</v>
      </c>
      <c r="B665">
        <v>2011</v>
      </c>
      <c r="C665">
        <v>2758</v>
      </c>
      <c r="D665">
        <v>664</v>
      </c>
      <c r="E665">
        <v>8500</v>
      </c>
      <c r="F665" t="s">
        <v>59</v>
      </c>
      <c r="G665" s="53">
        <v>9</v>
      </c>
      <c r="H665" t="s">
        <v>133</v>
      </c>
      <c r="I665">
        <v>8</v>
      </c>
      <c r="J665" s="59">
        <f t="shared" si="10"/>
        <v>9</v>
      </c>
    </row>
    <row r="666" spans="1:10">
      <c r="A666" s="43">
        <v>43560</v>
      </c>
      <c r="B666">
        <v>2017</v>
      </c>
      <c r="C666">
        <v>2782</v>
      </c>
      <c r="D666">
        <v>665</v>
      </c>
      <c r="E666">
        <v>12750</v>
      </c>
      <c r="F666" t="s">
        <v>59</v>
      </c>
      <c r="G666" s="53">
        <v>12</v>
      </c>
      <c r="H666" t="s">
        <v>133</v>
      </c>
      <c r="I666">
        <v>2</v>
      </c>
      <c r="J666" s="59">
        <f t="shared" si="10"/>
        <v>12</v>
      </c>
    </row>
    <row r="667" spans="1:10">
      <c r="A667" s="43">
        <v>43423</v>
      </c>
      <c r="B667">
        <v>2017</v>
      </c>
      <c r="C667">
        <v>2782</v>
      </c>
      <c r="D667">
        <v>666</v>
      </c>
      <c r="E667">
        <v>13000</v>
      </c>
      <c r="F667" t="s">
        <v>59</v>
      </c>
      <c r="G667" s="53">
        <v>12</v>
      </c>
      <c r="H667" t="s">
        <v>133</v>
      </c>
      <c r="I667">
        <v>2</v>
      </c>
      <c r="J667" s="59">
        <f t="shared" si="10"/>
        <v>12</v>
      </c>
    </row>
    <row r="668" spans="1:10">
      <c r="A668" s="43">
        <v>43389</v>
      </c>
      <c r="B668">
        <v>2018</v>
      </c>
      <c r="C668">
        <v>2782</v>
      </c>
      <c r="D668">
        <v>667</v>
      </c>
      <c r="E668">
        <v>13750</v>
      </c>
      <c r="F668" t="s">
        <v>59</v>
      </c>
      <c r="G668" s="53">
        <v>12</v>
      </c>
      <c r="H668" t="s">
        <v>133</v>
      </c>
      <c r="I668">
        <v>1</v>
      </c>
      <c r="J668" s="59">
        <f t="shared" si="10"/>
        <v>12</v>
      </c>
    </row>
    <row r="669" spans="1:10">
      <c r="A669" s="43">
        <v>43131</v>
      </c>
      <c r="B669">
        <v>2017</v>
      </c>
      <c r="C669">
        <v>2782</v>
      </c>
      <c r="D669">
        <v>668</v>
      </c>
      <c r="E669">
        <v>12250</v>
      </c>
      <c r="F669" t="s">
        <v>59</v>
      </c>
      <c r="G669" s="53">
        <v>12</v>
      </c>
      <c r="H669" t="s">
        <v>133</v>
      </c>
      <c r="I669">
        <v>2</v>
      </c>
      <c r="J669" s="59">
        <f t="shared" si="10"/>
        <v>12</v>
      </c>
    </row>
    <row r="670" spans="1:10">
      <c r="A670" s="43">
        <v>43266</v>
      </c>
      <c r="B670">
        <v>2018</v>
      </c>
      <c r="C670">
        <v>2782</v>
      </c>
      <c r="D670">
        <v>669</v>
      </c>
      <c r="E670">
        <v>14000</v>
      </c>
      <c r="F670" t="s">
        <v>59</v>
      </c>
      <c r="G670" s="53">
        <v>4</v>
      </c>
      <c r="H670" t="s">
        <v>133</v>
      </c>
      <c r="I670">
        <v>1</v>
      </c>
      <c r="J670" s="59">
        <f t="shared" si="10"/>
        <v>4</v>
      </c>
    </row>
    <row r="671" spans="1:10">
      <c r="A671" s="43">
        <v>43080</v>
      </c>
      <c r="B671">
        <v>2017</v>
      </c>
      <c r="C671">
        <v>2782</v>
      </c>
      <c r="D671">
        <v>670</v>
      </c>
      <c r="E671">
        <v>11500</v>
      </c>
      <c r="F671" t="s">
        <v>59</v>
      </c>
      <c r="G671" s="53">
        <v>5</v>
      </c>
      <c r="H671" t="s">
        <v>133</v>
      </c>
      <c r="I671">
        <v>2</v>
      </c>
      <c r="J671" s="59">
        <f t="shared" si="10"/>
        <v>5</v>
      </c>
    </row>
    <row r="672" spans="1:10">
      <c r="A672" s="43">
        <v>43397</v>
      </c>
      <c r="B672">
        <v>2018</v>
      </c>
      <c r="C672">
        <v>2782</v>
      </c>
      <c r="D672">
        <v>671</v>
      </c>
      <c r="E672">
        <v>13750</v>
      </c>
      <c r="F672" t="s">
        <v>59</v>
      </c>
      <c r="G672" s="53">
        <v>6</v>
      </c>
      <c r="H672" t="s">
        <v>133</v>
      </c>
      <c r="I672">
        <v>1</v>
      </c>
      <c r="J672" s="59">
        <f t="shared" si="10"/>
        <v>6</v>
      </c>
    </row>
    <row r="673" spans="1:10">
      <c r="A673" s="43">
        <v>43083</v>
      </c>
      <c r="B673">
        <v>2018</v>
      </c>
      <c r="C673">
        <v>2782</v>
      </c>
      <c r="D673">
        <v>672</v>
      </c>
      <c r="E673">
        <v>11950</v>
      </c>
      <c r="F673" t="s">
        <v>59</v>
      </c>
      <c r="G673" s="53">
        <v>6</v>
      </c>
      <c r="H673" t="s">
        <v>133</v>
      </c>
      <c r="I673">
        <v>1</v>
      </c>
      <c r="J673" s="59">
        <f t="shared" si="10"/>
        <v>6</v>
      </c>
    </row>
    <row r="674" spans="1:10">
      <c r="A674" s="43">
        <v>43542</v>
      </c>
      <c r="B674">
        <v>2018</v>
      </c>
      <c r="C674">
        <v>2782</v>
      </c>
      <c r="D674">
        <v>673</v>
      </c>
      <c r="E674">
        <v>11900</v>
      </c>
      <c r="F674" t="s">
        <v>59</v>
      </c>
      <c r="G674" s="53">
        <v>7</v>
      </c>
      <c r="H674" t="s">
        <v>133</v>
      </c>
      <c r="I674">
        <v>1</v>
      </c>
      <c r="J674" s="59">
        <f t="shared" si="10"/>
        <v>7</v>
      </c>
    </row>
    <row r="675" spans="1:10">
      <c r="A675" s="43">
        <v>42936</v>
      </c>
      <c r="B675">
        <v>2012</v>
      </c>
      <c r="C675">
        <v>2790</v>
      </c>
      <c r="D675">
        <v>674</v>
      </c>
      <c r="E675">
        <v>9000</v>
      </c>
      <c r="F675" t="s">
        <v>59</v>
      </c>
      <c r="G675" s="53">
        <v>12</v>
      </c>
      <c r="H675" t="s">
        <v>133</v>
      </c>
      <c r="I675">
        <v>7</v>
      </c>
      <c r="J675" s="59">
        <f t="shared" si="10"/>
        <v>12</v>
      </c>
    </row>
    <row r="676" spans="1:10">
      <c r="A676" s="43">
        <v>42578</v>
      </c>
      <c r="B676">
        <v>2012</v>
      </c>
      <c r="C676">
        <v>2790</v>
      </c>
      <c r="D676">
        <v>675</v>
      </c>
      <c r="E676">
        <v>8600</v>
      </c>
      <c r="F676" t="s">
        <v>59</v>
      </c>
      <c r="G676" s="53">
        <v>12</v>
      </c>
      <c r="H676" t="s">
        <v>133</v>
      </c>
      <c r="I676">
        <v>7</v>
      </c>
      <c r="J676" s="59">
        <f t="shared" si="10"/>
        <v>12</v>
      </c>
    </row>
    <row r="677" spans="1:10">
      <c r="A677" s="43">
        <v>42578</v>
      </c>
      <c r="B677">
        <v>2012</v>
      </c>
      <c r="C677">
        <v>2790</v>
      </c>
      <c r="D677">
        <v>676</v>
      </c>
      <c r="E677">
        <v>8600</v>
      </c>
      <c r="F677" t="s">
        <v>59</v>
      </c>
      <c r="G677" s="53">
        <v>12</v>
      </c>
      <c r="H677" t="s">
        <v>133</v>
      </c>
      <c r="I677">
        <v>7</v>
      </c>
      <c r="J677" s="59">
        <f t="shared" si="10"/>
        <v>12</v>
      </c>
    </row>
    <row r="678" spans="1:10">
      <c r="A678" s="43">
        <v>43034</v>
      </c>
      <c r="B678">
        <v>2012</v>
      </c>
      <c r="C678">
        <v>2790</v>
      </c>
      <c r="D678">
        <v>677</v>
      </c>
      <c r="E678">
        <v>9500</v>
      </c>
      <c r="F678" t="s">
        <v>59</v>
      </c>
      <c r="G678" s="53">
        <v>16</v>
      </c>
      <c r="H678" t="s">
        <v>133</v>
      </c>
      <c r="I678">
        <v>7</v>
      </c>
      <c r="J678" s="59">
        <f t="shared" si="10"/>
        <v>16</v>
      </c>
    </row>
    <row r="679" spans="1:10">
      <c r="A679" s="43">
        <v>43523</v>
      </c>
      <c r="B679">
        <v>2012</v>
      </c>
      <c r="C679">
        <v>2790</v>
      </c>
      <c r="D679">
        <v>678</v>
      </c>
      <c r="E679">
        <v>9250</v>
      </c>
      <c r="F679" t="s">
        <v>59</v>
      </c>
      <c r="G679" s="53">
        <v>4</v>
      </c>
      <c r="H679" t="s">
        <v>133</v>
      </c>
      <c r="I679">
        <v>7</v>
      </c>
      <c r="J679" s="59">
        <f t="shared" si="10"/>
        <v>4</v>
      </c>
    </row>
    <row r="680" spans="1:10">
      <c r="A680" s="43">
        <v>43437</v>
      </c>
      <c r="B680">
        <v>2012</v>
      </c>
      <c r="C680">
        <v>2790</v>
      </c>
      <c r="D680">
        <v>679</v>
      </c>
      <c r="E680">
        <v>9600</v>
      </c>
      <c r="F680" t="s">
        <v>59</v>
      </c>
      <c r="G680" s="53">
        <v>4</v>
      </c>
      <c r="H680" t="s">
        <v>133</v>
      </c>
      <c r="I680">
        <v>7</v>
      </c>
      <c r="J680" s="59">
        <f t="shared" si="10"/>
        <v>4</v>
      </c>
    </row>
    <row r="681" spans="1:10">
      <c r="A681" s="43">
        <v>43235</v>
      </c>
      <c r="B681">
        <v>2012</v>
      </c>
      <c r="C681">
        <v>2790</v>
      </c>
      <c r="D681">
        <v>680</v>
      </c>
      <c r="E681">
        <v>12000</v>
      </c>
      <c r="F681" t="s">
        <v>59</v>
      </c>
      <c r="G681" s="53">
        <v>6</v>
      </c>
      <c r="H681" t="s">
        <v>133</v>
      </c>
      <c r="I681">
        <v>7</v>
      </c>
      <c r="J681" s="59">
        <f t="shared" si="10"/>
        <v>6</v>
      </c>
    </row>
    <row r="682" spans="1:10">
      <c r="A682" s="43">
        <v>43075</v>
      </c>
      <c r="B682">
        <v>2012</v>
      </c>
      <c r="C682">
        <v>2790</v>
      </c>
      <c r="D682">
        <v>681</v>
      </c>
      <c r="E682">
        <v>8950</v>
      </c>
      <c r="F682" t="s">
        <v>59</v>
      </c>
      <c r="G682" s="53">
        <v>6</v>
      </c>
      <c r="H682" t="s">
        <v>133</v>
      </c>
      <c r="I682">
        <v>7</v>
      </c>
      <c r="J682" s="59">
        <f t="shared" si="10"/>
        <v>6</v>
      </c>
    </row>
    <row r="683" spans="1:10">
      <c r="A683" s="43">
        <v>43077</v>
      </c>
      <c r="B683">
        <v>2012</v>
      </c>
      <c r="C683">
        <v>2796</v>
      </c>
      <c r="D683">
        <v>682</v>
      </c>
      <c r="E683">
        <v>8500</v>
      </c>
      <c r="F683" t="s">
        <v>59</v>
      </c>
      <c r="G683" s="53">
        <v>12</v>
      </c>
      <c r="H683" t="s">
        <v>133</v>
      </c>
      <c r="I683">
        <v>7</v>
      </c>
      <c r="J683" s="59">
        <f t="shared" si="10"/>
        <v>12</v>
      </c>
    </row>
    <row r="684" spans="1:10">
      <c r="A684" s="43">
        <v>42549</v>
      </c>
      <c r="B684">
        <v>2012</v>
      </c>
      <c r="C684">
        <v>2796</v>
      </c>
      <c r="D684">
        <v>683</v>
      </c>
      <c r="E684">
        <v>6600</v>
      </c>
      <c r="F684" t="s">
        <v>59</v>
      </c>
      <c r="G684" s="53">
        <v>12</v>
      </c>
      <c r="H684" t="s">
        <v>133</v>
      </c>
      <c r="I684">
        <v>7</v>
      </c>
      <c r="J684" s="59">
        <f t="shared" si="10"/>
        <v>12</v>
      </c>
    </row>
    <row r="685" spans="1:10">
      <c r="A685" s="43">
        <v>43446</v>
      </c>
      <c r="B685">
        <v>2012</v>
      </c>
      <c r="C685">
        <v>2796</v>
      </c>
      <c r="D685">
        <v>684</v>
      </c>
      <c r="E685">
        <v>9750</v>
      </c>
      <c r="F685" t="s">
        <v>59</v>
      </c>
      <c r="G685" s="53">
        <v>9</v>
      </c>
      <c r="H685" t="s">
        <v>133</v>
      </c>
      <c r="I685">
        <v>7</v>
      </c>
      <c r="J685" s="59">
        <f t="shared" si="10"/>
        <v>9</v>
      </c>
    </row>
    <row r="686" spans="1:10">
      <c r="A686" s="43">
        <v>42597</v>
      </c>
      <c r="B686">
        <v>2011</v>
      </c>
      <c r="C686">
        <v>2800</v>
      </c>
      <c r="D686">
        <v>685</v>
      </c>
      <c r="E686">
        <v>6900</v>
      </c>
      <c r="F686" t="s">
        <v>59</v>
      </c>
      <c r="G686" s="53">
        <v>8</v>
      </c>
      <c r="H686" t="s">
        <v>133</v>
      </c>
      <c r="I686">
        <v>8</v>
      </c>
      <c r="J686" s="59">
        <f t="shared" si="10"/>
        <v>8</v>
      </c>
    </row>
    <row r="687" spans="1:10">
      <c r="A687" s="43">
        <v>42979</v>
      </c>
      <c r="B687">
        <v>2018</v>
      </c>
      <c r="C687">
        <v>2806</v>
      </c>
      <c r="D687">
        <v>686</v>
      </c>
      <c r="E687">
        <v>14700</v>
      </c>
      <c r="F687" t="s">
        <v>59</v>
      </c>
      <c r="G687" s="53">
        <v>10</v>
      </c>
      <c r="H687" t="s">
        <v>134</v>
      </c>
      <c r="I687">
        <v>1</v>
      </c>
      <c r="J687" s="59">
        <f t="shared" si="10"/>
        <v>120</v>
      </c>
    </row>
    <row r="688" spans="1:10">
      <c r="A688" s="43">
        <v>42979</v>
      </c>
      <c r="B688">
        <v>2018</v>
      </c>
      <c r="C688">
        <v>2806</v>
      </c>
      <c r="D688">
        <v>687</v>
      </c>
      <c r="E688">
        <v>14700</v>
      </c>
      <c r="F688" t="s">
        <v>59</v>
      </c>
      <c r="G688" s="53">
        <v>10</v>
      </c>
      <c r="H688" t="s">
        <v>134</v>
      </c>
      <c r="I688">
        <v>1</v>
      </c>
      <c r="J688" s="59">
        <f t="shared" si="10"/>
        <v>120</v>
      </c>
    </row>
  </sheetData>
  <autoFilter ref="A1:J688" xr:uid="{00000000-0009-0000-0000-000006000000}">
    <sortState xmlns:xlrd2="http://schemas.microsoft.com/office/spreadsheetml/2017/richdata2" ref="A2:J688">
      <sortCondition ref="C1:C688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1933"/>
  <sheetViews>
    <sheetView topLeftCell="A841" workbookViewId="0">
      <selection activeCell="A4" sqref="A4"/>
    </sheetView>
  </sheetViews>
  <sheetFormatPr defaultColWidth="11.5546875" defaultRowHeight="14.4"/>
  <cols>
    <col min="1" max="1" width="13.44140625" customWidth="1"/>
    <col min="2" max="2" width="9.6640625" bestFit="1" customWidth="1"/>
    <col min="3" max="3" width="9" bestFit="1" customWidth="1"/>
    <col min="4" max="4" width="15.33203125" bestFit="1" customWidth="1"/>
    <col min="5" max="5" width="9.33203125" bestFit="1" customWidth="1"/>
    <col min="6" max="6" width="13.33203125" bestFit="1" customWidth="1"/>
    <col min="7" max="7" width="17.6640625" bestFit="1" customWidth="1"/>
    <col min="8" max="8" width="15.109375" bestFit="1" customWidth="1"/>
    <col min="9" max="9" width="8.6640625" bestFit="1" customWidth="1"/>
    <col min="10" max="10" width="21.33203125" bestFit="1" customWidth="1"/>
  </cols>
  <sheetData>
    <row r="1" spans="1:10">
      <c r="A1" s="55" t="s">
        <v>51</v>
      </c>
      <c r="B1" s="55" t="s">
        <v>52</v>
      </c>
      <c r="C1" s="55" t="s">
        <v>53</v>
      </c>
      <c r="D1" s="55" t="s">
        <v>345</v>
      </c>
      <c r="E1" s="55" t="s">
        <v>54</v>
      </c>
      <c r="F1" s="55" t="s">
        <v>55</v>
      </c>
      <c r="G1" s="55" t="s">
        <v>56</v>
      </c>
      <c r="H1" s="55" t="s">
        <v>57</v>
      </c>
      <c r="I1" s="55" t="s">
        <v>58</v>
      </c>
      <c r="J1" s="55" t="s">
        <v>346</v>
      </c>
    </row>
    <row r="2" spans="1:10">
      <c r="A2" s="43">
        <v>42795</v>
      </c>
      <c r="B2">
        <v>2009</v>
      </c>
      <c r="C2">
        <v>1005</v>
      </c>
      <c r="D2">
        <v>1</v>
      </c>
      <c r="E2">
        <v>7000</v>
      </c>
      <c r="F2" t="s">
        <v>59</v>
      </c>
      <c r="G2">
        <v>6</v>
      </c>
      <c r="H2" t="s">
        <v>133</v>
      </c>
      <c r="I2">
        <v>10</v>
      </c>
      <c r="J2" s="54">
        <f t="shared" ref="J2:J65" si="0">IF(H2="days",ROUND(G2/30,0),IF(H2="years",G2*12,G2))</f>
        <v>6</v>
      </c>
    </row>
    <row r="3" spans="1:10">
      <c r="A3" s="43">
        <v>42460</v>
      </c>
      <c r="B3">
        <v>2009</v>
      </c>
      <c r="C3">
        <v>1005</v>
      </c>
      <c r="D3">
        <v>2</v>
      </c>
      <c r="E3">
        <v>7750</v>
      </c>
      <c r="F3" t="s">
        <v>59</v>
      </c>
      <c r="G3">
        <v>3</v>
      </c>
      <c r="H3" t="s">
        <v>133</v>
      </c>
      <c r="I3">
        <v>10</v>
      </c>
      <c r="J3" s="54">
        <f t="shared" si="0"/>
        <v>3</v>
      </c>
    </row>
    <row r="4" spans="1:10">
      <c r="A4" s="43">
        <v>43385</v>
      </c>
      <c r="B4">
        <v>2007</v>
      </c>
      <c r="C4">
        <v>1008</v>
      </c>
      <c r="D4">
        <v>3</v>
      </c>
      <c r="E4">
        <v>6325</v>
      </c>
      <c r="F4" t="s">
        <v>59</v>
      </c>
      <c r="G4">
        <v>6</v>
      </c>
      <c r="H4" t="s">
        <v>133</v>
      </c>
      <c r="I4">
        <v>12</v>
      </c>
      <c r="J4" s="54">
        <f t="shared" si="0"/>
        <v>6</v>
      </c>
    </row>
    <row r="5" spans="1:10">
      <c r="A5" s="43">
        <v>43584</v>
      </c>
      <c r="B5">
        <v>2008</v>
      </c>
      <c r="C5">
        <v>1022</v>
      </c>
      <c r="D5">
        <v>4</v>
      </c>
      <c r="E5">
        <v>6350</v>
      </c>
      <c r="F5" t="s">
        <v>59</v>
      </c>
      <c r="G5">
        <v>7</v>
      </c>
      <c r="H5" t="s">
        <v>133</v>
      </c>
      <c r="I5">
        <v>11</v>
      </c>
      <c r="J5" s="54">
        <f t="shared" si="0"/>
        <v>7</v>
      </c>
    </row>
    <row r="6" spans="1:10">
      <c r="A6" s="43">
        <v>43054</v>
      </c>
      <c r="B6">
        <v>2008</v>
      </c>
      <c r="C6">
        <v>1022</v>
      </c>
      <c r="D6">
        <v>5</v>
      </c>
      <c r="E6">
        <v>6500</v>
      </c>
      <c r="F6" t="s">
        <v>59</v>
      </c>
      <c r="G6">
        <v>6</v>
      </c>
      <c r="H6" t="s">
        <v>133</v>
      </c>
      <c r="I6">
        <v>11</v>
      </c>
      <c r="J6" s="54">
        <f t="shared" si="0"/>
        <v>6</v>
      </c>
    </row>
    <row r="7" spans="1:10">
      <c r="A7" s="43">
        <v>42971</v>
      </c>
      <c r="B7">
        <v>2008</v>
      </c>
      <c r="C7">
        <v>1022</v>
      </c>
      <c r="D7">
        <v>6</v>
      </c>
      <c r="E7">
        <v>6100</v>
      </c>
      <c r="F7" t="s">
        <v>59</v>
      </c>
      <c r="G7">
        <v>12</v>
      </c>
      <c r="H7" t="s">
        <v>133</v>
      </c>
      <c r="I7">
        <v>11</v>
      </c>
      <c r="J7" s="54">
        <f t="shared" si="0"/>
        <v>12</v>
      </c>
    </row>
    <row r="8" spans="1:10">
      <c r="A8" s="43">
        <v>42639</v>
      </c>
      <c r="B8">
        <v>2008</v>
      </c>
      <c r="C8">
        <v>1022</v>
      </c>
      <c r="D8">
        <v>7</v>
      </c>
      <c r="E8">
        <v>6000</v>
      </c>
      <c r="F8" t="s">
        <v>59</v>
      </c>
      <c r="G8">
        <v>13</v>
      </c>
      <c r="H8" t="s">
        <v>133</v>
      </c>
      <c r="I8">
        <v>11</v>
      </c>
      <c r="J8" s="54">
        <f t="shared" si="0"/>
        <v>13</v>
      </c>
    </row>
    <row r="9" spans="1:10">
      <c r="A9" s="43">
        <v>42639</v>
      </c>
      <c r="B9">
        <v>2009</v>
      </c>
      <c r="C9">
        <v>1022</v>
      </c>
      <c r="D9">
        <v>8</v>
      </c>
      <c r="E9">
        <v>6000</v>
      </c>
      <c r="F9" t="s">
        <v>59</v>
      </c>
      <c r="G9">
        <v>13</v>
      </c>
      <c r="H9" t="s">
        <v>133</v>
      </c>
      <c r="I9">
        <v>10</v>
      </c>
      <c r="J9" s="54">
        <f t="shared" si="0"/>
        <v>13</v>
      </c>
    </row>
    <row r="10" spans="1:10">
      <c r="A10" s="43">
        <v>42472</v>
      </c>
      <c r="B10">
        <v>2009</v>
      </c>
      <c r="C10">
        <v>1022</v>
      </c>
      <c r="D10">
        <v>9</v>
      </c>
      <c r="E10">
        <v>7100</v>
      </c>
      <c r="F10" t="s">
        <v>59</v>
      </c>
      <c r="G10">
        <v>6</v>
      </c>
      <c r="H10" t="s">
        <v>133</v>
      </c>
      <c r="I10">
        <v>10</v>
      </c>
      <c r="J10" s="54">
        <f t="shared" si="0"/>
        <v>6</v>
      </c>
    </row>
    <row r="11" spans="1:10">
      <c r="A11" s="43">
        <v>42438</v>
      </c>
      <c r="B11">
        <v>2008</v>
      </c>
      <c r="C11">
        <v>1022</v>
      </c>
      <c r="D11">
        <v>10</v>
      </c>
      <c r="E11">
        <v>7100</v>
      </c>
      <c r="F11" t="s">
        <v>59</v>
      </c>
      <c r="G11">
        <v>12</v>
      </c>
      <c r="H11" t="s">
        <v>133</v>
      </c>
      <c r="I11">
        <v>11</v>
      </c>
      <c r="J11" s="54">
        <f t="shared" si="0"/>
        <v>12</v>
      </c>
    </row>
    <row r="12" spans="1:10">
      <c r="A12" s="43">
        <v>43634</v>
      </c>
      <c r="B12">
        <v>2007</v>
      </c>
      <c r="C12">
        <v>1024</v>
      </c>
      <c r="D12">
        <v>11</v>
      </c>
      <c r="E12">
        <v>7850</v>
      </c>
      <c r="F12" t="s">
        <v>59</v>
      </c>
      <c r="G12">
        <v>6</v>
      </c>
      <c r="H12" t="s">
        <v>133</v>
      </c>
      <c r="I12">
        <v>12</v>
      </c>
      <c r="J12" s="54">
        <f t="shared" si="0"/>
        <v>6</v>
      </c>
    </row>
    <row r="13" spans="1:10">
      <c r="A13" s="43">
        <v>43587</v>
      </c>
      <c r="B13">
        <v>2007</v>
      </c>
      <c r="C13">
        <v>1024</v>
      </c>
      <c r="D13">
        <v>12</v>
      </c>
      <c r="E13">
        <v>7900</v>
      </c>
      <c r="F13" t="s">
        <v>59</v>
      </c>
      <c r="G13">
        <v>5</v>
      </c>
      <c r="H13" t="s">
        <v>133</v>
      </c>
      <c r="I13">
        <v>12</v>
      </c>
      <c r="J13" s="54">
        <f t="shared" si="0"/>
        <v>5</v>
      </c>
    </row>
    <row r="14" spans="1:10">
      <c r="A14" s="43">
        <v>43587</v>
      </c>
      <c r="B14">
        <v>2007</v>
      </c>
      <c r="C14">
        <v>1024</v>
      </c>
      <c r="D14">
        <v>13</v>
      </c>
      <c r="E14">
        <v>7900</v>
      </c>
      <c r="F14" t="s">
        <v>59</v>
      </c>
      <c r="G14">
        <v>5</v>
      </c>
      <c r="H14" t="s">
        <v>133</v>
      </c>
      <c r="I14">
        <v>12</v>
      </c>
      <c r="J14" s="54">
        <f t="shared" si="0"/>
        <v>5</v>
      </c>
    </row>
    <row r="15" spans="1:10">
      <c r="A15" s="43">
        <v>43501</v>
      </c>
      <c r="B15">
        <v>2007</v>
      </c>
      <c r="C15">
        <v>1024</v>
      </c>
      <c r="D15">
        <v>14</v>
      </c>
      <c r="E15">
        <v>7800</v>
      </c>
      <c r="F15" t="s">
        <v>59</v>
      </c>
      <c r="G15">
        <v>5</v>
      </c>
      <c r="H15" t="s">
        <v>133</v>
      </c>
      <c r="I15">
        <v>12</v>
      </c>
      <c r="J15" s="54">
        <f t="shared" si="0"/>
        <v>5</v>
      </c>
    </row>
    <row r="16" spans="1:10">
      <c r="A16" s="43">
        <v>43493</v>
      </c>
      <c r="B16">
        <v>2007</v>
      </c>
      <c r="C16">
        <v>1024</v>
      </c>
      <c r="D16">
        <v>15</v>
      </c>
      <c r="E16">
        <v>7900</v>
      </c>
      <c r="F16" t="s">
        <v>59</v>
      </c>
      <c r="G16">
        <v>4</v>
      </c>
      <c r="H16" t="s">
        <v>133</v>
      </c>
      <c r="I16">
        <v>12</v>
      </c>
      <c r="J16" s="54">
        <f t="shared" si="0"/>
        <v>4</v>
      </c>
    </row>
    <row r="17" spans="1:10">
      <c r="A17" s="43">
        <v>43490</v>
      </c>
      <c r="B17">
        <v>2008</v>
      </c>
      <c r="C17">
        <v>1024</v>
      </c>
      <c r="D17">
        <v>16</v>
      </c>
      <c r="E17">
        <v>7750</v>
      </c>
      <c r="F17" t="s">
        <v>59</v>
      </c>
      <c r="G17">
        <v>6</v>
      </c>
      <c r="H17" t="s">
        <v>133</v>
      </c>
      <c r="I17">
        <v>11</v>
      </c>
      <c r="J17" s="54">
        <f t="shared" si="0"/>
        <v>6</v>
      </c>
    </row>
    <row r="18" spans="1:10">
      <c r="A18" s="43">
        <v>43479</v>
      </c>
      <c r="B18">
        <v>2008</v>
      </c>
      <c r="C18">
        <v>1024</v>
      </c>
      <c r="D18">
        <v>17</v>
      </c>
      <c r="E18">
        <v>8000</v>
      </c>
      <c r="F18" t="s">
        <v>59</v>
      </c>
      <c r="G18">
        <v>42</v>
      </c>
      <c r="H18" t="s">
        <v>60</v>
      </c>
      <c r="I18">
        <v>11</v>
      </c>
      <c r="J18" s="54">
        <f t="shared" si="0"/>
        <v>1</v>
      </c>
    </row>
    <row r="19" spans="1:10">
      <c r="A19" s="43">
        <v>43455</v>
      </c>
      <c r="B19">
        <v>2007</v>
      </c>
      <c r="C19">
        <v>1024</v>
      </c>
      <c r="D19">
        <v>18</v>
      </c>
      <c r="E19">
        <v>7850</v>
      </c>
      <c r="F19" t="s">
        <v>59</v>
      </c>
      <c r="G19">
        <v>6</v>
      </c>
      <c r="H19" t="s">
        <v>133</v>
      </c>
      <c r="I19">
        <v>12</v>
      </c>
      <c r="J19" s="54">
        <f t="shared" si="0"/>
        <v>6</v>
      </c>
    </row>
    <row r="20" spans="1:10">
      <c r="A20" s="43">
        <v>43397</v>
      </c>
      <c r="B20">
        <v>2008</v>
      </c>
      <c r="C20">
        <v>1024</v>
      </c>
      <c r="D20">
        <v>19</v>
      </c>
      <c r="E20">
        <v>8000</v>
      </c>
      <c r="F20" t="s">
        <v>59</v>
      </c>
      <c r="G20">
        <v>3</v>
      </c>
      <c r="H20" t="s">
        <v>133</v>
      </c>
      <c r="I20">
        <v>11</v>
      </c>
      <c r="J20" s="54">
        <f t="shared" si="0"/>
        <v>3</v>
      </c>
    </row>
    <row r="21" spans="1:10">
      <c r="A21" s="43">
        <v>43368</v>
      </c>
      <c r="B21">
        <v>2007</v>
      </c>
      <c r="C21">
        <v>1024</v>
      </c>
      <c r="D21">
        <v>20</v>
      </c>
      <c r="E21">
        <v>8550</v>
      </c>
      <c r="F21" t="s">
        <v>59</v>
      </c>
      <c r="G21">
        <v>6</v>
      </c>
      <c r="H21" t="s">
        <v>133</v>
      </c>
      <c r="I21">
        <v>12</v>
      </c>
      <c r="J21" s="54">
        <f t="shared" si="0"/>
        <v>6</v>
      </c>
    </row>
    <row r="22" spans="1:10">
      <c r="A22" s="43">
        <v>43353</v>
      </c>
      <c r="B22">
        <v>2008</v>
      </c>
      <c r="C22">
        <v>1024</v>
      </c>
      <c r="D22">
        <v>21</v>
      </c>
      <c r="E22">
        <v>8500</v>
      </c>
      <c r="F22" t="s">
        <v>59</v>
      </c>
      <c r="G22">
        <v>6</v>
      </c>
      <c r="H22" t="s">
        <v>133</v>
      </c>
      <c r="I22">
        <v>11</v>
      </c>
      <c r="J22" s="54">
        <f t="shared" si="0"/>
        <v>6</v>
      </c>
    </row>
    <row r="23" spans="1:10">
      <c r="A23" s="43">
        <v>43308</v>
      </c>
      <c r="B23">
        <v>2008</v>
      </c>
      <c r="C23">
        <v>1024</v>
      </c>
      <c r="D23">
        <v>22</v>
      </c>
      <c r="E23">
        <v>8800</v>
      </c>
      <c r="F23" t="s">
        <v>59</v>
      </c>
      <c r="G23">
        <v>8</v>
      </c>
      <c r="H23" t="s">
        <v>133</v>
      </c>
      <c r="I23">
        <v>11</v>
      </c>
      <c r="J23" s="54">
        <f t="shared" si="0"/>
        <v>8</v>
      </c>
    </row>
    <row r="24" spans="1:10">
      <c r="A24" s="43">
        <v>43307</v>
      </c>
      <c r="B24">
        <v>2007</v>
      </c>
      <c r="C24">
        <v>1024</v>
      </c>
      <c r="D24">
        <v>23</v>
      </c>
      <c r="E24">
        <v>8850</v>
      </c>
      <c r="F24" t="s">
        <v>59</v>
      </c>
      <c r="G24">
        <v>8</v>
      </c>
      <c r="H24" t="s">
        <v>133</v>
      </c>
      <c r="I24">
        <v>12</v>
      </c>
      <c r="J24" s="54">
        <f t="shared" si="0"/>
        <v>8</v>
      </c>
    </row>
    <row r="25" spans="1:10">
      <c r="A25" s="43">
        <v>43277</v>
      </c>
      <c r="B25">
        <v>2007</v>
      </c>
      <c r="C25">
        <v>1024</v>
      </c>
      <c r="D25">
        <v>24</v>
      </c>
      <c r="E25">
        <v>9050</v>
      </c>
      <c r="F25" t="s">
        <v>59</v>
      </c>
      <c r="G25">
        <v>6</v>
      </c>
      <c r="H25" t="s">
        <v>133</v>
      </c>
      <c r="I25">
        <v>12</v>
      </c>
      <c r="J25" s="54">
        <f t="shared" si="0"/>
        <v>6</v>
      </c>
    </row>
    <row r="26" spans="1:10">
      <c r="A26" s="43">
        <v>43277</v>
      </c>
      <c r="B26">
        <v>2008</v>
      </c>
      <c r="C26">
        <v>1024</v>
      </c>
      <c r="D26">
        <v>25</v>
      </c>
      <c r="E26">
        <v>8950</v>
      </c>
      <c r="F26" t="s">
        <v>59</v>
      </c>
      <c r="G26">
        <v>6</v>
      </c>
      <c r="H26" t="s">
        <v>133</v>
      </c>
      <c r="I26">
        <v>11</v>
      </c>
      <c r="J26" s="54">
        <f t="shared" si="0"/>
        <v>6</v>
      </c>
    </row>
    <row r="27" spans="1:10">
      <c r="A27" s="43">
        <v>43245</v>
      </c>
      <c r="B27">
        <v>2007</v>
      </c>
      <c r="C27">
        <v>1024</v>
      </c>
      <c r="D27">
        <v>26</v>
      </c>
      <c r="E27">
        <v>9200</v>
      </c>
      <c r="F27" t="s">
        <v>59</v>
      </c>
      <c r="G27">
        <v>30</v>
      </c>
      <c r="H27" t="s">
        <v>60</v>
      </c>
      <c r="I27">
        <v>12</v>
      </c>
      <c r="J27" s="54">
        <f t="shared" si="0"/>
        <v>1</v>
      </c>
    </row>
    <row r="28" spans="1:10">
      <c r="A28" s="43">
        <v>43224</v>
      </c>
      <c r="B28">
        <v>2007</v>
      </c>
      <c r="C28">
        <v>1024</v>
      </c>
      <c r="D28">
        <v>27</v>
      </c>
      <c r="E28">
        <v>9250</v>
      </c>
      <c r="F28" t="s">
        <v>59</v>
      </c>
      <c r="G28">
        <v>4</v>
      </c>
      <c r="H28" t="s">
        <v>133</v>
      </c>
      <c r="I28">
        <v>12</v>
      </c>
      <c r="J28" s="54">
        <f t="shared" si="0"/>
        <v>4</v>
      </c>
    </row>
    <row r="29" spans="1:10">
      <c r="A29" s="43">
        <v>43171</v>
      </c>
      <c r="B29">
        <v>2008</v>
      </c>
      <c r="C29">
        <v>1024</v>
      </c>
      <c r="D29">
        <v>28</v>
      </c>
      <c r="E29">
        <v>8000</v>
      </c>
      <c r="F29" t="s">
        <v>59</v>
      </c>
      <c r="G29">
        <v>6</v>
      </c>
      <c r="H29" t="s">
        <v>133</v>
      </c>
      <c r="I29">
        <v>11</v>
      </c>
      <c r="J29" s="54">
        <f t="shared" si="0"/>
        <v>6</v>
      </c>
    </row>
    <row r="30" spans="1:10">
      <c r="A30" s="43">
        <v>43136</v>
      </c>
      <c r="B30">
        <v>2007</v>
      </c>
      <c r="C30">
        <v>1024</v>
      </c>
      <c r="D30">
        <v>29</v>
      </c>
      <c r="E30">
        <v>8000</v>
      </c>
      <c r="F30" t="s">
        <v>59</v>
      </c>
      <c r="G30">
        <v>5</v>
      </c>
      <c r="H30" t="s">
        <v>133</v>
      </c>
      <c r="I30">
        <v>12</v>
      </c>
      <c r="J30" s="54">
        <f t="shared" si="0"/>
        <v>5</v>
      </c>
    </row>
    <row r="31" spans="1:10">
      <c r="A31" s="43">
        <v>43122</v>
      </c>
      <c r="B31">
        <v>2008</v>
      </c>
      <c r="C31">
        <v>1024</v>
      </c>
      <c r="D31">
        <v>30</v>
      </c>
      <c r="E31">
        <v>7600</v>
      </c>
      <c r="F31" t="s">
        <v>59</v>
      </c>
      <c r="G31">
        <v>6</v>
      </c>
      <c r="H31" t="s">
        <v>133</v>
      </c>
      <c r="I31">
        <v>11</v>
      </c>
      <c r="J31" s="54">
        <f t="shared" si="0"/>
        <v>6</v>
      </c>
    </row>
    <row r="32" spans="1:10">
      <c r="A32" s="43">
        <v>43003</v>
      </c>
      <c r="B32">
        <v>2007</v>
      </c>
      <c r="C32">
        <v>1024</v>
      </c>
      <c r="D32">
        <v>31</v>
      </c>
      <c r="E32">
        <v>7500</v>
      </c>
      <c r="F32" t="s">
        <v>59</v>
      </c>
      <c r="G32">
        <v>7</v>
      </c>
      <c r="H32" t="s">
        <v>133</v>
      </c>
      <c r="I32">
        <v>12</v>
      </c>
      <c r="J32" s="54">
        <f t="shared" si="0"/>
        <v>7</v>
      </c>
    </row>
    <row r="33" spans="1:10">
      <c r="A33" s="43">
        <v>42979</v>
      </c>
      <c r="B33">
        <v>2008</v>
      </c>
      <c r="C33">
        <v>1024</v>
      </c>
      <c r="D33">
        <v>32</v>
      </c>
      <c r="E33">
        <v>7300</v>
      </c>
      <c r="F33" t="s">
        <v>59</v>
      </c>
      <c r="G33">
        <v>6</v>
      </c>
      <c r="H33" t="s">
        <v>133</v>
      </c>
      <c r="I33">
        <v>11</v>
      </c>
      <c r="J33" s="54">
        <f t="shared" si="0"/>
        <v>6</v>
      </c>
    </row>
    <row r="34" spans="1:10">
      <c r="A34" s="43">
        <v>42944</v>
      </c>
      <c r="B34">
        <v>2007</v>
      </c>
      <c r="C34">
        <v>1024</v>
      </c>
      <c r="D34">
        <v>33</v>
      </c>
      <c r="E34">
        <v>7300</v>
      </c>
      <c r="F34" t="s">
        <v>59</v>
      </c>
      <c r="G34">
        <v>5</v>
      </c>
      <c r="H34" t="s">
        <v>133</v>
      </c>
      <c r="I34">
        <v>12</v>
      </c>
      <c r="J34" s="54">
        <f t="shared" si="0"/>
        <v>5</v>
      </c>
    </row>
    <row r="35" spans="1:10">
      <c r="A35" s="43">
        <v>42908</v>
      </c>
      <c r="B35">
        <v>2007</v>
      </c>
      <c r="C35">
        <v>1024</v>
      </c>
      <c r="D35">
        <v>34</v>
      </c>
      <c r="E35">
        <v>7200</v>
      </c>
      <c r="F35" t="s">
        <v>59</v>
      </c>
      <c r="G35">
        <v>6</v>
      </c>
      <c r="H35" t="s">
        <v>133</v>
      </c>
      <c r="I35">
        <v>12</v>
      </c>
      <c r="J35" s="54">
        <f t="shared" si="0"/>
        <v>6</v>
      </c>
    </row>
    <row r="36" spans="1:10">
      <c r="A36" s="43">
        <v>42891</v>
      </c>
      <c r="B36">
        <v>2007</v>
      </c>
      <c r="C36">
        <v>1024</v>
      </c>
      <c r="D36">
        <v>35</v>
      </c>
      <c r="E36">
        <v>7050</v>
      </c>
      <c r="F36" t="s">
        <v>59</v>
      </c>
      <c r="G36">
        <v>6</v>
      </c>
      <c r="H36" t="s">
        <v>133</v>
      </c>
      <c r="I36">
        <v>12</v>
      </c>
      <c r="J36" s="54">
        <f t="shared" si="0"/>
        <v>6</v>
      </c>
    </row>
    <row r="37" spans="1:10">
      <c r="A37" s="43">
        <v>42795</v>
      </c>
      <c r="B37">
        <v>2008</v>
      </c>
      <c r="C37">
        <v>1024</v>
      </c>
      <c r="D37">
        <v>36</v>
      </c>
      <c r="E37">
        <v>7000</v>
      </c>
      <c r="F37" t="s">
        <v>59</v>
      </c>
      <c r="G37">
        <v>6</v>
      </c>
      <c r="H37" t="s">
        <v>133</v>
      </c>
      <c r="I37">
        <v>11</v>
      </c>
      <c r="J37" s="54">
        <f t="shared" si="0"/>
        <v>6</v>
      </c>
    </row>
    <row r="38" spans="1:10">
      <c r="A38" s="43">
        <v>42744</v>
      </c>
      <c r="B38">
        <v>2007</v>
      </c>
      <c r="C38">
        <v>1024</v>
      </c>
      <c r="D38">
        <v>37</v>
      </c>
      <c r="E38">
        <v>7000</v>
      </c>
      <c r="F38" t="s">
        <v>59</v>
      </c>
      <c r="G38">
        <v>8</v>
      </c>
      <c r="H38" t="s">
        <v>133</v>
      </c>
      <c r="I38">
        <v>12</v>
      </c>
      <c r="J38" s="54">
        <f t="shared" si="0"/>
        <v>8</v>
      </c>
    </row>
    <row r="39" spans="1:10">
      <c r="A39" s="43">
        <v>42724</v>
      </c>
      <c r="B39">
        <v>2007</v>
      </c>
      <c r="C39">
        <v>1024</v>
      </c>
      <c r="D39">
        <v>38</v>
      </c>
      <c r="E39">
        <v>7000</v>
      </c>
      <c r="F39" t="s">
        <v>59</v>
      </c>
      <c r="G39">
        <v>6</v>
      </c>
      <c r="H39" t="s">
        <v>133</v>
      </c>
      <c r="I39">
        <v>12</v>
      </c>
      <c r="J39" s="54">
        <f t="shared" si="0"/>
        <v>6</v>
      </c>
    </row>
    <row r="40" spans="1:10">
      <c r="A40" s="43">
        <v>42705</v>
      </c>
      <c r="B40">
        <v>2007</v>
      </c>
      <c r="C40">
        <v>1024</v>
      </c>
      <c r="D40">
        <v>39</v>
      </c>
      <c r="E40">
        <v>7000</v>
      </c>
      <c r="F40" t="s">
        <v>59</v>
      </c>
      <c r="G40">
        <v>2</v>
      </c>
      <c r="H40" t="s">
        <v>133</v>
      </c>
      <c r="I40">
        <v>12</v>
      </c>
      <c r="J40" s="54">
        <f t="shared" si="0"/>
        <v>2</v>
      </c>
    </row>
    <row r="41" spans="1:10">
      <c r="A41" s="43">
        <v>42668</v>
      </c>
      <c r="B41">
        <v>2007</v>
      </c>
      <c r="C41">
        <v>1024</v>
      </c>
      <c r="D41">
        <v>40</v>
      </c>
      <c r="E41">
        <v>7500</v>
      </c>
      <c r="F41" t="s">
        <v>59</v>
      </c>
      <c r="G41">
        <v>5</v>
      </c>
      <c r="H41" t="s">
        <v>133</v>
      </c>
      <c r="I41">
        <v>12</v>
      </c>
      <c r="J41" s="54">
        <f t="shared" si="0"/>
        <v>5</v>
      </c>
    </row>
    <row r="42" spans="1:10">
      <c r="A42" s="43">
        <v>42650</v>
      </c>
      <c r="B42">
        <v>2008</v>
      </c>
      <c r="C42">
        <v>1024</v>
      </c>
      <c r="D42">
        <v>41</v>
      </c>
      <c r="E42">
        <v>7500</v>
      </c>
      <c r="F42" t="s">
        <v>59</v>
      </c>
      <c r="G42">
        <v>6</v>
      </c>
      <c r="H42" t="s">
        <v>133</v>
      </c>
      <c r="I42">
        <v>11</v>
      </c>
      <c r="J42" s="54">
        <f t="shared" si="0"/>
        <v>6</v>
      </c>
    </row>
    <row r="43" spans="1:10">
      <c r="A43" s="43">
        <v>42650</v>
      </c>
      <c r="B43">
        <v>2008</v>
      </c>
      <c r="C43">
        <v>1024</v>
      </c>
      <c r="D43">
        <v>42</v>
      </c>
      <c r="E43">
        <v>7500</v>
      </c>
      <c r="F43" t="s">
        <v>59</v>
      </c>
      <c r="G43">
        <v>6</v>
      </c>
      <c r="H43" t="s">
        <v>133</v>
      </c>
      <c r="I43">
        <v>11</v>
      </c>
      <c r="J43" s="54">
        <f t="shared" si="0"/>
        <v>6</v>
      </c>
    </row>
    <row r="44" spans="1:10">
      <c r="A44" s="43">
        <v>42608</v>
      </c>
      <c r="B44">
        <v>2007</v>
      </c>
      <c r="C44">
        <v>1024</v>
      </c>
      <c r="D44">
        <v>43</v>
      </c>
      <c r="E44">
        <v>7500</v>
      </c>
      <c r="F44" t="s">
        <v>59</v>
      </c>
      <c r="G44">
        <v>6</v>
      </c>
      <c r="H44" t="s">
        <v>133</v>
      </c>
      <c r="I44">
        <v>12</v>
      </c>
      <c r="J44" s="54">
        <f t="shared" si="0"/>
        <v>6</v>
      </c>
    </row>
    <row r="45" spans="1:10">
      <c r="A45" s="43">
        <v>42580</v>
      </c>
      <c r="B45">
        <v>2008</v>
      </c>
      <c r="C45">
        <v>1024</v>
      </c>
      <c r="D45">
        <v>44</v>
      </c>
      <c r="E45">
        <v>7000</v>
      </c>
      <c r="F45" t="s">
        <v>59</v>
      </c>
      <c r="G45">
        <v>56</v>
      </c>
      <c r="H45" t="s">
        <v>60</v>
      </c>
      <c r="I45">
        <v>11</v>
      </c>
      <c r="J45" s="54">
        <f t="shared" si="0"/>
        <v>2</v>
      </c>
    </row>
    <row r="46" spans="1:10">
      <c r="A46" s="43">
        <v>42488</v>
      </c>
      <c r="B46">
        <v>2007</v>
      </c>
      <c r="C46">
        <v>1024</v>
      </c>
      <c r="D46">
        <v>45</v>
      </c>
      <c r="E46">
        <v>7500</v>
      </c>
      <c r="F46" t="s">
        <v>59</v>
      </c>
      <c r="G46">
        <v>12</v>
      </c>
      <c r="H46" t="s">
        <v>133</v>
      </c>
      <c r="I46">
        <v>12</v>
      </c>
      <c r="J46" s="54">
        <f t="shared" si="0"/>
        <v>12</v>
      </c>
    </row>
    <row r="47" spans="1:10">
      <c r="A47" s="43">
        <v>42446</v>
      </c>
      <c r="B47">
        <v>2007</v>
      </c>
      <c r="C47">
        <v>1024</v>
      </c>
      <c r="D47">
        <v>46</v>
      </c>
      <c r="E47">
        <v>7500</v>
      </c>
      <c r="F47" t="s">
        <v>59</v>
      </c>
      <c r="G47">
        <v>8</v>
      </c>
      <c r="H47" t="s">
        <v>133</v>
      </c>
      <c r="I47">
        <v>12</v>
      </c>
      <c r="J47" s="54">
        <f t="shared" si="0"/>
        <v>8</v>
      </c>
    </row>
    <row r="48" spans="1:10">
      <c r="A48" s="43">
        <v>42432</v>
      </c>
      <c r="B48">
        <v>2008</v>
      </c>
      <c r="C48">
        <v>1024</v>
      </c>
      <c r="D48">
        <v>47</v>
      </c>
      <c r="E48">
        <v>7500</v>
      </c>
      <c r="F48" t="s">
        <v>59</v>
      </c>
      <c r="G48">
        <v>90</v>
      </c>
      <c r="H48" t="s">
        <v>60</v>
      </c>
      <c r="I48">
        <v>11</v>
      </c>
      <c r="J48" s="54">
        <f t="shared" si="0"/>
        <v>3</v>
      </c>
    </row>
    <row r="49" spans="1:10">
      <c r="A49" s="43">
        <v>42423</v>
      </c>
      <c r="B49">
        <v>2007</v>
      </c>
      <c r="C49">
        <v>1024</v>
      </c>
      <c r="D49">
        <v>48</v>
      </c>
      <c r="E49">
        <v>7600</v>
      </c>
      <c r="F49" t="s">
        <v>59</v>
      </c>
      <c r="G49">
        <v>5</v>
      </c>
      <c r="H49" t="s">
        <v>133</v>
      </c>
      <c r="I49">
        <v>12</v>
      </c>
      <c r="J49" s="54">
        <f t="shared" si="0"/>
        <v>5</v>
      </c>
    </row>
    <row r="50" spans="1:10">
      <c r="A50" s="43">
        <v>42408</v>
      </c>
      <c r="B50">
        <v>2008</v>
      </c>
      <c r="C50">
        <v>1024</v>
      </c>
      <c r="D50">
        <v>49</v>
      </c>
      <c r="E50">
        <v>7500</v>
      </c>
      <c r="F50" t="s">
        <v>59</v>
      </c>
      <c r="G50">
        <v>7</v>
      </c>
      <c r="H50" t="s">
        <v>133</v>
      </c>
      <c r="I50">
        <v>11</v>
      </c>
      <c r="J50" s="54">
        <f t="shared" si="0"/>
        <v>7</v>
      </c>
    </row>
    <row r="51" spans="1:10">
      <c r="A51" s="43">
        <v>42398</v>
      </c>
      <c r="B51">
        <v>2007</v>
      </c>
      <c r="C51">
        <v>1024</v>
      </c>
      <c r="D51">
        <v>50</v>
      </c>
      <c r="E51">
        <v>7600</v>
      </c>
      <c r="F51" t="s">
        <v>59</v>
      </c>
      <c r="G51">
        <v>5</v>
      </c>
      <c r="H51" t="s">
        <v>133</v>
      </c>
      <c r="I51">
        <v>12</v>
      </c>
      <c r="J51" s="54">
        <f t="shared" si="0"/>
        <v>5</v>
      </c>
    </row>
    <row r="52" spans="1:10">
      <c r="A52" s="43">
        <v>42383</v>
      </c>
      <c r="B52">
        <v>2007</v>
      </c>
      <c r="C52">
        <v>1024</v>
      </c>
      <c r="D52">
        <v>51</v>
      </c>
      <c r="E52">
        <v>7750</v>
      </c>
      <c r="F52" t="s">
        <v>59</v>
      </c>
      <c r="G52">
        <v>42</v>
      </c>
      <c r="H52" t="s">
        <v>60</v>
      </c>
      <c r="I52">
        <v>12</v>
      </c>
      <c r="J52" s="54">
        <f t="shared" si="0"/>
        <v>1</v>
      </c>
    </row>
    <row r="53" spans="1:10">
      <c r="A53" s="43">
        <v>43592</v>
      </c>
      <c r="B53">
        <v>2009</v>
      </c>
      <c r="C53">
        <v>1025</v>
      </c>
      <c r="D53">
        <v>52</v>
      </c>
      <c r="E53">
        <v>6950</v>
      </c>
      <c r="F53" t="s">
        <v>59</v>
      </c>
      <c r="G53">
        <v>13</v>
      </c>
      <c r="H53" t="s">
        <v>133</v>
      </c>
      <c r="I53">
        <v>10</v>
      </c>
      <c r="J53" s="54">
        <f t="shared" si="0"/>
        <v>13</v>
      </c>
    </row>
    <row r="54" spans="1:10">
      <c r="A54" s="43">
        <v>42830</v>
      </c>
      <c r="B54">
        <v>2008</v>
      </c>
      <c r="C54">
        <v>1028</v>
      </c>
      <c r="D54">
        <v>53</v>
      </c>
      <c r="E54">
        <v>6400</v>
      </c>
      <c r="F54" t="s">
        <v>59</v>
      </c>
      <c r="G54">
        <v>13</v>
      </c>
      <c r="H54" t="s">
        <v>133</v>
      </c>
      <c r="I54">
        <v>11</v>
      </c>
      <c r="J54" s="54">
        <f t="shared" si="0"/>
        <v>13</v>
      </c>
    </row>
    <row r="55" spans="1:10">
      <c r="A55" s="43">
        <v>43374</v>
      </c>
      <c r="B55">
        <v>2007</v>
      </c>
      <c r="C55">
        <v>1032</v>
      </c>
      <c r="D55">
        <v>54</v>
      </c>
      <c r="E55">
        <v>8500</v>
      </c>
      <c r="F55" t="s">
        <v>59</v>
      </c>
      <c r="G55">
        <v>7</v>
      </c>
      <c r="H55" t="s">
        <v>133</v>
      </c>
      <c r="I55">
        <v>12</v>
      </c>
      <c r="J55" s="54">
        <f t="shared" si="0"/>
        <v>7</v>
      </c>
    </row>
    <row r="56" spans="1:10">
      <c r="A56" s="43">
        <v>43266</v>
      </c>
      <c r="B56">
        <v>2007</v>
      </c>
      <c r="C56">
        <v>1032</v>
      </c>
      <c r="D56">
        <v>55</v>
      </c>
      <c r="E56">
        <v>9300</v>
      </c>
      <c r="F56" t="s">
        <v>59</v>
      </c>
      <c r="G56">
        <v>6</v>
      </c>
      <c r="H56" t="s">
        <v>133</v>
      </c>
      <c r="I56">
        <v>12</v>
      </c>
      <c r="J56" s="54">
        <f t="shared" si="0"/>
        <v>6</v>
      </c>
    </row>
    <row r="57" spans="1:10">
      <c r="A57" s="43">
        <v>43214</v>
      </c>
      <c r="B57">
        <v>2007</v>
      </c>
      <c r="C57">
        <v>1032</v>
      </c>
      <c r="D57">
        <v>56</v>
      </c>
      <c r="E57">
        <v>9500</v>
      </c>
      <c r="F57" t="s">
        <v>59</v>
      </c>
      <c r="G57">
        <v>14</v>
      </c>
      <c r="H57" t="s">
        <v>133</v>
      </c>
      <c r="I57">
        <v>12</v>
      </c>
      <c r="J57" s="54">
        <f t="shared" si="0"/>
        <v>14</v>
      </c>
    </row>
    <row r="58" spans="1:10">
      <c r="A58" s="43">
        <v>43172</v>
      </c>
      <c r="B58">
        <v>2007</v>
      </c>
      <c r="C58">
        <v>1032</v>
      </c>
      <c r="D58">
        <v>57</v>
      </c>
      <c r="E58">
        <v>8500</v>
      </c>
      <c r="F58" t="s">
        <v>59</v>
      </c>
      <c r="G58">
        <v>10</v>
      </c>
      <c r="H58" t="s">
        <v>133</v>
      </c>
      <c r="I58">
        <v>12</v>
      </c>
      <c r="J58" s="54">
        <f t="shared" si="0"/>
        <v>10</v>
      </c>
    </row>
    <row r="59" spans="1:10">
      <c r="A59" s="43">
        <v>43164</v>
      </c>
      <c r="B59">
        <v>2007</v>
      </c>
      <c r="C59">
        <v>1032</v>
      </c>
      <c r="D59">
        <v>58</v>
      </c>
      <c r="E59">
        <v>8750</v>
      </c>
      <c r="F59" t="s">
        <v>59</v>
      </c>
      <c r="G59">
        <v>3</v>
      </c>
      <c r="H59" t="s">
        <v>133</v>
      </c>
      <c r="I59">
        <v>12</v>
      </c>
      <c r="J59" s="54">
        <f t="shared" si="0"/>
        <v>3</v>
      </c>
    </row>
    <row r="60" spans="1:10">
      <c r="A60" s="43">
        <v>42887</v>
      </c>
      <c r="B60">
        <v>2007</v>
      </c>
      <c r="C60">
        <v>1032</v>
      </c>
      <c r="D60">
        <v>59</v>
      </c>
      <c r="E60">
        <v>6800</v>
      </c>
      <c r="F60" t="s">
        <v>59</v>
      </c>
      <c r="G60">
        <v>9</v>
      </c>
      <c r="H60" t="s">
        <v>133</v>
      </c>
      <c r="I60">
        <v>12</v>
      </c>
      <c r="J60" s="54">
        <f t="shared" si="0"/>
        <v>9</v>
      </c>
    </row>
    <row r="61" spans="1:10">
      <c r="A61" s="43">
        <v>42682</v>
      </c>
      <c r="B61">
        <v>2007</v>
      </c>
      <c r="C61">
        <v>1032</v>
      </c>
      <c r="D61">
        <v>60</v>
      </c>
      <c r="E61">
        <v>6550</v>
      </c>
      <c r="F61" t="s">
        <v>59</v>
      </c>
      <c r="G61">
        <v>6</v>
      </c>
      <c r="H61" t="s">
        <v>133</v>
      </c>
      <c r="I61">
        <v>12</v>
      </c>
      <c r="J61" s="54">
        <f t="shared" si="0"/>
        <v>6</v>
      </c>
    </row>
    <row r="62" spans="1:10">
      <c r="A62" s="43">
        <v>43501</v>
      </c>
      <c r="B62">
        <v>2010</v>
      </c>
      <c r="C62">
        <v>1036</v>
      </c>
      <c r="D62">
        <v>61</v>
      </c>
      <c r="E62">
        <v>6850</v>
      </c>
      <c r="F62" t="s">
        <v>59</v>
      </c>
      <c r="G62">
        <v>9</v>
      </c>
      <c r="H62" t="s">
        <v>133</v>
      </c>
      <c r="I62">
        <v>9</v>
      </c>
      <c r="J62" s="54">
        <f t="shared" si="0"/>
        <v>9</v>
      </c>
    </row>
    <row r="63" spans="1:10">
      <c r="A63" s="43">
        <v>43479</v>
      </c>
      <c r="B63">
        <v>2009</v>
      </c>
      <c r="C63">
        <v>1036</v>
      </c>
      <c r="D63">
        <v>62</v>
      </c>
      <c r="E63">
        <v>6300</v>
      </c>
      <c r="F63" t="s">
        <v>59</v>
      </c>
      <c r="G63">
        <v>5</v>
      </c>
      <c r="H63" t="s">
        <v>133</v>
      </c>
      <c r="I63">
        <v>10</v>
      </c>
      <c r="J63" s="54">
        <f t="shared" si="0"/>
        <v>5</v>
      </c>
    </row>
    <row r="64" spans="1:10">
      <c r="A64" s="43">
        <v>43469</v>
      </c>
      <c r="B64">
        <v>2010</v>
      </c>
      <c r="C64">
        <v>1036</v>
      </c>
      <c r="D64">
        <v>63</v>
      </c>
      <c r="E64">
        <v>7000</v>
      </c>
      <c r="F64" t="s">
        <v>59</v>
      </c>
      <c r="G64">
        <v>6</v>
      </c>
      <c r="H64" t="s">
        <v>133</v>
      </c>
      <c r="I64">
        <v>9</v>
      </c>
      <c r="J64" s="54">
        <f t="shared" si="0"/>
        <v>6</v>
      </c>
    </row>
    <row r="65" spans="1:10">
      <c r="A65" s="43">
        <v>43391</v>
      </c>
      <c r="B65">
        <v>2010</v>
      </c>
      <c r="C65">
        <v>1036</v>
      </c>
      <c r="D65">
        <v>64</v>
      </c>
      <c r="E65">
        <v>6750</v>
      </c>
      <c r="F65" t="s">
        <v>59</v>
      </c>
      <c r="G65">
        <v>8</v>
      </c>
      <c r="H65" t="s">
        <v>133</v>
      </c>
      <c r="I65">
        <v>9</v>
      </c>
      <c r="J65" s="54">
        <f t="shared" si="0"/>
        <v>8</v>
      </c>
    </row>
    <row r="66" spans="1:10">
      <c r="A66" s="43">
        <v>43374</v>
      </c>
      <c r="B66">
        <v>2010</v>
      </c>
      <c r="C66">
        <v>1036</v>
      </c>
      <c r="D66">
        <v>65</v>
      </c>
      <c r="E66">
        <v>8000</v>
      </c>
      <c r="F66" t="s">
        <v>59</v>
      </c>
      <c r="G66">
        <v>6</v>
      </c>
      <c r="H66" t="s">
        <v>133</v>
      </c>
      <c r="I66">
        <v>9</v>
      </c>
      <c r="J66" s="54">
        <f t="shared" ref="J66:J129" si="1">IF(H66="days",ROUND(G66/30,0),IF(H66="years",G66*12,G66))</f>
        <v>6</v>
      </c>
    </row>
    <row r="67" spans="1:10">
      <c r="A67" s="43">
        <v>43266</v>
      </c>
      <c r="B67">
        <v>2009</v>
      </c>
      <c r="C67">
        <v>1036</v>
      </c>
      <c r="D67">
        <v>66</v>
      </c>
      <c r="E67">
        <v>8000</v>
      </c>
      <c r="F67" t="s">
        <v>59</v>
      </c>
      <c r="G67">
        <v>5</v>
      </c>
      <c r="H67" t="s">
        <v>133</v>
      </c>
      <c r="I67">
        <v>10</v>
      </c>
      <c r="J67" s="54">
        <f t="shared" si="1"/>
        <v>5</v>
      </c>
    </row>
    <row r="68" spans="1:10">
      <c r="A68" s="43">
        <v>43266</v>
      </c>
      <c r="B68">
        <v>2008</v>
      </c>
      <c r="C68">
        <v>1036</v>
      </c>
      <c r="D68">
        <v>67</v>
      </c>
      <c r="E68">
        <v>9500</v>
      </c>
      <c r="F68" t="s">
        <v>59</v>
      </c>
      <c r="G68">
        <v>8</v>
      </c>
      <c r="H68" t="s">
        <v>133</v>
      </c>
      <c r="I68">
        <v>11</v>
      </c>
      <c r="J68" s="54">
        <f t="shared" si="1"/>
        <v>8</v>
      </c>
    </row>
    <row r="69" spans="1:10">
      <c r="A69" s="43">
        <v>43257</v>
      </c>
      <c r="B69">
        <v>2008</v>
      </c>
      <c r="C69">
        <v>1036</v>
      </c>
      <c r="D69">
        <v>68</v>
      </c>
      <c r="E69">
        <v>8000</v>
      </c>
      <c r="F69" t="s">
        <v>59</v>
      </c>
      <c r="G69">
        <v>8</v>
      </c>
      <c r="H69" t="s">
        <v>133</v>
      </c>
      <c r="I69">
        <v>11</v>
      </c>
      <c r="J69" s="54">
        <f t="shared" si="1"/>
        <v>8</v>
      </c>
    </row>
    <row r="70" spans="1:10">
      <c r="A70" s="43">
        <v>43136</v>
      </c>
      <c r="B70">
        <v>2008</v>
      </c>
      <c r="C70">
        <v>1036</v>
      </c>
      <c r="D70">
        <v>69</v>
      </c>
      <c r="E70">
        <v>7500</v>
      </c>
      <c r="F70" t="s">
        <v>59</v>
      </c>
      <c r="G70">
        <v>2</v>
      </c>
      <c r="H70" t="s">
        <v>133</v>
      </c>
      <c r="I70">
        <v>11</v>
      </c>
      <c r="J70" s="54">
        <f t="shared" si="1"/>
        <v>2</v>
      </c>
    </row>
    <row r="71" spans="1:10">
      <c r="A71" s="43">
        <v>43031</v>
      </c>
      <c r="B71">
        <v>2009</v>
      </c>
      <c r="C71">
        <v>1036</v>
      </c>
      <c r="D71">
        <v>70</v>
      </c>
      <c r="E71">
        <v>7000</v>
      </c>
      <c r="F71" t="s">
        <v>59</v>
      </c>
      <c r="G71">
        <v>12</v>
      </c>
      <c r="H71" t="s">
        <v>133</v>
      </c>
      <c r="I71">
        <v>10</v>
      </c>
      <c r="J71" s="54">
        <f t="shared" si="1"/>
        <v>12</v>
      </c>
    </row>
    <row r="72" spans="1:10">
      <c r="A72" s="43">
        <v>42898</v>
      </c>
      <c r="B72">
        <v>2010</v>
      </c>
      <c r="C72">
        <v>1036</v>
      </c>
      <c r="D72">
        <v>71</v>
      </c>
      <c r="E72">
        <v>6800</v>
      </c>
      <c r="F72" t="s">
        <v>59</v>
      </c>
      <c r="G72">
        <v>5</v>
      </c>
      <c r="H72" t="s">
        <v>133</v>
      </c>
      <c r="I72">
        <v>9</v>
      </c>
      <c r="J72" s="54">
        <f t="shared" si="1"/>
        <v>5</v>
      </c>
    </row>
    <row r="73" spans="1:10">
      <c r="A73" s="43">
        <v>42878</v>
      </c>
      <c r="B73">
        <v>2010</v>
      </c>
      <c r="C73">
        <v>1036</v>
      </c>
      <c r="D73">
        <v>72</v>
      </c>
      <c r="E73">
        <v>6800</v>
      </c>
      <c r="F73" t="s">
        <v>59</v>
      </c>
      <c r="G73">
        <v>4</v>
      </c>
      <c r="H73" t="s">
        <v>133</v>
      </c>
      <c r="I73">
        <v>9</v>
      </c>
      <c r="J73" s="54">
        <f t="shared" si="1"/>
        <v>4</v>
      </c>
    </row>
    <row r="74" spans="1:10">
      <c r="A74" s="43">
        <v>42856</v>
      </c>
      <c r="B74">
        <v>2009</v>
      </c>
      <c r="C74">
        <v>1036</v>
      </c>
      <c r="D74">
        <v>73</v>
      </c>
      <c r="E74">
        <v>6500</v>
      </c>
      <c r="F74" t="s">
        <v>59</v>
      </c>
      <c r="G74">
        <v>6</v>
      </c>
      <c r="H74" t="s">
        <v>133</v>
      </c>
      <c r="I74">
        <v>10</v>
      </c>
      <c r="J74" s="54">
        <f t="shared" si="1"/>
        <v>6</v>
      </c>
    </row>
    <row r="75" spans="1:10">
      <c r="A75" s="43">
        <v>42845</v>
      </c>
      <c r="B75">
        <v>2009</v>
      </c>
      <c r="C75">
        <v>1036</v>
      </c>
      <c r="D75">
        <v>74</v>
      </c>
      <c r="E75">
        <v>6750</v>
      </c>
      <c r="F75" t="s">
        <v>59</v>
      </c>
      <c r="G75">
        <v>12</v>
      </c>
      <c r="H75" t="s">
        <v>133</v>
      </c>
      <c r="I75">
        <v>10</v>
      </c>
      <c r="J75" s="54">
        <f t="shared" si="1"/>
        <v>12</v>
      </c>
    </row>
    <row r="76" spans="1:10">
      <c r="A76" s="43">
        <v>42769</v>
      </c>
      <c r="B76">
        <v>2009</v>
      </c>
      <c r="C76">
        <v>1036</v>
      </c>
      <c r="D76">
        <v>75</v>
      </c>
      <c r="E76">
        <v>6750</v>
      </c>
      <c r="F76" t="s">
        <v>59</v>
      </c>
      <c r="G76">
        <v>5</v>
      </c>
      <c r="H76" t="s">
        <v>133</v>
      </c>
      <c r="I76">
        <v>10</v>
      </c>
      <c r="J76" s="54">
        <f t="shared" si="1"/>
        <v>5</v>
      </c>
    </row>
    <row r="77" spans="1:10">
      <c r="A77" s="43">
        <v>42675</v>
      </c>
      <c r="B77">
        <v>2009</v>
      </c>
      <c r="C77">
        <v>1036</v>
      </c>
      <c r="D77">
        <v>76</v>
      </c>
      <c r="E77">
        <v>6400</v>
      </c>
      <c r="F77" t="s">
        <v>59</v>
      </c>
      <c r="G77">
        <v>5</v>
      </c>
      <c r="H77" t="s">
        <v>133</v>
      </c>
      <c r="I77">
        <v>10</v>
      </c>
      <c r="J77" s="54">
        <f t="shared" si="1"/>
        <v>5</v>
      </c>
    </row>
    <row r="78" spans="1:10">
      <c r="A78" s="43">
        <v>42663</v>
      </c>
      <c r="B78">
        <v>2009</v>
      </c>
      <c r="C78">
        <v>1036</v>
      </c>
      <c r="D78">
        <v>77</v>
      </c>
      <c r="E78">
        <v>6400</v>
      </c>
      <c r="F78" t="s">
        <v>59</v>
      </c>
      <c r="G78">
        <v>7</v>
      </c>
      <c r="H78" t="s">
        <v>133</v>
      </c>
      <c r="I78">
        <v>10</v>
      </c>
      <c r="J78" s="54">
        <f t="shared" si="1"/>
        <v>7</v>
      </c>
    </row>
    <row r="79" spans="1:10">
      <c r="A79" s="43">
        <v>42650</v>
      </c>
      <c r="B79">
        <v>2009</v>
      </c>
      <c r="C79">
        <v>1036</v>
      </c>
      <c r="D79">
        <v>78</v>
      </c>
      <c r="E79">
        <v>6200</v>
      </c>
      <c r="F79" t="s">
        <v>59</v>
      </c>
      <c r="G79">
        <v>42</v>
      </c>
      <c r="H79" t="s">
        <v>60</v>
      </c>
      <c r="I79">
        <v>10</v>
      </c>
      <c r="J79" s="54">
        <f t="shared" si="1"/>
        <v>1</v>
      </c>
    </row>
    <row r="80" spans="1:10">
      <c r="A80" s="43">
        <v>42643</v>
      </c>
      <c r="B80">
        <v>2008</v>
      </c>
      <c r="C80">
        <v>1036</v>
      </c>
      <c r="D80">
        <v>79</v>
      </c>
      <c r="E80">
        <v>6250</v>
      </c>
      <c r="F80" t="s">
        <v>59</v>
      </c>
      <c r="G80">
        <v>8</v>
      </c>
      <c r="H80" t="s">
        <v>133</v>
      </c>
      <c r="I80">
        <v>11</v>
      </c>
      <c r="J80" s="54">
        <f t="shared" si="1"/>
        <v>8</v>
      </c>
    </row>
    <row r="81" spans="1:10">
      <c r="A81" s="43">
        <v>42488</v>
      </c>
      <c r="B81">
        <v>2009</v>
      </c>
      <c r="C81">
        <v>1036</v>
      </c>
      <c r="D81">
        <v>80</v>
      </c>
      <c r="E81">
        <v>7900</v>
      </c>
      <c r="F81" t="s">
        <v>59</v>
      </c>
      <c r="G81">
        <v>6</v>
      </c>
      <c r="H81" t="s">
        <v>133</v>
      </c>
      <c r="I81">
        <v>10</v>
      </c>
      <c r="J81" s="54">
        <f t="shared" si="1"/>
        <v>6</v>
      </c>
    </row>
    <row r="82" spans="1:10">
      <c r="A82" s="43">
        <v>42480</v>
      </c>
      <c r="B82">
        <v>2010</v>
      </c>
      <c r="C82">
        <v>1036</v>
      </c>
      <c r="D82">
        <v>81</v>
      </c>
      <c r="E82">
        <v>8600</v>
      </c>
      <c r="F82" t="s">
        <v>59</v>
      </c>
      <c r="G82">
        <v>13</v>
      </c>
      <c r="H82" t="s">
        <v>133</v>
      </c>
      <c r="I82">
        <v>9</v>
      </c>
      <c r="J82" s="54">
        <f t="shared" si="1"/>
        <v>13</v>
      </c>
    </row>
    <row r="83" spans="1:10">
      <c r="A83" s="43">
        <v>42420</v>
      </c>
      <c r="B83">
        <v>2007</v>
      </c>
      <c r="C83">
        <v>1036</v>
      </c>
      <c r="D83">
        <v>82</v>
      </c>
      <c r="E83">
        <v>7600</v>
      </c>
      <c r="F83" t="s">
        <v>59</v>
      </c>
      <c r="G83">
        <v>18</v>
      </c>
      <c r="H83" t="s">
        <v>133</v>
      </c>
      <c r="I83">
        <v>12</v>
      </c>
      <c r="J83" s="54">
        <f t="shared" si="1"/>
        <v>18</v>
      </c>
    </row>
    <row r="84" spans="1:10">
      <c r="A84" s="43">
        <v>42420</v>
      </c>
      <c r="B84">
        <v>2010</v>
      </c>
      <c r="C84">
        <v>1036</v>
      </c>
      <c r="D84">
        <v>83</v>
      </c>
      <c r="E84">
        <v>7600</v>
      </c>
      <c r="F84" t="s">
        <v>59</v>
      </c>
      <c r="G84">
        <v>18</v>
      </c>
      <c r="H84" t="s">
        <v>133</v>
      </c>
      <c r="I84">
        <v>9</v>
      </c>
      <c r="J84" s="54">
        <f t="shared" si="1"/>
        <v>18</v>
      </c>
    </row>
    <row r="85" spans="1:10">
      <c r="A85" s="43">
        <v>43388</v>
      </c>
      <c r="B85">
        <v>2009</v>
      </c>
      <c r="C85">
        <v>1037</v>
      </c>
      <c r="D85">
        <v>84</v>
      </c>
      <c r="E85">
        <v>8650</v>
      </c>
      <c r="F85" t="s">
        <v>59</v>
      </c>
      <c r="G85">
        <v>2</v>
      </c>
      <c r="H85" t="s">
        <v>133</v>
      </c>
      <c r="I85">
        <v>10</v>
      </c>
      <c r="J85" s="54">
        <f t="shared" si="1"/>
        <v>2</v>
      </c>
    </row>
    <row r="86" spans="1:10">
      <c r="A86" s="43">
        <v>43355</v>
      </c>
      <c r="B86">
        <v>2009</v>
      </c>
      <c r="C86">
        <v>1037</v>
      </c>
      <c r="D86">
        <v>85</v>
      </c>
      <c r="E86">
        <v>9750</v>
      </c>
      <c r="F86" t="s">
        <v>59</v>
      </c>
      <c r="G86">
        <v>15</v>
      </c>
      <c r="H86" t="s">
        <v>133</v>
      </c>
      <c r="I86">
        <v>10</v>
      </c>
      <c r="J86" s="54">
        <f t="shared" si="1"/>
        <v>15</v>
      </c>
    </row>
    <row r="87" spans="1:10">
      <c r="A87" s="43">
        <v>43028</v>
      </c>
      <c r="B87">
        <v>2009</v>
      </c>
      <c r="C87">
        <v>1037</v>
      </c>
      <c r="D87">
        <v>86</v>
      </c>
      <c r="E87">
        <v>7300</v>
      </c>
      <c r="F87" t="s">
        <v>59</v>
      </c>
      <c r="G87">
        <v>6</v>
      </c>
      <c r="H87" t="s">
        <v>133</v>
      </c>
      <c r="I87">
        <v>10</v>
      </c>
      <c r="J87" s="54">
        <f t="shared" si="1"/>
        <v>6</v>
      </c>
    </row>
    <row r="88" spans="1:10">
      <c r="A88" s="43">
        <v>42614</v>
      </c>
      <c r="B88">
        <v>2009</v>
      </c>
      <c r="C88">
        <v>1037</v>
      </c>
      <c r="D88">
        <v>87</v>
      </c>
      <c r="E88">
        <v>7950</v>
      </c>
      <c r="F88" t="s">
        <v>59</v>
      </c>
      <c r="G88">
        <v>9</v>
      </c>
      <c r="H88" t="s">
        <v>133</v>
      </c>
      <c r="I88">
        <v>10</v>
      </c>
      <c r="J88" s="54">
        <f t="shared" si="1"/>
        <v>9</v>
      </c>
    </row>
    <row r="89" spans="1:10">
      <c r="A89" s="43">
        <v>42461</v>
      </c>
      <c r="B89">
        <v>2009</v>
      </c>
      <c r="C89">
        <v>1037</v>
      </c>
      <c r="D89">
        <v>88</v>
      </c>
      <c r="E89">
        <v>7500</v>
      </c>
      <c r="F89" t="s">
        <v>59</v>
      </c>
      <c r="G89">
        <v>3</v>
      </c>
      <c r="H89" t="s">
        <v>133</v>
      </c>
      <c r="I89">
        <v>10</v>
      </c>
      <c r="J89" s="54">
        <f t="shared" si="1"/>
        <v>3</v>
      </c>
    </row>
    <row r="90" spans="1:10">
      <c r="A90" s="43">
        <v>43052</v>
      </c>
      <c r="B90">
        <v>2006</v>
      </c>
      <c r="C90">
        <v>1043</v>
      </c>
      <c r="D90">
        <v>89</v>
      </c>
      <c r="E90">
        <v>7450</v>
      </c>
      <c r="F90" t="s">
        <v>59</v>
      </c>
      <c r="G90">
        <v>5</v>
      </c>
      <c r="H90" t="s">
        <v>133</v>
      </c>
      <c r="I90">
        <v>13</v>
      </c>
      <c r="J90" s="54">
        <f t="shared" si="1"/>
        <v>5</v>
      </c>
    </row>
    <row r="91" spans="1:10">
      <c r="A91" s="43">
        <v>42644</v>
      </c>
      <c r="B91">
        <v>2006</v>
      </c>
      <c r="C91">
        <v>1043</v>
      </c>
      <c r="D91">
        <v>90</v>
      </c>
      <c r="E91">
        <v>7500</v>
      </c>
      <c r="F91" t="s">
        <v>59</v>
      </c>
      <c r="G91">
        <v>8</v>
      </c>
      <c r="H91" t="s">
        <v>133</v>
      </c>
      <c r="I91">
        <v>13</v>
      </c>
      <c r="J91" s="54">
        <f t="shared" si="1"/>
        <v>8</v>
      </c>
    </row>
    <row r="92" spans="1:10">
      <c r="A92" s="43">
        <v>42564</v>
      </c>
      <c r="B92">
        <v>2006</v>
      </c>
      <c r="C92">
        <v>1043</v>
      </c>
      <c r="D92">
        <v>91</v>
      </c>
      <c r="E92">
        <v>7500</v>
      </c>
      <c r="F92" t="s">
        <v>59</v>
      </c>
      <c r="G92">
        <v>4</v>
      </c>
      <c r="H92" t="s">
        <v>133</v>
      </c>
      <c r="I92">
        <v>13</v>
      </c>
      <c r="J92" s="54">
        <f t="shared" si="1"/>
        <v>4</v>
      </c>
    </row>
    <row r="93" spans="1:10">
      <c r="A93" s="43">
        <v>43501</v>
      </c>
      <c r="B93">
        <v>2008</v>
      </c>
      <c r="C93">
        <v>1049</v>
      </c>
      <c r="D93">
        <v>92</v>
      </c>
      <c r="E93">
        <v>7850</v>
      </c>
      <c r="F93" t="s">
        <v>59</v>
      </c>
      <c r="G93">
        <v>5</v>
      </c>
      <c r="H93" t="s">
        <v>133</v>
      </c>
      <c r="I93">
        <v>11</v>
      </c>
      <c r="J93" s="54">
        <f t="shared" si="1"/>
        <v>5</v>
      </c>
    </row>
    <row r="94" spans="1:10">
      <c r="A94" s="43">
        <v>43486</v>
      </c>
      <c r="B94">
        <v>2008</v>
      </c>
      <c r="C94">
        <v>1049</v>
      </c>
      <c r="D94">
        <v>93</v>
      </c>
      <c r="E94">
        <v>7800</v>
      </c>
      <c r="F94" t="s">
        <v>59</v>
      </c>
      <c r="G94">
        <v>100</v>
      </c>
      <c r="H94" t="s">
        <v>60</v>
      </c>
      <c r="I94">
        <v>11</v>
      </c>
      <c r="J94" s="54">
        <f t="shared" si="1"/>
        <v>3</v>
      </c>
    </row>
    <row r="95" spans="1:10">
      <c r="A95" s="43">
        <v>43472</v>
      </c>
      <c r="B95">
        <v>2007</v>
      </c>
      <c r="C95">
        <v>1049</v>
      </c>
      <c r="D95">
        <v>94</v>
      </c>
      <c r="E95">
        <v>7750</v>
      </c>
      <c r="F95" t="s">
        <v>59</v>
      </c>
      <c r="G95">
        <v>40</v>
      </c>
      <c r="H95" t="s">
        <v>60</v>
      </c>
      <c r="I95">
        <v>12</v>
      </c>
      <c r="J95" s="54">
        <f t="shared" si="1"/>
        <v>1</v>
      </c>
    </row>
    <row r="96" spans="1:10">
      <c r="A96" s="43">
        <v>43465</v>
      </c>
      <c r="B96">
        <v>2007</v>
      </c>
      <c r="C96">
        <v>1049</v>
      </c>
      <c r="D96">
        <v>95</v>
      </c>
      <c r="E96">
        <v>7900</v>
      </c>
      <c r="F96" t="s">
        <v>59</v>
      </c>
      <c r="G96">
        <v>45</v>
      </c>
      <c r="H96" t="s">
        <v>60</v>
      </c>
      <c r="I96">
        <v>12</v>
      </c>
      <c r="J96" s="54">
        <f t="shared" si="1"/>
        <v>2</v>
      </c>
    </row>
    <row r="97" spans="1:10">
      <c r="A97" s="43">
        <v>43340</v>
      </c>
      <c r="B97">
        <v>2007</v>
      </c>
      <c r="C97">
        <v>1049</v>
      </c>
      <c r="D97">
        <v>96</v>
      </c>
      <c r="E97">
        <v>8500</v>
      </c>
      <c r="F97" t="s">
        <v>59</v>
      </c>
      <c r="G97">
        <v>4</v>
      </c>
      <c r="H97" t="s">
        <v>133</v>
      </c>
      <c r="I97">
        <v>12</v>
      </c>
      <c r="J97" s="54">
        <f t="shared" si="1"/>
        <v>4</v>
      </c>
    </row>
    <row r="98" spans="1:10">
      <c r="A98" s="43">
        <v>43312</v>
      </c>
      <c r="B98">
        <v>2008</v>
      </c>
      <c r="C98">
        <v>1049</v>
      </c>
      <c r="D98">
        <v>97</v>
      </c>
      <c r="E98">
        <v>8800</v>
      </c>
      <c r="F98" t="s">
        <v>59</v>
      </c>
      <c r="G98">
        <v>8</v>
      </c>
      <c r="H98" t="s">
        <v>133</v>
      </c>
      <c r="I98">
        <v>11</v>
      </c>
      <c r="J98" s="54">
        <f t="shared" si="1"/>
        <v>8</v>
      </c>
    </row>
    <row r="99" spans="1:10">
      <c r="A99" s="43">
        <v>43307</v>
      </c>
      <c r="B99">
        <v>2008</v>
      </c>
      <c r="C99">
        <v>1049</v>
      </c>
      <c r="D99">
        <v>98</v>
      </c>
      <c r="E99">
        <v>8800</v>
      </c>
      <c r="F99" t="s">
        <v>59</v>
      </c>
      <c r="G99">
        <v>5</v>
      </c>
      <c r="H99" t="s">
        <v>133</v>
      </c>
      <c r="I99">
        <v>11</v>
      </c>
      <c r="J99" s="54">
        <f t="shared" si="1"/>
        <v>5</v>
      </c>
    </row>
    <row r="100" spans="1:10">
      <c r="A100" s="43">
        <v>43182</v>
      </c>
      <c r="B100">
        <v>2007</v>
      </c>
      <c r="C100">
        <v>1049</v>
      </c>
      <c r="D100">
        <v>99</v>
      </c>
      <c r="E100">
        <v>8650</v>
      </c>
      <c r="F100" t="s">
        <v>59</v>
      </c>
      <c r="G100">
        <v>6</v>
      </c>
      <c r="H100" t="s">
        <v>133</v>
      </c>
      <c r="I100">
        <v>12</v>
      </c>
      <c r="J100" s="54">
        <f t="shared" si="1"/>
        <v>6</v>
      </c>
    </row>
    <row r="101" spans="1:10">
      <c r="A101" s="43">
        <v>43179</v>
      </c>
      <c r="B101">
        <v>2007</v>
      </c>
      <c r="C101">
        <v>1049</v>
      </c>
      <c r="D101">
        <v>100</v>
      </c>
      <c r="E101">
        <v>8550</v>
      </c>
      <c r="F101" t="s">
        <v>59</v>
      </c>
      <c r="G101">
        <v>6</v>
      </c>
      <c r="H101" t="s">
        <v>133</v>
      </c>
      <c r="I101">
        <v>12</v>
      </c>
      <c r="J101" s="54">
        <f t="shared" si="1"/>
        <v>6</v>
      </c>
    </row>
    <row r="102" spans="1:10">
      <c r="A102" s="43">
        <v>43144</v>
      </c>
      <c r="B102">
        <v>2008</v>
      </c>
      <c r="C102">
        <v>1049</v>
      </c>
      <c r="D102">
        <v>101</v>
      </c>
      <c r="E102">
        <v>8000</v>
      </c>
      <c r="F102" t="s">
        <v>59</v>
      </c>
      <c r="G102">
        <v>5</v>
      </c>
      <c r="H102" t="s">
        <v>133</v>
      </c>
      <c r="I102">
        <v>11</v>
      </c>
      <c r="J102" s="54">
        <f t="shared" si="1"/>
        <v>5</v>
      </c>
    </row>
    <row r="103" spans="1:10">
      <c r="A103" s="43">
        <v>43075</v>
      </c>
      <c r="B103">
        <v>2008</v>
      </c>
      <c r="C103">
        <v>1049</v>
      </c>
      <c r="D103">
        <v>102</v>
      </c>
      <c r="E103">
        <v>7500</v>
      </c>
      <c r="F103" t="s">
        <v>59</v>
      </c>
      <c r="G103">
        <v>5</v>
      </c>
      <c r="H103" t="s">
        <v>133</v>
      </c>
      <c r="I103">
        <v>11</v>
      </c>
      <c r="J103" s="54">
        <f t="shared" si="1"/>
        <v>5</v>
      </c>
    </row>
    <row r="104" spans="1:10">
      <c r="A104" s="43">
        <v>43067</v>
      </c>
      <c r="B104">
        <v>2008</v>
      </c>
      <c r="C104">
        <v>1049</v>
      </c>
      <c r="D104">
        <v>103</v>
      </c>
      <c r="E104">
        <v>7500</v>
      </c>
      <c r="F104" t="s">
        <v>59</v>
      </c>
      <c r="G104">
        <v>5</v>
      </c>
      <c r="H104" t="s">
        <v>133</v>
      </c>
      <c r="I104">
        <v>11</v>
      </c>
      <c r="J104" s="54">
        <f t="shared" si="1"/>
        <v>5</v>
      </c>
    </row>
    <row r="105" spans="1:10">
      <c r="A105" s="43">
        <v>43063</v>
      </c>
      <c r="B105">
        <v>2008</v>
      </c>
      <c r="C105">
        <v>1049</v>
      </c>
      <c r="D105">
        <v>104</v>
      </c>
      <c r="E105">
        <v>7500</v>
      </c>
      <c r="F105" t="s">
        <v>59</v>
      </c>
      <c r="G105">
        <v>5</v>
      </c>
      <c r="H105" t="s">
        <v>133</v>
      </c>
      <c r="I105">
        <v>11</v>
      </c>
      <c r="J105" s="54">
        <f t="shared" si="1"/>
        <v>5</v>
      </c>
    </row>
    <row r="106" spans="1:10">
      <c r="A106" s="43">
        <v>42993</v>
      </c>
      <c r="B106">
        <v>2007</v>
      </c>
      <c r="C106">
        <v>1049</v>
      </c>
      <c r="D106">
        <v>105</v>
      </c>
      <c r="E106">
        <v>7500</v>
      </c>
      <c r="F106" t="s">
        <v>59</v>
      </c>
      <c r="G106">
        <v>6</v>
      </c>
      <c r="H106" t="s">
        <v>133</v>
      </c>
      <c r="I106">
        <v>12</v>
      </c>
      <c r="J106" s="54">
        <f t="shared" si="1"/>
        <v>6</v>
      </c>
    </row>
    <row r="107" spans="1:10">
      <c r="A107" s="43">
        <v>42956</v>
      </c>
      <c r="B107">
        <v>2007</v>
      </c>
      <c r="C107">
        <v>1049</v>
      </c>
      <c r="D107">
        <v>106</v>
      </c>
      <c r="E107">
        <v>7300</v>
      </c>
      <c r="F107" t="s">
        <v>59</v>
      </c>
      <c r="G107">
        <v>8</v>
      </c>
      <c r="H107" t="s">
        <v>133</v>
      </c>
      <c r="I107">
        <v>12</v>
      </c>
      <c r="J107" s="54">
        <f t="shared" si="1"/>
        <v>8</v>
      </c>
    </row>
    <row r="108" spans="1:10">
      <c r="A108" s="43">
        <v>42795</v>
      </c>
      <c r="B108">
        <v>2008</v>
      </c>
      <c r="C108">
        <v>1049</v>
      </c>
      <c r="D108">
        <v>107</v>
      </c>
      <c r="E108">
        <v>7400</v>
      </c>
      <c r="F108" t="s">
        <v>59</v>
      </c>
      <c r="G108">
        <v>5</v>
      </c>
      <c r="H108" t="s">
        <v>133</v>
      </c>
      <c r="I108">
        <v>11</v>
      </c>
      <c r="J108" s="54">
        <f t="shared" si="1"/>
        <v>5</v>
      </c>
    </row>
    <row r="109" spans="1:10">
      <c r="A109" s="43">
        <v>42736</v>
      </c>
      <c r="B109">
        <v>2008</v>
      </c>
      <c r="C109">
        <v>1049</v>
      </c>
      <c r="D109">
        <v>108</v>
      </c>
      <c r="E109">
        <v>7000</v>
      </c>
      <c r="F109" t="s">
        <v>59</v>
      </c>
      <c r="G109">
        <v>7</v>
      </c>
      <c r="H109" t="s">
        <v>133</v>
      </c>
      <c r="I109">
        <v>11</v>
      </c>
      <c r="J109" s="54">
        <f t="shared" si="1"/>
        <v>7</v>
      </c>
    </row>
    <row r="110" spans="1:10">
      <c r="A110" s="43">
        <v>42719</v>
      </c>
      <c r="B110">
        <v>2008</v>
      </c>
      <c r="C110">
        <v>1049</v>
      </c>
      <c r="D110">
        <v>109</v>
      </c>
      <c r="E110">
        <v>7000</v>
      </c>
      <c r="F110" t="s">
        <v>59</v>
      </c>
      <c r="G110">
        <v>8</v>
      </c>
      <c r="H110" t="s">
        <v>133</v>
      </c>
      <c r="I110">
        <v>11</v>
      </c>
      <c r="J110" s="54">
        <f t="shared" si="1"/>
        <v>8</v>
      </c>
    </row>
    <row r="111" spans="1:10">
      <c r="A111" s="43">
        <v>42705</v>
      </c>
      <c r="B111">
        <v>2007</v>
      </c>
      <c r="C111">
        <v>1049</v>
      </c>
      <c r="D111">
        <v>110</v>
      </c>
      <c r="E111">
        <v>7000</v>
      </c>
      <c r="F111" t="s">
        <v>59</v>
      </c>
      <c r="G111">
        <v>3</v>
      </c>
      <c r="H111" t="s">
        <v>133</v>
      </c>
      <c r="I111">
        <v>12</v>
      </c>
      <c r="J111" s="54">
        <f t="shared" si="1"/>
        <v>3</v>
      </c>
    </row>
    <row r="112" spans="1:10">
      <c r="A112" s="43">
        <v>42705</v>
      </c>
      <c r="B112">
        <v>2008</v>
      </c>
      <c r="C112">
        <v>1049</v>
      </c>
      <c r="D112">
        <v>111</v>
      </c>
      <c r="E112">
        <v>7000</v>
      </c>
      <c r="F112" t="s">
        <v>59</v>
      </c>
      <c r="G112">
        <v>3</v>
      </c>
      <c r="H112" t="s">
        <v>133</v>
      </c>
      <c r="I112">
        <v>11</v>
      </c>
      <c r="J112" s="54">
        <f t="shared" si="1"/>
        <v>3</v>
      </c>
    </row>
    <row r="113" spans="1:10">
      <c r="A113" s="43">
        <v>42688</v>
      </c>
      <c r="B113">
        <v>2008</v>
      </c>
      <c r="C113">
        <v>1049</v>
      </c>
      <c r="D113">
        <v>112</v>
      </c>
      <c r="E113">
        <v>7400</v>
      </c>
      <c r="F113" t="s">
        <v>59</v>
      </c>
      <c r="G113">
        <v>4</v>
      </c>
      <c r="H113" t="s">
        <v>133</v>
      </c>
      <c r="I113">
        <v>11</v>
      </c>
      <c r="J113" s="54">
        <f t="shared" si="1"/>
        <v>4</v>
      </c>
    </row>
    <row r="114" spans="1:10">
      <c r="A114" s="43">
        <v>42646</v>
      </c>
      <c r="B114">
        <v>2008</v>
      </c>
      <c r="C114">
        <v>1049</v>
      </c>
      <c r="D114">
        <v>113</v>
      </c>
      <c r="E114">
        <v>7500</v>
      </c>
      <c r="F114" t="s">
        <v>59</v>
      </c>
      <c r="G114">
        <v>100</v>
      </c>
      <c r="H114" t="s">
        <v>60</v>
      </c>
      <c r="I114">
        <v>11</v>
      </c>
      <c r="J114" s="54">
        <f t="shared" si="1"/>
        <v>3</v>
      </c>
    </row>
    <row r="115" spans="1:10">
      <c r="A115" s="43">
        <v>42643</v>
      </c>
      <c r="B115">
        <v>2007</v>
      </c>
      <c r="C115">
        <v>1049</v>
      </c>
      <c r="D115">
        <v>114</v>
      </c>
      <c r="E115">
        <v>7450</v>
      </c>
      <c r="F115" t="s">
        <v>59</v>
      </c>
      <c r="G115">
        <v>5</v>
      </c>
      <c r="H115" t="s">
        <v>133</v>
      </c>
      <c r="I115">
        <v>12</v>
      </c>
      <c r="J115" s="54">
        <f t="shared" si="1"/>
        <v>5</v>
      </c>
    </row>
    <row r="116" spans="1:10">
      <c r="A116" s="43">
        <v>42618</v>
      </c>
      <c r="B116">
        <v>2008</v>
      </c>
      <c r="C116">
        <v>1049</v>
      </c>
      <c r="D116">
        <v>115</v>
      </c>
      <c r="E116">
        <v>7500</v>
      </c>
      <c r="F116" t="s">
        <v>59</v>
      </c>
      <c r="G116">
        <v>3</v>
      </c>
      <c r="H116" t="s">
        <v>133</v>
      </c>
      <c r="I116">
        <v>11</v>
      </c>
      <c r="J116" s="54">
        <f t="shared" si="1"/>
        <v>3</v>
      </c>
    </row>
    <row r="117" spans="1:10">
      <c r="A117" s="43">
        <v>42482</v>
      </c>
      <c r="B117">
        <v>2007</v>
      </c>
      <c r="C117">
        <v>1049</v>
      </c>
      <c r="D117">
        <v>116</v>
      </c>
      <c r="E117">
        <v>7500</v>
      </c>
      <c r="F117" t="s">
        <v>59</v>
      </c>
      <c r="G117">
        <v>10</v>
      </c>
      <c r="H117" t="s">
        <v>133</v>
      </c>
      <c r="I117">
        <v>12</v>
      </c>
      <c r="J117" s="54">
        <f t="shared" si="1"/>
        <v>10</v>
      </c>
    </row>
    <row r="118" spans="1:10">
      <c r="A118" s="43">
        <v>42423</v>
      </c>
      <c r="B118">
        <v>2008</v>
      </c>
      <c r="C118">
        <v>1049</v>
      </c>
      <c r="D118">
        <v>117</v>
      </c>
      <c r="E118">
        <v>7600</v>
      </c>
      <c r="F118" t="s">
        <v>59</v>
      </c>
      <c r="G118">
        <v>9</v>
      </c>
      <c r="H118" t="s">
        <v>133</v>
      </c>
      <c r="I118">
        <v>11</v>
      </c>
      <c r="J118" s="54">
        <f t="shared" si="1"/>
        <v>9</v>
      </c>
    </row>
    <row r="119" spans="1:10">
      <c r="A119" s="43">
        <v>43559</v>
      </c>
      <c r="B119">
        <v>2006</v>
      </c>
      <c r="C119">
        <v>1050</v>
      </c>
      <c r="D119">
        <v>118</v>
      </c>
      <c r="E119">
        <v>6750</v>
      </c>
      <c r="F119" t="s">
        <v>59</v>
      </c>
      <c r="G119">
        <v>6</v>
      </c>
      <c r="H119" t="s">
        <v>133</v>
      </c>
      <c r="I119">
        <v>13</v>
      </c>
      <c r="J119" s="54">
        <f t="shared" si="1"/>
        <v>6</v>
      </c>
    </row>
    <row r="120" spans="1:10">
      <c r="A120" s="43">
        <v>43468</v>
      </c>
      <c r="B120">
        <v>2006</v>
      </c>
      <c r="C120">
        <v>1050</v>
      </c>
      <c r="D120">
        <v>119</v>
      </c>
      <c r="E120">
        <v>7000</v>
      </c>
      <c r="F120" t="s">
        <v>59</v>
      </c>
      <c r="G120">
        <v>6</v>
      </c>
      <c r="H120" t="s">
        <v>133</v>
      </c>
      <c r="I120">
        <v>13</v>
      </c>
      <c r="J120" s="54">
        <f t="shared" si="1"/>
        <v>6</v>
      </c>
    </row>
    <row r="121" spans="1:10">
      <c r="A121" s="43">
        <v>43143</v>
      </c>
      <c r="B121">
        <v>2006</v>
      </c>
      <c r="C121">
        <v>1050</v>
      </c>
      <c r="D121">
        <v>120</v>
      </c>
      <c r="E121">
        <v>7200</v>
      </c>
      <c r="F121" t="s">
        <v>59</v>
      </c>
      <c r="G121">
        <v>8</v>
      </c>
      <c r="H121" t="s">
        <v>133</v>
      </c>
      <c r="I121">
        <v>13</v>
      </c>
      <c r="J121" s="54">
        <f t="shared" si="1"/>
        <v>8</v>
      </c>
    </row>
    <row r="122" spans="1:10">
      <c r="A122" s="43">
        <v>43045</v>
      </c>
      <c r="B122">
        <v>2006</v>
      </c>
      <c r="C122">
        <v>1050</v>
      </c>
      <c r="D122">
        <v>121</v>
      </c>
      <c r="E122">
        <v>6500</v>
      </c>
      <c r="F122" t="s">
        <v>59</v>
      </c>
      <c r="G122">
        <v>6</v>
      </c>
      <c r="H122" t="s">
        <v>133</v>
      </c>
      <c r="I122">
        <v>13</v>
      </c>
      <c r="J122" s="54">
        <f t="shared" si="1"/>
        <v>6</v>
      </c>
    </row>
    <row r="123" spans="1:10">
      <c r="A123" s="43">
        <v>42773</v>
      </c>
      <c r="B123">
        <v>2006</v>
      </c>
      <c r="C123">
        <v>1050</v>
      </c>
      <c r="D123">
        <v>122</v>
      </c>
      <c r="E123">
        <v>6500</v>
      </c>
      <c r="F123" t="s">
        <v>59</v>
      </c>
      <c r="G123">
        <v>6</v>
      </c>
      <c r="H123" t="s">
        <v>133</v>
      </c>
      <c r="I123">
        <v>13</v>
      </c>
      <c r="J123" s="54">
        <f t="shared" si="1"/>
        <v>6</v>
      </c>
    </row>
    <row r="124" spans="1:10">
      <c r="A124" s="43">
        <v>42688</v>
      </c>
      <c r="B124">
        <v>2006</v>
      </c>
      <c r="C124">
        <v>1050</v>
      </c>
      <c r="D124">
        <v>123</v>
      </c>
      <c r="E124">
        <v>6250</v>
      </c>
      <c r="F124" t="s">
        <v>59</v>
      </c>
      <c r="G124">
        <v>6</v>
      </c>
      <c r="H124" t="s">
        <v>133</v>
      </c>
      <c r="I124">
        <v>13</v>
      </c>
      <c r="J124" s="54">
        <f t="shared" si="1"/>
        <v>6</v>
      </c>
    </row>
    <row r="125" spans="1:10">
      <c r="A125" s="43">
        <v>43186</v>
      </c>
      <c r="B125">
        <v>2007</v>
      </c>
      <c r="C125">
        <v>1054</v>
      </c>
      <c r="D125">
        <v>124</v>
      </c>
      <c r="E125">
        <v>7600</v>
      </c>
      <c r="F125" t="s">
        <v>59</v>
      </c>
      <c r="G125">
        <v>6</v>
      </c>
      <c r="H125" t="s">
        <v>133</v>
      </c>
      <c r="I125">
        <v>12</v>
      </c>
      <c r="J125" s="54">
        <f t="shared" si="1"/>
        <v>6</v>
      </c>
    </row>
    <row r="126" spans="1:10">
      <c r="A126" s="43">
        <v>43581</v>
      </c>
      <c r="B126">
        <v>2009</v>
      </c>
      <c r="C126">
        <v>1060</v>
      </c>
      <c r="D126">
        <v>125</v>
      </c>
      <c r="E126">
        <v>6750</v>
      </c>
      <c r="F126" t="s">
        <v>59</v>
      </c>
      <c r="G126">
        <v>6</v>
      </c>
      <c r="H126" t="s">
        <v>133</v>
      </c>
      <c r="I126">
        <v>10</v>
      </c>
      <c r="J126" s="54">
        <f t="shared" si="1"/>
        <v>6</v>
      </c>
    </row>
    <row r="127" spans="1:10">
      <c r="A127" s="43">
        <v>43509</v>
      </c>
      <c r="B127">
        <v>2009</v>
      </c>
      <c r="C127">
        <v>1060</v>
      </c>
      <c r="D127">
        <v>126</v>
      </c>
      <c r="E127">
        <v>6600</v>
      </c>
      <c r="F127" t="s">
        <v>59</v>
      </c>
      <c r="G127">
        <v>5</v>
      </c>
      <c r="H127" t="s">
        <v>133</v>
      </c>
      <c r="I127">
        <v>10</v>
      </c>
      <c r="J127" s="54">
        <f t="shared" si="1"/>
        <v>5</v>
      </c>
    </row>
    <row r="128" spans="1:10">
      <c r="A128" s="43">
        <v>43403</v>
      </c>
      <c r="B128">
        <v>2010</v>
      </c>
      <c r="C128">
        <v>1060</v>
      </c>
      <c r="D128">
        <v>127</v>
      </c>
      <c r="E128">
        <v>7350</v>
      </c>
      <c r="F128" t="s">
        <v>59</v>
      </c>
      <c r="G128">
        <v>8</v>
      </c>
      <c r="H128" t="s">
        <v>133</v>
      </c>
      <c r="I128">
        <v>9</v>
      </c>
      <c r="J128" s="54">
        <f t="shared" si="1"/>
        <v>8</v>
      </c>
    </row>
    <row r="129" spans="1:10">
      <c r="A129" s="43">
        <v>43364</v>
      </c>
      <c r="B129">
        <v>2009</v>
      </c>
      <c r="C129">
        <v>1060</v>
      </c>
      <c r="D129">
        <v>128</v>
      </c>
      <c r="E129">
        <v>7650</v>
      </c>
      <c r="F129" t="s">
        <v>59</v>
      </c>
      <c r="G129">
        <v>6</v>
      </c>
      <c r="H129" t="s">
        <v>133</v>
      </c>
      <c r="I129">
        <v>10</v>
      </c>
      <c r="J129" s="54">
        <f t="shared" si="1"/>
        <v>6</v>
      </c>
    </row>
    <row r="130" spans="1:10">
      <c r="A130" s="43">
        <v>43182</v>
      </c>
      <c r="B130">
        <v>2009</v>
      </c>
      <c r="C130">
        <v>1060</v>
      </c>
      <c r="D130">
        <v>129</v>
      </c>
      <c r="E130">
        <v>7500</v>
      </c>
      <c r="F130" t="s">
        <v>59</v>
      </c>
      <c r="G130">
        <v>7</v>
      </c>
      <c r="H130" t="s">
        <v>133</v>
      </c>
      <c r="I130">
        <v>10</v>
      </c>
      <c r="J130" s="54">
        <f t="shared" ref="J130:J193" si="2">IF(H130="days",ROUND(G130/30,0),IF(H130="years",G130*12,G130))</f>
        <v>7</v>
      </c>
    </row>
    <row r="131" spans="1:10">
      <c r="A131" s="43">
        <v>43167</v>
      </c>
      <c r="B131">
        <v>2010</v>
      </c>
      <c r="C131">
        <v>1060</v>
      </c>
      <c r="D131">
        <v>130</v>
      </c>
      <c r="E131">
        <v>7000</v>
      </c>
      <c r="F131" t="s">
        <v>59</v>
      </c>
      <c r="G131">
        <v>7</v>
      </c>
      <c r="H131" t="s">
        <v>133</v>
      </c>
      <c r="I131">
        <v>9</v>
      </c>
      <c r="J131" s="54">
        <f t="shared" si="2"/>
        <v>7</v>
      </c>
    </row>
    <row r="132" spans="1:10">
      <c r="A132" s="43">
        <v>42887</v>
      </c>
      <c r="B132">
        <v>2010</v>
      </c>
      <c r="C132">
        <v>1060</v>
      </c>
      <c r="D132">
        <v>131</v>
      </c>
      <c r="E132">
        <v>6500</v>
      </c>
      <c r="F132" t="s">
        <v>59</v>
      </c>
      <c r="G132">
        <v>9</v>
      </c>
      <c r="H132" t="s">
        <v>133</v>
      </c>
      <c r="I132">
        <v>9</v>
      </c>
      <c r="J132" s="54">
        <f t="shared" si="2"/>
        <v>9</v>
      </c>
    </row>
    <row r="133" spans="1:10">
      <c r="A133" s="43">
        <v>42826</v>
      </c>
      <c r="B133">
        <v>2010</v>
      </c>
      <c r="C133">
        <v>1060</v>
      </c>
      <c r="D133">
        <v>132</v>
      </c>
      <c r="E133">
        <v>6500</v>
      </c>
      <c r="F133" t="s">
        <v>59</v>
      </c>
      <c r="G133">
        <v>6</v>
      </c>
      <c r="H133" t="s">
        <v>133</v>
      </c>
      <c r="I133">
        <v>9</v>
      </c>
      <c r="J133" s="54">
        <f t="shared" si="2"/>
        <v>6</v>
      </c>
    </row>
    <row r="134" spans="1:10">
      <c r="A134" s="43">
        <v>42606</v>
      </c>
      <c r="B134">
        <v>2009</v>
      </c>
      <c r="C134">
        <v>1060</v>
      </c>
      <c r="D134">
        <v>133</v>
      </c>
      <c r="E134">
        <v>6750</v>
      </c>
      <c r="F134" t="s">
        <v>59</v>
      </c>
      <c r="G134">
        <v>5</v>
      </c>
      <c r="H134" t="s">
        <v>133</v>
      </c>
      <c r="I134">
        <v>10</v>
      </c>
      <c r="J134" s="54">
        <f t="shared" si="2"/>
        <v>5</v>
      </c>
    </row>
    <row r="135" spans="1:10">
      <c r="A135" s="43">
        <v>42510</v>
      </c>
      <c r="B135">
        <v>2009</v>
      </c>
      <c r="C135">
        <v>1060</v>
      </c>
      <c r="D135">
        <v>134</v>
      </c>
      <c r="E135">
        <v>6600</v>
      </c>
      <c r="F135" t="s">
        <v>59</v>
      </c>
      <c r="G135">
        <v>3</v>
      </c>
      <c r="H135" t="s">
        <v>133</v>
      </c>
      <c r="I135">
        <v>10</v>
      </c>
      <c r="J135" s="54">
        <f t="shared" si="2"/>
        <v>3</v>
      </c>
    </row>
    <row r="136" spans="1:10">
      <c r="A136" s="43">
        <v>42425</v>
      </c>
      <c r="B136">
        <v>2009</v>
      </c>
      <c r="C136">
        <v>1060</v>
      </c>
      <c r="D136">
        <v>135</v>
      </c>
      <c r="E136">
        <v>7000</v>
      </c>
      <c r="F136" t="s">
        <v>59</v>
      </c>
      <c r="G136">
        <v>8</v>
      </c>
      <c r="H136" t="s">
        <v>133</v>
      </c>
      <c r="I136">
        <v>10</v>
      </c>
      <c r="J136" s="54">
        <f t="shared" si="2"/>
        <v>8</v>
      </c>
    </row>
    <row r="137" spans="1:10">
      <c r="A137" s="43">
        <v>43598</v>
      </c>
      <c r="B137">
        <v>2006</v>
      </c>
      <c r="C137">
        <v>1061</v>
      </c>
      <c r="D137">
        <v>136</v>
      </c>
      <c r="E137">
        <v>7500</v>
      </c>
      <c r="F137" t="s">
        <v>59</v>
      </c>
      <c r="G137">
        <v>6</v>
      </c>
      <c r="H137" t="s">
        <v>133</v>
      </c>
      <c r="I137">
        <v>13</v>
      </c>
      <c r="J137" s="54">
        <f t="shared" si="2"/>
        <v>6</v>
      </c>
    </row>
    <row r="138" spans="1:10">
      <c r="A138" s="43">
        <v>43598</v>
      </c>
      <c r="B138">
        <v>2007</v>
      </c>
      <c r="C138">
        <v>1061</v>
      </c>
      <c r="D138">
        <v>137</v>
      </c>
      <c r="E138">
        <v>7500</v>
      </c>
      <c r="F138" t="s">
        <v>59</v>
      </c>
      <c r="G138">
        <v>5</v>
      </c>
      <c r="H138" t="s">
        <v>133</v>
      </c>
      <c r="I138">
        <v>12</v>
      </c>
      <c r="J138" s="54">
        <f t="shared" si="2"/>
        <v>5</v>
      </c>
    </row>
    <row r="139" spans="1:10">
      <c r="A139" s="43">
        <v>43559</v>
      </c>
      <c r="B139">
        <v>2007</v>
      </c>
      <c r="C139">
        <v>1061</v>
      </c>
      <c r="D139">
        <v>138</v>
      </c>
      <c r="E139">
        <v>7500</v>
      </c>
      <c r="F139" t="s">
        <v>59</v>
      </c>
      <c r="G139">
        <v>8</v>
      </c>
      <c r="H139" t="s">
        <v>133</v>
      </c>
      <c r="I139">
        <v>12</v>
      </c>
      <c r="J139" s="54">
        <f t="shared" si="2"/>
        <v>8</v>
      </c>
    </row>
    <row r="140" spans="1:10">
      <c r="A140" s="43">
        <v>43537</v>
      </c>
      <c r="B140">
        <v>2007</v>
      </c>
      <c r="C140">
        <v>1061</v>
      </c>
      <c r="D140">
        <v>139</v>
      </c>
      <c r="E140">
        <v>7500</v>
      </c>
      <c r="F140" t="s">
        <v>59</v>
      </c>
      <c r="G140">
        <v>2</v>
      </c>
      <c r="H140" t="s">
        <v>133</v>
      </c>
      <c r="I140">
        <v>12</v>
      </c>
      <c r="J140" s="54">
        <f t="shared" si="2"/>
        <v>2</v>
      </c>
    </row>
    <row r="141" spans="1:10">
      <c r="A141" s="43">
        <v>43501</v>
      </c>
      <c r="B141">
        <v>2007</v>
      </c>
      <c r="C141">
        <v>1061</v>
      </c>
      <c r="D141">
        <v>140</v>
      </c>
      <c r="E141">
        <v>7000</v>
      </c>
      <c r="F141" t="s">
        <v>59</v>
      </c>
      <c r="G141">
        <v>9</v>
      </c>
      <c r="H141" t="s">
        <v>133</v>
      </c>
      <c r="I141">
        <v>12</v>
      </c>
      <c r="J141" s="54">
        <f t="shared" si="2"/>
        <v>9</v>
      </c>
    </row>
    <row r="142" spans="1:10">
      <c r="A142" s="43">
        <v>43405</v>
      </c>
      <c r="B142">
        <v>2006</v>
      </c>
      <c r="C142">
        <v>1061</v>
      </c>
      <c r="D142">
        <v>141</v>
      </c>
      <c r="E142">
        <v>8200</v>
      </c>
      <c r="F142" t="s">
        <v>59</v>
      </c>
      <c r="G142">
        <v>11</v>
      </c>
      <c r="H142" t="s">
        <v>133</v>
      </c>
      <c r="I142">
        <v>13</v>
      </c>
      <c r="J142" s="54">
        <f t="shared" si="2"/>
        <v>11</v>
      </c>
    </row>
    <row r="143" spans="1:10">
      <c r="A143" s="43">
        <v>43405</v>
      </c>
      <c r="B143">
        <v>2007</v>
      </c>
      <c r="C143">
        <v>1061</v>
      </c>
      <c r="D143">
        <v>142</v>
      </c>
      <c r="E143">
        <v>8000</v>
      </c>
      <c r="F143" t="s">
        <v>59</v>
      </c>
      <c r="G143">
        <v>4</v>
      </c>
      <c r="H143" t="s">
        <v>133</v>
      </c>
      <c r="I143">
        <v>12</v>
      </c>
      <c r="J143" s="54">
        <f t="shared" si="2"/>
        <v>4</v>
      </c>
    </row>
    <row r="144" spans="1:10">
      <c r="A144" s="43">
        <v>43355</v>
      </c>
      <c r="B144">
        <v>2007</v>
      </c>
      <c r="C144">
        <v>1061</v>
      </c>
      <c r="D144">
        <v>143</v>
      </c>
      <c r="E144">
        <v>8500</v>
      </c>
      <c r="F144" t="s">
        <v>59</v>
      </c>
      <c r="G144">
        <v>3</v>
      </c>
      <c r="H144" t="s">
        <v>133</v>
      </c>
      <c r="I144">
        <v>12</v>
      </c>
      <c r="J144" s="54">
        <f t="shared" si="2"/>
        <v>3</v>
      </c>
    </row>
    <row r="145" spans="1:10">
      <c r="A145" s="43">
        <v>43327</v>
      </c>
      <c r="B145">
        <v>2006</v>
      </c>
      <c r="C145">
        <v>1061</v>
      </c>
      <c r="D145">
        <v>144</v>
      </c>
      <c r="E145">
        <v>8900</v>
      </c>
      <c r="F145" t="s">
        <v>59</v>
      </c>
      <c r="G145">
        <v>9</v>
      </c>
      <c r="H145" t="s">
        <v>133</v>
      </c>
      <c r="I145">
        <v>13</v>
      </c>
      <c r="J145" s="54">
        <f t="shared" si="2"/>
        <v>9</v>
      </c>
    </row>
    <row r="146" spans="1:10">
      <c r="A146" s="43">
        <v>43327</v>
      </c>
      <c r="B146">
        <v>2007</v>
      </c>
      <c r="C146">
        <v>1061</v>
      </c>
      <c r="D146">
        <v>145</v>
      </c>
      <c r="E146">
        <v>7850</v>
      </c>
      <c r="F146" t="s">
        <v>59</v>
      </c>
      <c r="G146">
        <v>9</v>
      </c>
      <c r="H146" t="s">
        <v>133</v>
      </c>
      <c r="I146">
        <v>12</v>
      </c>
      <c r="J146" s="54">
        <f t="shared" si="2"/>
        <v>9</v>
      </c>
    </row>
    <row r="147" spans="1:10">
      <c r="A147" s="43">
        <v>43301</v>
      </c>
      <c r="B147">
        <v>2006</v>
      </c>
      <c r="C147">
        <v>1061</v>
      </c>
      <c r="D147">
        <v>146</v>
      </c>
      <c r="E147">
        <v>8500</v>
      </c>
      <c r="F147" t="s">
        <v>59</v>
      </c>
      <c r="G147">
        <v>4</v>
      </c>
      <c r="H147" t="s">
        <v>133</v>
      </c>
      <c r="I147">
        <v>13</v>
      </c>
      <c r="J147" s="54">
        <f t="shared" si="2"/>
        <v>4</v>
      </c>
    </row>
    <row r="148" spans="1:10">
      <c r="A148" s="43">
        <v>43245</v>
      </c>
      <c r="B148">
        <v>2007</v>
      </c>
      <c r="C148">
        <v>1061</v>
      </c>
      <c r="D148">
        <v>147</v>
      </c>
      <c r="E148">
        <v>9400</v>
      </c>
      <c r="F148" t="s">
        <v>59</v>
      </c>
      <c r="G148">
        <v>4</v>
      </c>
      <c r="H148" t="s">
        <v>133</v>
      </c>
      <c r="I148">
        <v>12</v>
      </c>
      <c r="J148" s="54">
        <f t="shared" si="2"/>
        <v>4</v>
      </c>
    </row>
    <row r="149" spans="1:10">
      <c r="A149" s="43">
        <v>43224</v>
      </c>
      <c r="B149">
        <v>2007</v>
      </c>
      <c r="C149">
        <v>1061</v>
      </c>
      <c r="D149">
        <v>148</v>
      </c>
      <c r="E149">
        <v>9000</v>
      </c>
      <c r="F149" t="s">
        <v>59</v>
      </c>
      <c r="G149">
        <v>6</v>
      </c>
      <c r="H149" t="s">
        <v>133</v>
      </c>
      <c r="I149">
        <v>12</v>
      </c>
      <c r="J149" s="54">
        <f t="shared" si="2"/>
        <v>6</v>
      </c>
    </row>
    <row r="150" spans="1:10">
      <c r="A150" s="43">
        <v>43221</v>
      </c>
      <c r="B150">
        <v>2006</v>
      </c>
      <c r="C150">
        <v>1061</v>
      </c>
      <c r="D150">
        <v>149</v>
      </c>
      <c r="E150">
        <v>9300</v>
      </c>
      <c r="F150" t="s">
        <v>59</v>
      </c>
      <c r="G150">
        <v>6</v>
      </c>
      <c r="H150" t="s">
        <v>133</v>
      </c>
      <c r="I150">
        <v>13</v>
      </c>
      <c r="J150" s="54">
        <f t="shared" si="2"/>
        <v>6</v>
      </c>
    </row>
    <row r="151" spans="1:10">
      <c r="A151" s="43">
        <v>43215</v>
      </c>
      <c r="B151">
        <v>2008</v>
      </c>
      <c r="C151">
        <v>1061</v>
      </c>
      <c r="D151">
        <v>150</v>
      </c>
      <c r="E151">
        <v>10250</v>
      </c>
      <c r="F151" t="s">
        <v>59</v>
      </c>
      <c r="G151">
        <v>12</v>
      </c>
      <c r="H151" t="s">
        <v>133</v>
      </c>
      <c r="I151">
        <v>11</v>
      </c>
      <c r="J151" s="54">
        <f t="shared" si="2"/>
        <v>12</v>
      </c>
    </row>
    <row r="152" spans="1:10">
      <c r="A152" s="43">
        <v>43206</v>
      </c>
      <c r="B152">
        <v>2007</v>
      </c>
      <c r="C152">
        <v>1061</v>
      </c>
      <c r="D152">
        <v>151</v>
      </c>
      <c r="E152">
        <v>8800</v>
      </c>
      <c r="F152" t="s">
        <v>59</v>
      </c>
      <c r="G152">
        <v>7</v>
      </c>
      <c r="H152" t="s">
        <v>133</v>
      </c>
      <c r="I152">
        <v>12</v>
      </c>
      <c r="J152" s="54">
        <f t="shared" si="2"/>
        <v>7</v>
      </c>
    </row>
    <row r="153" spans="1:10">
      <c r="A153" s="43">
        <v>43205</v>
      </c>
      <c r="B153">
        <v>2006</v>
      </c>
      <c r="C153">
        <v>1061</v>
      </c>
      <c r="D153">
        <v>152</v>
      </c>
      <c r="E153">
        <v>9150</v>
      </c>
      <c r="F153" t="s">
        <v>59</v>
      </c>
      <c r="G153">
        <v>2</v>
      </c>
      <c r="H153" t="s">
        <v>133</v>
      </c>
      <c r="I153">
        <v>13</v>
      </c>
      <c r="J153" s="54">
        <f t="shared" si="2"/>
        <v>2</v>
      </c>
    </row>
    <row r="154" spans="1:10">
      <c r="A154" s="43">
        <v>43202</v>
      </c>
      <c r="B154">
        <v>2008</v>
      </c>
      <c r="C154">
        <v>1061</v>
      </c>
      <c r="D154">
        <v>153</v>
      </c>
      <c r="E154">
        <v>10250</v>
      </c>
      <c r="F154" t="s">
        <v>59</v>
      </c>
      <c r="G154">
        <v>12</v>
      </c>
      <c r="H154" t="s">
        <v>133</v>
      </c>
      <c r="I154">
        <v>11</v>
      </c>
      <c r="J154" s="54">
        <f t="shared" si="2"/>
        <v>12</v>
      </c>
    </row>
    <row r="155" spans="1:10">
      <c r="A155" s="43">
        <v>43202</v>
      </c>
      <c r="B155">
        <v>2007</v>
      </c>
      <c r="C155">
        <v>1061</v>
      </c>
      <c r="D155">
        <v>154</v>
      </c>
      <c r="E155">
        <v>8950</v>
      </c>
      <c r="F155" t="s">
        <v>59</v>
      </c>
      <c r="G155">
        <v>7</v>
      </c>
      <c r="H155" t="s">
        <v>133</v>
      </c>
      <c r="I155">
        <v>12</v>
      </c>
      <c r="J155" s="54">
        <f t="shared" si="2"/>
        <v>7</v>
      </c>
    </row>
    <row r="156" spans="1:10">
      <c r="A156" s="43">
        <v>43179</v>
      </c>
      <c r="B156">
        <v>2006</v>
      </c>
      <c r="C156">
        <v>1061</v>
      </c>
      <c r="D156">
        <v>155</v>
      </c>
      <c r="E156">
        <v>8500</v>
      </c>
      <c r="F156" t="s">
        <v>59</v>
      </c>
      <c r="G156">
        <v>5</v>
      </c>
      <c r="H156" t="s">
        <v>133</v>
      </c>
      <c r="I156">
        <v>13</v>
      </c>
      <c r="J156" s="54">
        <f t="shared" si="2"/>
        <v>5</v>
      </c>
    </row>
    <row r="157" spans="1:10">
      <c r="A157" s="43">
        <v>43059</v>
      </c>
      <c r="B157">
        <v>2006</v>
      </c>
      <c r="C157">
        <v>1061</v>
      </c>
      <c r="D157">
        <v>156</v>
      </c>
      <c r="E157">
        <v>7400</v>
      </c>
      <c r="F157" t="s">
        <v>59</v>
      </c>
      <c r="G157">
        <v>5</v>
      </c>
      <c r="H157" t="s">
        <v>133</v>
      </c>
      <c r="I157">
        <v>13</v>
      </c>
      <c r="J157" s="54">
        <f t="shared" si="2"/>
        <v>5</v>
      </c>
    </row>
    <row r="158" spans="1:10">
      <c r="A158" s="43">
        <v>43054</v>
      </c>
      <c r="B158">
        <v>2006</v>
      </c>
      <c r="C158">
        <v>1061</v>
      </c>
      <c r="D158">
        <v>157</v>
      </c>
      <c r="E158">
        <v>7450</v>
      </c>
      <c r="F158" t="s">
        <v>59</v>
      </c>
      <c r="G158">
        <v>120</v>
      </c>
      <c r="H158" t="s">
        <v>60</v>
      </c>
      <c r="I158">
        <v>13</v>
      </c>
      <c r="J158" s="54">
        <f t="shared" si="2"/>
        <v>4</v>
      </c>
    </row>
    <row r="159" spans="1:10">
      <c r="A159" s="43">
        <v>43049</v>
      </c>
      <c r="B159">
        <v>2007</v>
      </c>
      <c r="C159">
        <v>1061</v>
      </c>
      <c r="D159">
        <v>158</v>
      </c>
      <c r="E159">
        <v>8100</v>
      </c>
      <c r="F159" t="s">
        <v>59</v>
      </c>
      <c r="G159">
        <v>5</v>
      </c>
      <c r="H159" t="s">
        <v>133</v>
      </c>
      <c r="I159">
        <v>12</v>
      </c>
      <c r="J159" s="54">
        <f t="shared" si="2"/>
        <v>5</v>
      </c>
    </row>
    <row r="160" spans="1:10">
      <c r="A160" s="43">
        <v>43017</v>
      </c>
      <c r="B160">
        <v>2007</v>
      </c>
      <c r="C160">
        <v>1061</v>
      </c>
      <c r="D160">
        <v>159</v>
      </c>
      <c r="E160">
        <v>6950</v>
      </c>
      <c r="F160" t="s">
        <v>59</v>
      </c>
      <c r="G160">
        <v>5</v>
      </c>
      <c r="H160" t="s">
        <v>133</v>
      </c>
      <c r="I160">
        <v>12</v>
      </c>
      <c r="J160" s="54">
        <f t="shared" si="2"/>
        <v>5</v>
      </c>
    </row>
    <row r="161" spans="1:10">
      <c r="A161" s="43">
        <v>43005</v>
      </c>
      <c r="B161">
        <v>2006</v>
      </c>
      <c r="C161">
        <v>1061</v>
      </c>
      <c r="D161">
        <v>160</v>
      </c>
      <c r="E161">
        <v>6850</v>
      </c>
      <c r="F161" t="s">
        <v>59</v>
      </c>
      <c r="G161">
        <v>3</v>
      </c>
      <c r="H161" t="s">
        <v>133</v>
      </c>
      <c r="I161">
        <v>13</v>
      </c>
      <c r="J161" s="54">
        <f t="shared" si="2"/>
        <v>3</v>
      </c>
    </row>
    <row r="162" spans="1:10">
      <c r="A162" s="43">
        <v>42977</v>
      </c>
      <c r="B162">
        <v>2007</v>
      </c>
      <c r="C162">
        <v>1061</v>
      </c>
      <c r="D162">
        <v>161</v>
      </c>
      <c r="E162">
        <v>7000</v>
      </c>
      <c r="F162" t="s">
        <v>59</v>
      </c>
      <c r="G162">
        <v>8</v>
      </c>
      <c r="H162" t="s">
        <v>133</v>
      </c>
      <c r="I162">
        <v>12</v>
      </c>
      <c r="J162" s="54">
        <f t="shared" si="2"/>
        <v>8</v>
      </c>
    </row>
    <row r="163" spans="1:10">
      <c r="A163" s="43">
        <v>42962</v>
      </c>
      <c r="B163">
        <v>2008</v>
      </c>
      <c r="C163">
        <v>1061</v>
      </c>
      <c r="D163">
        <v>162</v>
      </c>
      <c r="E163">
        <v>6800</v>
      </c>
      <c r="F163" t="s">
        <v>59</v>
      </c>
      <c r="G163">
        <v>8</v>
      </c>
      <c r="H163" t="s">
        <v>133</v>
      </c>
      <c r="I163">
        <v>11</v>
      </c>
      <c r="J163" s="54">
        <f t="shared" si="2"/>
        <v>8</v>
      </c>
    </row>
    <row r="164" spans="1:10">
      <c r="A164" s="43">
        <v>42920</v>
      </c>
      <c r="B164">
        <v>2007</v>
      </c>
      <c r="C164">
        <v>1061</v>
      </c>
      <c r="D164">
        <v>163</v>
      </c>
      <c r="E164">
        <v>6950</v>
      </c>
      <c r="F164" t="s">
        <v>59</v>
      </c>
      <c r="G164">
        <v>1</v>
      </c>
      <c r="H164" t="s">
        <v>133</v>
      </c>
      <c r="I164">
        <v>12</v>
      </c>
      <c r="J164" s="54">
        <f t="shared" si="2"/>
        <v>1</v>
      </c>
    </row>
    <row r="165" spans="1:10">
      <c r="A165" s="43">
        <v>42887</v>
      </c>
      <c r="B165">
        <v>2006</v>
      </c>
      <c r="C165">
        <v>1061</v>
      </c>
      <c r="D165">
        <v>164</v>
      </c>
      <c r="E165">
        <v>7250</v>
      </c>
      <c r="F165" t="s">
        <v>59</v>
      </c>
      <c r="G165">
        <v>4</v>
      </c>
      <c r="H165" t="s">
        <v>133</v>
      </c>
      <c r="I165">
        <v>13</v>
      </c>
      <c r="J165" s="54">
        <f t="shared" si="2"/>
        <v>4</v>
      </c>
    </row>
    <row r="166" spans="1:10">
      <c r="A166" s="43">
        <v>42884</v>
      </c>
      <c r="B166">
        <v>2006</v>
      </c>
      <c r="C166">
        <v>1061</v>
      </c>
      <c r="D166">
        <v>165</v>
      </c>
      <c r="E166">
        <v>7250</v>
      </c>
      <c r="F166" t="s">
        <v>59</v>
      </c>
      <c r="G166">
        <v>4</v>
      </c>
      <c r="H166" t="s">
        <v>133</v>
      </c>
      <c r="I166">
        <v>13</v>
      </c>
      <c r="J166" s="54">
        <f t="shared" si="2"/>
        <v>4</v>
      </c>
    </row>
    <row r="167" spans="1:10">
      <c r="A167" s="43">
        <v>42860</v>
      </c>
      <c r="B167">
        <v>2007</v>
      </c>
      <c r="C167">
        <v>1061</v>
      </c>
      <c r="D167">
        <v>166</v>
      </c>
      <c r="E167">
        <v>7150</v>
      </c>
      <c r="F167" t="s">
        <v>59</v>
      </c>
      <c r="G167">
        <v>6</v>
      </c>
      <c r="H167" t="s">
        <v>133</v>
      </c>
      <c r="I167">
        <v>12</v>
      </c>
      <c r="J167" s="54">
        <f t="shared" si="2"/>
        <v>6</v>
      </c>
    </row>
    <row r="168" spans="1:10">
      <c r="A168" s="43">
        <v>42838</v>
      </c>
      <c r="B168">
        <v>2007</v>
      </c>
      <c r="C168">
        <v>1061</v>
      </c>
      <c r="D168">
        <v>167</v>
      </c>
      <c r="E168">
        <v>7300</v>
      </c>
      <c r="F168" t="s">
        <v>59</v>
      </c>
      <c r="G168">
        <v>6</v>
      </c>
      <c r="H168" t="s">
        <v>133</v>
      </c>
      <c r="I168">
        <v>12</v>
      </c>
      <c r="J168" s="54">
        <f t="shared" si="2"/>
        <v>6</v>
      </c>
    </row>
    <row r="169" spans="1:10">
      <c r="A169" s="43">
        <v>42828</v>
      </c>
      <c r="B169">
        <v>2008</v>
      </c>
      <c r="C169">
        <v>1061</v>
      </c>
      <c r="D169">
        <v>168</v>
      </c>
      <c r="E169">
        <v>6950</v>
      </c>
      <c r="F169" t="s">
        <v>59</v>
      </c>
      <c r="G169">
        <v>5</v>
      </c>
      <c r="H169" t="s">
        <v>133</v>
      </c>
      <c r="I169">
        <v>11</v>
      </c>
      <c r="J169" s="54">
        <f t="shared" si="2"/>
        <v>5</v>
      </c>
    </row>
    <row r="170" spans="1:10">
      <c r="A170" s="43">
        <v>42795</v>
      </c>
      <c r="B170">
        <v>2007</v>
      </c>
      <c r="C170">
        <v>1061</v>
      </c>
      <c r="D170">
        <v>169</v>
      </c>
      <c r="E170">
        <v>7300</v>
      </c>
      <c r="F170" t="s">
        <v>59</v>
      </c>
      <c r="G170">
        <v>3</v>
      </c>
      <c r="H170" t="s">
        <v>133</v>
      </c>
      <c r="I170">
        <v>12</v>
      </c>
      <c r="J170" s="54">
        <f t="shared" si="2"/>
        <v>3</v>
      </c>
    </row>
    <row r="171" spans="1:10">
      <c r="A171" s="43">
        <v>42795</v>
      </c>
      <c r="B171">
        <v>2007</v>
      </c>
      <c r="C171">
        <v>1061</v>
      </c>
      <c r="D171">
        <v>170</v>
      </c>
      <c r="E171">
        <v>7200</v>
      </c>
      <c r="F171" t="s">
        <v>59</v>
      </c>
      <c r="G171">
        <v>12</v>
      </c>
      <c r="H171" t="s">
        <v>133</v>
      </c>
      <c r="I171">
        <v>12</v>
      </c>
      <c r="J171" s="54">
        <f t="shared" si="2"/>
        <v>12</v>
      </c>
    </row>
    <row r="172" spans="1:10">
      <c r="A172" s="43">
        <v>42786</v>
      </c>
      <c r="B172">
        <v>2006</v>
      </c>
      <c r="C172">
        <v>1061</v>
      </c>
      <c r="D172">
        <v>171</v>
      </c>
      <c r="E172">
        <v>7200</v>
      </c>
      <c r="F172" t="s">
        <v>59</v>
      </c>
      <c r="G172">
        <v>6</v>
      </c>
      <c r="H172" t="s">
        <v>133</v>
      </c>
      <c r="I172">
        <v>13</v>
      </c>
      <c r="J172" s="54">
        <f t="shared" si="2"/>
        <v>6</v>
      </c>
    </row>
    <row r="173" spans="1:10">
      <c r="A173" s="43">
        <v>42752</v>
      </c>
      <c r="B173">
        <v>2006</v>
      </c>
      <c r="C173">
        <v>1061</v>
      </c>
      <c r="D173">
        <v>172</v>
      </c>
      <c r="E173">
        <v>6250</v>
      </c>
      <c r="F173" t="s">
        <v>59</v>
      </c>
      <c r="G173">
        <v>3.5</v>
      </c>
      <c r="H173" t="s">
        <v>133</v>
      </c>
      <c r="I173">
        <v>13</v>
      </c>
      <c r="J173" s="54">
        <f t="shared" si="2"/>
        <v>3.5</v>
      </c>
    </row>
    <row r="174" spans="1:10">
      <c r="A174" s="43">
        <v>42747</v>
      </c>
      <c r="B174">
        <v>2007</v>
      </c>
      <c r="C174">
        <v>1061</v>
      </c>
      <c r="D174">
        <v>173</v>
      </c>
      <c r="E174">
        <v>7300</v>
      </c>
      <c r="F174" t="s">
        <v>59</v>
      </c>
      <c r="G174">
        <v>12</v>
      </c>
      <c r="H174" t="s">
        <v>133</v>
      </c>
      <c r="I174">
        <v>12</v>
      </c>
      <c r="J174" s="54">
        <f t="shared" si="2"/>
        <v>12</v>
      </c>
    </row>
    <row r="175" spans="1:10">
      <c r="A175" s="43">
        <v>42657</v>
      </c>
      <c r="B175">
        <v>2007</v>
      </c>
      <c r="C175">
        <v>1061</v>
      </c>
      <c r="D175">
        <v>174</v>
      </c>
      <c r="E175">
        <v>7300</v>
      </c>
      <c r="F175" t="s">
        <v>59</v>
      </c>
      <c r="G175">
        <v>5</v>
      </c>
      <c r="H175" t="s">
        <v>133</v>
      </c>
      <c r="I175">
        <v>12</v>
      </c>
      <c r="J175" s="54">
        <f t="shared" si="2"/>
        <v>5</v>
      </c>
    </row>
    <row r="176" spans="1:10">
      <c r="A176" s="43">
        <v>42633</v>
      </c>
      <c r="B176">
        <v>2006</v>
      </c>
      <c r="C176">
        <v>1061</v>
      </c>
      <c r="D176">
        <v>175</v>
      </c>
      <c r="E176">
        <v>7000</v>
      </c>
      <c r="F176" t="s">
        <v>59</v>
      </c>
      <c r="G176">
        <v>6</v>
      </c>
      <c r="H176" t="s">
        <v>133</v>
      </c>
      <c r="I176">
        <v>13</v>
      </c>
      <c r="J176" s="54">
        <f t="shared" si="2"/>
        <v>6</v>
      </c>
    </row>
    <row r="177" spans="1:10">
      <c r="A177" s="43">
        <v>42559</v>
      </c>
      <c r="B177">
        <v>2007</v>
      </c>
      <c r="C177">
        <v>1061</v>
      </c>
      <c r="D177">
        <v>176</v>
      </c>
      <c r="E177">
        <v>7700</v>
      </c>
      <c r="F177" t="s">
        <v>59</v>
      </c>
      <c r="G177">
        <v>8</v>
      </c>
      <c r="H177" t="s">
        <v>133</v>
      </c>
      <c r="I177">
        <v>12</v>
      </c>
      <c r="J177" s="54">
        <f t="shared" si="2"/>
        <v>8</v>
      </c>
    </row>
    <row r="178" spans="1:10">
      <c r="A178" s="43">
        <v>42520</v>
      </c>
      <c r="B178">
        <v>2008</v>
      </c>
      <c r="C178">
        <v>1061</v>
      </c>
      <c r="D178">
        <v>177</v>
      </c>
      <c r="E178">
        <v>8150</v>
      </c>
      <c r="F178" t="s">
        <v>59</v>
      </c>
      <c r="G178">
        <v>11</v>
      </c>
      <c r="H178" t="s">
        <v>133</v>
      </c>
      <c r="I178">
        <v>11</v>
      </c>
      <c r="J178" s="54">
        <f t="shared" si="2"/>
        <v>11</v>
      </c>
    </row>
    <row r="179" spans="1:10">
      <c r="A179" s="43">
        <v>42515</v>
      </c>
      <c r="B179">
        <v>2007</v>
      </c>
      <c r="C179">
        <v>1061</v>
      </c>
      <c r="D179">
        <v>178</v>
      </c>
      <c r="E179">
        <v>7500</v>
      </c>
      <c r="F179" t="s">
        <v>59</v>
      </c>
      <c r="G179">
        <v>4</v>
      </c>
      <c r="H179" t="s">
        <v>133</v>
      </c>
      <c r="I179">
        <v>12</v>
      </c>
      <c r="J179" s="54">
        <f t="shared" si="2"/>
        <v>4</v>
      </c>
    </row>
    <row r="180" spans="1:10">
      <c r="A180" s="43">
        <v>42500</v>
      </c>
      <c r="B180">
        <v>2006</v>
      </c>
      <c r="C180">
        <v>1061</v>
      </c>
      <c r="D180">
        <v>179</v>
      </c>
      <c r="E180">
        <v>7600</v>
      </c>
      <c r="F180" t="s">
        <v>59</v>
      </c>
      <c r="G180">
        <v>4</v>
      </c>
      <c r="H180" t="s">
        <v>133</v>
      </c>
      <c r="I180">
        <v>13</v>
      </c>
      <c r="J180" s="54">
        <f t="shared" si="2"/>
        <v>4</v>
      </c>
    </row>
    <row r="181" spans="1:10">
      <c r="A181" s="43">
        <v>42494</v>
      </c>
      <c r="B181">
        <v>2006</v>
      </c>
      <c r="C181">
        <v>1061</v>
      </c>
      <c r="D181">
        <v>180</v>
      </c>
      <c r="E181">
        <v>7600</v>
      </c>
      <c r="F181" t="s">
        <v>59</v>
      </c>
      <c r="G181">
        <v>5</v>
      </c>
      <c r="H181" t="s">
        <v>133</v>
      </c>
      <c r="I181">
        <v>13</v>
      </c>
      <c r="J181" s="54">
        <f t="shared" si="2"/>
        <v>5</v>
      </c>
    </row>
    <row r="182" spans="1:10">
      <c r="A182" s="43">
        <v>42480</v>
      </c>
      <c r="B182">
        <v>2006</v>
      </c>
      <c r="C182">
        <v>1061</v>
      </c>
      <c r="D182">
        <v>181</v>
      </c>
      <c r="E182">
        <v>8100</v>
      </c>
      <c r="F182" t="s">
        <v>59</v>
      </c>
      <c r="G182">
        <v>4</v>
      </c>
      <c r="H182" t="s">
        <v>133</v>
      </c>
      <c r="I182">
        <v>13</v>
      </c>
      <c r="J182" s="54">
        <f t="shared" si="2"/>
        <v>4</v>
      </c>
    </row>
    <row r="183" spans="1:10">
      <c r="A183" s="43">
        <v>42478</v>
      </c>
      <c r="B183">
        <v>2007</v>
      </c>
      <c r="C183">
        <v>1061</v>
      </c>
      <c r="D183">
        <v>182</v>
      </c>
      <c r="E183">
        <v>8400</v>
      </c>
      <c r="F183" t="s">
        <v>59</v>
      </c>
      <c r="G183">
        <v>5</v>
      </c>
      <c r="H183" t="s">
        <v>133</v>
      </c>
      <c r="I183">
        <v>12</v>
      </c>
      <c r="J183" s="54">
        <f t="shared" si="2"/>
        <v>5</v>
      </c>
    </row>
    <row r="184" spans="1:10">
      <c r="A184" s="43">
        <v>42459</v>
      </c>
      <c r="B184">
        <v>2007</v>
      </c>
      <c r="C184">
        <v>1061</v>
      </c>
      <c r="D184">
        <v>183</v>
      </c>
      <c r="E184">
        <v>8000</v>
      </c>
      <c r="F184" t="s">
        <v>59</v>
      </c>
      <c r="G184">
        <v>4</v>
      </c>
      <c r="H184" t="s">
        <v>133</v>
      </c>
      <c r="I184">
        <v>12</v>
      </c>
      <c r="J184" s="54">
        <f t="shared" si="2"/>
        <v>4</v>
      </c>
    </row>
    <row r="185" spans="1:10">
      <c r="A185" s="43">
        <v>42459</v>
      </c>
      <c r="B185">
        <v>2007</v>
      </c>
      <c r="C185">
        <v>1061</v>
      </c>
      <c r="D185">
        <v>184</v>
      </c>
      <c r="E185">
        <v>7700</v>
      </c>
      <c r="F185" t="s">
        <v>59</v>
      </c>
      <c r="G185">
        <v>3</v>
      </c>
      <c r="H185" t="s">
        <v>133</v>
      </c>
      <c r="I185">
        <v>12</v>
      </c>
      <c r="J185" s="54">
        <f t="shared" si="2"/>
        <v>3</v>
      </c>
    </row>
    <row r="186" spans="1:10">
      <c r="A186" s="43">
        <v>42459</v>
      </c>
      <c r="B186">
        <v>2006</v>
      </c>
      <c r="C186">
        <v>1061</v>
      </c>
      <c r="D186">
        <v>185</v>
      </c>
      <c r="E186">
        <v>7800</v>
      </c>
      <c r="F186" t="s">
        <v>59</v>
      </c>
      <c r="G186">
        <v>3</v>
      </c>
      <c r="H186" t="s">
        <v>133</v>
      </c>
      <c r="I186">
        <v>13</v>
      </c>
      <c r="J186" s="54">
        <f t="shared" si="2"/>
        <v>3</v>
      </c>
    </row>
    <row r="187" spans="1:10">
      <c r="A187" s="43">
        <v>42446</v>
      </c>
      <c r="B187">
        <v>2008</v>
      </c>
      <c r="C187">
        <v>1061</v>
      </c>
      <c r="D187">
        <v>186</v>
      </c>
      <c r="E187">
        <v>8550</v>
      </c>
      <c r="F187" t="s">
        <v>59</v>
      </c>
      <c r="G187">
        <v>6</v>
      </c>
      <c r="H187" t="s">
        <v>133</v>
      </c>
      <c r="I187">
        <v>11</v>
      </c>
      <c r="J187" s="54">
        <f t="shared" si="2"/>
        <v>6</v>
      </c>
    </row>
    <row r="188" spans="1:10">
      <c r="A188" s="43">
        <v>42420</v>
      </c>
      <c r="B188">
        <v>2006</v>
      </c>
      <c r="C188">
        <v>1061</v>
      </c>
      <c r="D188">
        <v>187</v>
      </c>
      <c r="E188">
        <v>7200</v>
      </c>
      <c r="F188" t="s">
        <v>59</v>
      </c>
      <c r="G188">
        <v>6</v>
      </c>
      <c r="H188" t="s">
        <v>133</v>
      </c>
      <c r="I188">
        <v>13</v>
      </c>
      <c r="J188" s="54">
        <f t="shared" si="2"/>
        <v>6</v>
      </c>
    </row>
    <row r="189" spans="1:10">
      <c r="A189" s="43">
        <v>42415</v>
      </c>
      <c r="B189">
        <v>2007</v>
      </c>
      <c r="C189">
        <v>1061</v>
      </c>
      <c r="D189">
        <v>188</v>
      </c>
      <c r="E189">
        <v>8100</v>
      </c>
      <c r="F189" t="s">
        <v>59</v>
      </c>
      <c r="G189">
        <v>7</v>
      </c>
      <c r="H189" t="s">
        <v>133</v>
      </c>
      <c r="I189">
        <v>12</v>
      </c>
      <c r="J189" s="54">
        <f t="shared" si="2"/>
        <v>7</v>
      </c>
    </row>
    <row r="190" spans="1:10">
      <c r="A190" s="43">
        <v>43367</v>
      </c>
      <c r="B190">
        <v>2006</v>
      </c>
      <c r="C190">
        <v>1080</v>
      </c>
      <c r="D190">
        <v>189</v>
      </c>
      <c r="E190">
        <v>6750</v>
      </c>
      <c r="F190" t="s">
        <v>59</v>
      </c>
      <c r="G190">
        <v>10</v>
      </c>
      <c r="H190" t="s">
        <v>133</v>
      </c>
      <c r="I190">
        <v>13</v>
      </c>
      <c r="J190" s="54">
        <f t="shared" si="2"/>
        <v>10</v>
      </c>
    </row>
    <row r="191" spans="1:10">
      <c r="A191" s="43">
        <v>43196</v>
      </c>
      <c r="B191">
        <v>2006</v>
      </c>
      <c r="C191">
        <v>1080</v>
      </c>
      <c r="D191">
        <v>190</v>
      </c>
      <c r="E191">
        <v>8300</v>
      </c>
      <c r="F191" t="s">
        <v>59</v>
      </c>
      <c r="G191">
        <v>6</v>
      </c>
      <c r="H191" t="s">
        <v>133</v>
      </c>
      <c r="I191">
        <v>13</v>
      </c>
      <c r="J191" s="54">
        <f t="shared" si="2"/>
        <v>6</v>
      </c>
    </row>
    <row r="192" spans="1:10">
      <c r="A192" s="43">
        <v>42984</v>
      </c>
      <c r="B192">
        <v>2006</v>
      </c>
      <c r="C192">
        <v>1080</v>
      </c>
      <c r="D192">
        <v>191</v>
      </c>
      <c r="E192">
        <v>6250</v>
      </c>
      <c r="F192" t="s">
        <v>59</v>
      </c>
      <c r="G192">
        <v>6</v>
      </c>
      <c r="H192" t="s">
        <v>133</v>
      </c>
      <c r="I192">
        <v>13</v>
      </c>
      <c r="J192" s="54">
        <f t="shared" si="2"/>
        <v>6</v>
      </c>
    </row>
    <row r="193" spans="1:10">
      <c r="A193" s="43">
        <v>42787</v>
      </c>
      <c r="B193">
        <v>2006</v>
      </c>
      <c r="C193">
        <v>1080</v>
      </c>
      <c r="D193">
        <v>192</v>
      </c>
      <c r="E193">
        <v>6000</v>
      </c>
      <c r="F193" t="s">
        <v>59</v>
      </c>
      <c r="G193">
        <v>7</v>
      </c>
      <c r="H193" t="s">
        <v>133</v>
      </c>
      <c r="I193">
        <v>13</v>
      </c>
      <c r="J193" s="54">
        <f t="shared" si="2"/>
        <v>7</v>
      </c>
    </row>
    <row r="194" spans="1:10">
      <c r="A194" s="43">
        <v>42587</v>
      </c>
      <c r="B194">
        <v>2006</v>
      </c>
      <c r="C194">
        <v>1080</v>
      </c>
      <c r="D194">
        <v>193</v>
      </c>
      <c r="E194">
        <v>7400</v>
      </c>
      <c r="F194" t="s">
        <v>59</v>
      </c>
      <c r="G194">
        <v>7</v>
      </c>
      <c r="H194" t="s">
        <v>133</v>
      </c>
      <c r="I194">
        <v>13</v>
      </c>
      <c r="J194" s="54">
        <f t="shared" ref="J194:J257" si="3">IF(H194="days",ROUND(G194/30,0),IF(H194="years",G194*12,G194))</f>
        <v>7</v>
      </c>
    </row>
    <row r="195" spans="1:10">
      <c r="A195" s="43">
        <v>42411</v>
      </c>
      <c r="B195">
        <v>2006</v>
      </c>
      <c r="C195">
        <v>1080</v>
      </c>
      <c r="D195">
        <v>194</v>
      </c>
      <c r="E195">
        <v>6950</v>
      </c>
      <c r="F195" t="s">
        <v>59</v>
      </c>
      <c r="G195">
        <v>9</v>
      </c>
      <c r="H195" t="s">
        <v>133</v>
      </c>
      <c r="I195">
        <v>13</v>
      </c>
      <c r="J195" s="54">
        <f t="shared" si="3"/>
        <v>9</v>
      </c>
    </row>
    <row r="196" spans="1:10">
      <c r="A196" s="43">
        <v>43327</v>
      </c>
      <c r="B196">
        <v>2010</v>
      </c>
      <c r="C196">
        <v>1085</v>
      </c>
      <c r="D196">
        <v>195</v>
      </c>
      <c r="E196">
        <v>8100</v>
      </c>
      <c r="F196" t="s">
        <v>59</v>
      </c>
      <c r="G196">
        <v>8</v>
      </c>
      <c r="H196" t="s">
        <v>133</v>
      </c>
      <c r="I196">
        <v>9</v>
      </c>
      <c r="J196" s="54">
        <f t="shared" si="3"/>
        <v>8</v>
      </c>
    </row>
    <row r="197" spans="1:10">
      <c r="A197" s="43">
        <v>42905</v>
      </c>
      <c r="B197">
        <v>2010</v>
      </c>
      <c r="C197">
        <v>1085</v>
      </c>
      <c r="D197">
        <v>196</v>
      </c>
      <c r="E197">
        <v>7800</v>
      </c>
      <c r="F197" t="s">
        <v>59</v>
      </c>
      <c r="G197">
        <v>30</v>
      </c>
      <c r="H197" t="s">
        <v>60</v>
      </c>
      <c r="I197">
        <v>9</v>
      </c>
      <c r="J197" s="54">
        <f t="shared" si="3"/>
        <v>1</v>
      </c>
    </row>
    <row r="198" spans="1:10">
      <c r="A198" s="43">
        <v>42472</v>
      </c>
      <c r="B198">
        <v>2010</v>
      </c>
      <c r="C198">
        <v>1085</v>
      </c>
      <c r="D198">
        <v>197</v>
      </c>
      <c r="E198">
        <v>7900</v>
      </c>
      <c r="F198" t="s">
        <v>59</v>
      </c>
      <c r="G198">
        <v>12</v>
      </c>
      <c r="H198" t="s">
        <v>133</v>
      </c>
      <c r="I198">
        <v>9</v>
      </c>
      <c r="J198" s="54">
        <f t="shared" si="3"/>
        <v>12</v>
      </c>
    </row>
    <row r="199" spans="1:10">
      <c r="A199" s="43">
        <v>43621</v>
      </c>
      <c r="B199">
        <v>2007</v>
      </c>
      <c r="C199">
        <v>1098</v>
      </c>
      <c r="D199">
        <v>198</v>
      </c>
      <c r="E199">
        <v>6200</v>
      </c>
      <c r="F199" t="s">
        <v>59</v>
      </c>
      <c r="G199">
        <v>4</v>
      </c>
      <c r="H199" t="s">
        <v>133</v>
      </c>
      <c r="I199">
        <v>12</v>
      </c>
      <c r="J199" s="54">
        <f t="shared" si="3"/>
        <v>4</v>
      </c>
    </row>
    <row r="200" spans="1:10">
      <c r="A200" s="43">
        <v>43361</v>
      </c>
      <c r="B200">
        <v>2007</v>
      </c>
      <c r="C200">
        <v>1098</v>
      </c>
      <c r="D200">
        <v>199</v>
      </c>
      <c r="E200">
        <v>6250</v>
      </c>
      <c r="F200" t="s">
        <v>59</v>
      </c>
      <c r="G200">
        <v>13</v>
      </c>
      <c r="H200" t="s">
        <v>133</v>
      </c>
      <c r="I200">
        <v>12</v>
      </c>
      <c r="J200" s="54">
        <f t="shared" si="3"/>
        <v>13</v>
      </c>
    </row>
    <row r="201" spans="1:10">
      <c r="A201" s="43">
        <v>42972</v>
      </c>
      <c r="B201">
        <v>2007</v>
      </c>
      <c r="C201">
        <v>1098</v>
      </c>
      <c r="D201">
        <v>200</v>
      </c>
      <c r="E201">
        <v>6150</v>
      </c>
      <c r="F201" t="s">
        <v>59</v>
      </c>
      <c r="G201">
        <v>12</v>
      </c>
      <c r="H201" t="s">
        <v>133</v>
      </c>
      <c r="I201">
        <v>12</v>
      </c>
      <c r="J201" s="54">
        <f t="shared" si="3"/>
        <v>12</v>
      </c>
    </row>
    <row r="202" spans="1:10">
      <c r="A202" s="43">
        <v>43609</v>
      </c>
      <c r="B202">
        <v>2007</v>
      </c>
      <c r="C202">
        <v>1100</v>
      </c>
      <c r="D202">
        <v>201</v>
      </c>
      <c r="E202">
        <v>7100</v>
      </c>
      <c r="F202" t="s">
        <v>59</v>
      </c>
      <c r="G202">
        <v>6</v>
      </c>
      <c r="H202" t="s">
        <v>133</v>
      </c>
      <c r="I202">
        <v>12</v>
      </c>
      <c r="J202" s="54">
        <f t="shared" si="3"/>
        <v>6</v>
      </c>
    </row>
    <row r="203" spans="1:10">
      <c r="A203" s="43">
        <v>43579</v>
      </c>
      <c r="B203">
        <v>2007</v>
      </c>
      <c r="C203">
        <v>1100</v>
      </c>
      <c r="D203">
        <v>202</v>
      </c>
      <c r="E203">
        <v>7000</v>
      </c>
      <c r="F203" t="s">
        <v>59</v>
      </c>
      <c r="G203">
        <v>12</v>
      </c>
      <c r="H203" t="s">
        <v>133</v>
      </c>
      <c r="I203">
        <v>12</v>
      </c>
      <c r="J203" s="54">
        <f t="shared" si="3"/>
        <v>12</v>
      </c>
    </row>
    <row r="204" spans="1:10">
      <c r="A204" s="43">
        <v>43494</v>
      </c>
      <c r="B204">
        <v>2008</v>
      </c>
      <c r="C204">
        <v>1100</v>
      </c>
      <c r="D204">
        <v>203</v>
      </c>
      <c r="E204">
        <v>6300</v>
      </c>
      <c r="F204" t="s">
        <v>59</v>
      </c>
      <c r="G204">
        <v>12</v>
      </c>
      <c r="H204" t="s">
        <v>133</v>
      </c>
      <c r="I204">
        <v>11</v>
      </c>
      <c r="J204" s="54">
        <f t="shared" si="3"/>
        <v>12</v>
      </c>
    </row>
    <row r="205" spans="1:10">
      <c r="A205" s="43">
        <v>43374</v>
      </c>
      <c r="B205">
        <v>2007</v>
      </c>
      <c r="C205">
        <v>1100</v>
      </c>
      <c r="D205">
        <v>204</v>
      </c>
      <c r="E205">
        <v>6600</v>
      </c>
      <c r="F205" t="s">
        <v>59</v>
      </c>
      <c r="G205">
        <v>7</v>
      </c>
      <c r="H205" t="s">
        <v>133</v>
      </c>
      <c r="I205">
        <v>12</v>
      </c>
      <c r="J205" s="54">
        <f t="shared" si="3"/>
        <v>7</v>
      </c>
    </row>
    <row r="206" spans="1:10">
      <c r="A206" s="43">
        <v>43290</v>
      </c>
      <c r="B206">
        <v>2008</v>
      </c>
      <c r="C206">
        <v>1100</v>
      </c>
      <c r="D206">
        <v>205</v>
      </c>
      <c r="E206">
        <v>7250</v>
      </c>
      <c r="F206" t="s">
        <v>59</v>
      </c>
      <c r="G206">
        <v>8</v>
      </c>
      <c r="H206" t="s">
        <v>133</v>
      </c>
      <c r="I206">
        <v>11</v>
      </c>
      <c r="J206" s="54">
        <f t="shared" si="3"/>
        <v>8</v>
      </c>
    </row>
    <row r="207" spans="1:10">
      <c r="A207" s="43">
        <v>43122</v>
      </c>
      <c r="B207">
        <v>2008</v>
      </c>
      <c r="C207">
        <v>1100</v>
      </c>
      <c r="D207">
        <v>206</v>
      </c>
      <c r="E207">
        <v>7200</v>
      </c>
      <c r="F207" t="s">
        <v>59</v>
      </c>
      <c r="G207">
        <v>42</v>
      </c>
      <c r="H207" t="s">
        <v>60</v>
      </c>
      <c r="I207">
        <v>11</v>
      </c>
      <c r="J207" s="54">
        <f t="shared" si="3"/>
        <v>1</v>
      </c>
    </row>
    <row r="208" spans="1:10">
      <c r="A208" s="43">
        <v>43070</v>
      </c>
      <c r="B208">
        <v>2007</v>
      </c>
      <c r="C208">
        <v>1100</v>
      </c>
      <c r="D208">
        <v>207</v>
      </c>
      <c r="E208">
        <v>7500</v>
      </c>
      <c r="F208" t="s">
        <v>59</v>
      </c>
      <c r="G208">
        <v>12</v>
      </c>
      <c r="H208" t="s">
        <v>133</v>
      </c>
      <c r="I208">
        <v>12</v>
      </c>
      <c r="J208" s="54">
        <f t="shared" si="3"/>
        <v>12</v>
      </c>
    </row>
    <row r="209" spans="1:10">
      <c r="A209" s="43">
        <v>43021</v>
      </c>
      <c r="B209">
        <v>2007</v>
      </c>
      <c r="C209">
        <v>1100</v>
      </c>
      <c r="D209">
        <v>208</v>
      </c>
      <c r="E209">
        <v>6600</v>
      </c>
      <c r="F209" t="s">
        <v>59</v>
      </c>
      <c r="G209">
        <v>12</v>
      </c>
      <c r="H209" t="s">
        <v>133</v>
      </c>
      <c r="I209">
        <v>12</v>
      </c>
      <c r="J209" s="54">
        <f t="shared" si="3"/>
        <v>12</v>
      </c>
    </row>
    <row r="210" spans="1:10">
      <c r="A210" s="43">
        <v>42826</v>
      </c>
      <c r="B210">
        <v>2008</v>
      </c>
      <c r="C210">
        <v>1100</v>
      </c>
      <c r="D210">
        <v>209</v>
      </c>
      <c r="E210">
        <v>5900</v>
      </c>
      <c r="F210" t="s">
        <v>59</v>
      </c>
      <c r="G210">
        <v>7</v>
      </c>
      <c r="H210" t="s">
        <v>133</v>
      </c>
      <c r="I210">
        <v>11</v>
      </c>
      <c r="J210" s="54">
        <f t="shared" si="3"/>
        <v>7</v>
      </c>
    </row>
    <row r="211" spans="1:10">
      <c r="A211" s="43">
        <v>42779</v>
      </c>
      <c r="B211">
        <v>2008</v>
      </c>
      <c r="C211">
        <v>1100</v>
      </c>
      <c r="D211">
        <v>210</v>
      </c>
      <c r="E211">
        <v>7000</v>
      </c>
      <c r="F211" t="s">
        <v>59</v>
      </c>
      <c r="G211">
        <v>30</v>
      </c>
      <c r="H211" t="s">
        <v>60</v>
      </c>
      <c r="I211">
        <v>11</v>
      </c>
      <c r="J211" s="54">
        <f t="shared" si="3"/>
        <v>1</v>
      </c>
    </row>
    <row r="212" spans="1:10">
      <c r="A212" s="43">
        <v>42643</v>
      </c>
      <c r="B212">
        <v>2008</v>
      </c>
      <c r="C212">
        <v>1100</v>
      </c>
      <c r="D212">
        <v>211</v>
      </c>
      <c r="E212">
        <v>6850</v>
      </c>
      <c r="F212" t="s">
        <v>59</v>
      </c>
      <c r="G212">
        <v>6</v>
      </c>
      <c r="H212" t="s">
        <v>133</v>
      </c>
      <c r="I212">
        <v>11</v>
      </c>
      <c r="J212" s="54">
        <f t="shared" si="3"/>
        <v>6</v>
      </c>
    </row>
    <row r="213" spans="1:10">
      <c r="A213" s="43">
        <v>42607</v>
      </c>
      <c r="B213">
        <v>2008</v>
      </c>
      <c r="C213">
        <v>1100</v>
      </c>
      <c r="D213">
        <v>212</v>
      </c>
      <c r="E213">
        <v>7600</v>
      </c>
      <c r="F213" t="s">
        <v>59</v>
      </c>
      <c r="G213">
        <v>6</v>
      </c>
      <c r="H213" t="s">
        <v>133</v>
      </c>
      <c r="I213">
        <v>11</v>
      </c>
      <c r="J213" s="54">
        <f t="shared" si="3"/>
        <v>6</v>
      </c>
    </row>
    <row r="214" spans="1:10">
      <c r="A214" s="43">
        <v>42425</v>
      </c>
      <c r="B214">
        <v>2008</v>
      </c>
      <c r="C214">
        <v>1100</v>
      </c>
      <c r="D214">
        <v>213</v>
      </c>
      <c r="E214">
        <v>7700</v>
      </c>
      <c r="F214" t="s">
        <v>59</v>
      </c>
      <c r="G214">
        <v>6</v>
      </c>
      <c r="H214" t="s">
        <v>133</v>
      </c>
      <c r="I214">
        <v>11</v>
      </c>
      <c r="J214" s="54">
        <f t="shared" si="3"/>
        <v>6</v>
      </c>
    </row>
    <row r="215" spans="1:10">
      <c r="A215" s="43">
        <v>43507</v>
      </c>
      <c r="B215">
        <v>2008</v>
      </c>
      <c r="C215">
        <v>1102</v>
      </c>
      <c r="D215">
        <v>214</v>
      </c>
      <c r="E215">
        <v>6500</v>
      </c>
      <c r="F215" t="s">
        <v>59</v>
      </c>
      <c r="G215">
        <v>6</v>
      </c>
      <c r="H215" t="s">
        <v>133</v>
      </c>
      <c r="I215">
        <v>11</v>
      </c>
      <c r="J215" s="54">
        <f t="shared" si="3"/>
        <v>6</v>
      </c>
    </row>
    <row r="216" spans="1:10">
      <c r="A216" s="43">
        <v>43214</v>
      </c>
      <c r="B216">
        <v>2007</v>
      </c>
      <c r="C216">
        <v>1102</v>
      </c>
      <c r="D216">
        <v>215</v>
      </c>
      <c r="E216">
        <v>7950</v>
      </c>
      <c r="F216" t="s">
        <v>59</v>
      </c>
      <c r="G216">
        <v>7</v>
      </c>
      <c r="H216" t="s">
        <v>133</v>
      </c>
      <c r="I216">
        <v>12</v>
      </c>
      <c r="J216" s="54">
        <f t="shared" si="3"/>
        <v>7</v>
      </c>
    </row>
    <row r="217" spans="1:10">
      <c r="A217" s="43">
        <v>43150</v>
      </c>
      <c r="B217">
        <v>2008</v>
      </c>
      <c r="C217">
        <v>1102</v>
      </c>
      <c r="D217">
        <v>216</v>
      </c>
      <c r="E217">
        <v>7000</v>
      </c>
      <c r="F217" t="s">
        <v>59</v>
      </c>
      <c r="G217">
        <v>12</v>
      </c>
      <c r="H217" t="s">
        <v>133</v>
      </c>
      <c r="I217">
        <v>11</v>
      </c>
      <c r="J217" s="54">
        <f t="shared" si="3"/>
        <v>12</v>
      </c>
    </row>
    <row r="218" spans="1:10">
      <c r="A218" s="43">
        <v>42948</v>
      </c>
      <c r="B218">
        <v>2008</v>
      </c>
      <c r="C218">
        <v>1102</v>
      </c>
      <c r="D218">
        <v>217</v>
      </c>
      <c r="E218">
        <v>6500</v>
      </c>
      <c r="F218" t="s">
        <v>59</v>
      </c>
      <c r="G218">
        <v>6</v>
      </c>
      <c r="H218" t="s">
        <v>133</v>
      </c>
      <c r="I218">
        <v>11</v>
      </c>
      <c r="J218" s="54">
        <f t="shared" si="3"/>
        <v>6</v>
      </c>
    </row>
    <row r="219" spans="1:10">
      <c r="A219" s="43">
        <v>42887</v>
      </c>
      <c r="B219">
        <v>2008</v>
      </c>
      <c r="C219">
        <v>1102</v>
      </c>
      <c r="D219">
        <v>218</v>
      </c>
      <c r="E219">
        <v>7000</v>
      </c>
      <c r="F219" t="s">
        <v>59</v>
      </c>
      <c r="G219">
        <v>6</v>
      </c>
      <c r="H219" t="s">
        <v>133</v>
      </c>
      <c r="I219">
        <v>11</v>
      </c>
      <c r="J219" s="54">
        <f t="shared" si="3"/>
        <v>6</v>
      </c>
    </row>
    <row r="220" spans="1:10">
      <c r="A220" s="43">
        <v>42753</v>
      </c>
      <c r="B220">
        <v>2008</v>
      </c>
      <c r="C220">
        <v>1102</v>
      </c>
      <c r="D220">
        <v>219</v>
      </c>
      <c r="E220">
        <v>6550</v>
      </c>
      <c r="F220" t="s">
        <v>59</v>
      </c>
      <c r="G220">
        <v>8</v>
      </c>
      <c r="H220" t="s">
        <v>133</v>
      </c>
      <c r="I220">
        <v>11</v>
      </c>
      <c r="J220" s="54">
        <f t="shared" si="3"/>
        <v>8</v>
      </c>
    </row>
    <row r="221" spans="1:10">
      <c r="A221" s="43">
        <v>42559</v>
      </c>
      <c r="B221">
        <v>2007</v>
      </c>
      <c r="C221">
        <v>1102</v>
      </c>
      <c r="D221">
        <v>220</v>
      </c>
      <c r="E221">
        <v>7400</v>
      </c>
      <c r="F221" t="s">
        <v>59</v>
      </c>
      <c r="G221">
        <v>8</v>
      </c>
      <c r="H221" t="s">
        <v>133</v>
      </c>
      <c r="I221">
        <v>12</v>
      </c>
      <c r="J221" s="54">
        <f t="shared" si="3"/>
        <v>8</v>
      </c>
    </row>
    <row r="222" spans="1:10">
      <c r="A222" s="43">
        <v>42389</v>
      </c>
      <c r="B222">
        <v>2008</v>
      </c>
      <c r="C222">
        <v>1102</v>
      </c>
      <c r="D222">
        <v>221</v>
      </c>
      <c r="E222">
        <v>6400</v>
      </c>
      <c r="F222" t="s">
        <v>59</v>
      </c>
      <c r="G222">
        <v>9</v>
      </c>
      <c r="H222" t="s">
        <v>133</v>
      </c>
      <c r="I222">
        <v>11</v>
      </c>
      <c r="J222" s="54">
        <f t="shared" si="3"/>
        <v>9</v>
      </c>
    </row>
    <row r="223" spans="1:10">
      <c r="A223" s="43">
        <v>43503</v>
      </c>
      <c r="B223">
        <v>2007</v>
      </c>
      <c r="C223">
        <v>1108</v>
      </c>
      <c r="D223">
        <v>222</v>
      </c>
      <c r="E223">
        <v>6500</v>
      </c>
      <c r="F223" t="s">
        <v>59</v>
      </c>
      <c r="G223">
        <v>6</v>
      </c>
      <c r="H223" t="s">
        <v>133</v>
      </c>
      <c r="I223">
        <v>12</v>
      </c>
      <c r="J223" s="54">
        <f t="shared" si="3"/>
        <v>6</v>
      </c>
    </row>
    <row r="224" spans="1:10">
      <c r="A224" s="43">
        <v>43349</v>
      </c>
      <c r="B224">
        <v>2008</v>
      </c>
      <c r="C224">
        <v>1108</v>
      </c>
      <c r="D224">
        <v>223</v>
      </c>
      <c r="E224">
        <v>7600</v>
      </c>
      <c r="F224" t="s">
        <v>59</v>
      </c>
      <c r="G224">
        <v>9</v>
      </c>
      <c r="H224" t="s">
        <v>133</v>
      </c>
      <c r="I224">
        <v>11</v>
      </c>
      <c r="J224" s="54">
        <f t="shared" si="3"/>
        <v>9</v>
      </c>
    </row>
    <row r="225" spans="1:10">
      <c r="A225" s="43">
        <v>43276</v>
      </c>
      <c r="B225">
        <v>2007</v>
      </c>
      <c r="C225">
        <v>1108</v>
      </c>
      <c r="D225">
        <v>224</v>
      </c>
      <c r="E225">
        <v>8650</v>
      </c>
      <c r="F225" t="s">
        <v>59</v>
      </c>
      <c r="G225">
        <v>5</v>
      </c>
      <c r="H225" t="s">
        <v>133</v>
      </c>
      <c r="I225">
        <v>12</v>
      </c>
      <c r="J225" s="54">
        <f t="shared" si="3"/>
        <v>5</v>
      </c>
    </row>
    <row r="226" spans="1:10">
      <c r="A226" s="43">
        <v>43105</v>
      </c>
      <c r="B226">
        <v>2008</v>
      </c>
      <c r="C226">
        <v>1108</v>
      </c>
      <c r="D226">
        <v>225</v>
      </c>
      <c r="E226">
        <v>7050</v>
      </c>
      <c r="F226" t="s">
        <v>59</v>
      </c>
      <c r="G226">
        <v>8</v>
      </c>
      <c r="H226" t="s">
        <v>133</v>
      </c>
      <c r="I226">
        <v>11</v>
      </c>
      <c r="J226" s="54">
        <f t="shared" si="3"/>
        <v>8</v>
      </c>
    </row>
    <row r="227" spans="1:10">
      <c r="A227" s="43">
        <v>42948</v>
      </c>
      <c r="B227">
        <v>2008</v>
      </c>
      <c r="C227">
        <v>1108</v>
      </c>
      <c r="D227">
        <v>226</v>
      </c>
      <c r="E227">
        <v>6350</v>
      </c>
      <c r="F227" t="s">
        <v>59</v>
      </c>
      <c r="G227">
        <v>90</v>
      </c>
      <c r="H227" t="s">
        <v>60</v>
      </c>
      <c r="I227">
        <v>11</v>
      </c>
      <c r="J227" s="54">
        <f t="shared" si="3"/>
        <v>3</v>
      </c>
    </row>
    <row r="228" spans="1:10">
      <c r="A228" s="43">
        <v>42751</v>
      </c>
      <c r="B228">
        <v>2008</v>
      </c>
      <c r="C228">
        <v>1108</v>
      </c>
      <c r="D228">
        <v>227</v>
      </c>
      <c r="E228">
        <v>6350</v>
      </c>
      <c r="F228" t="s">
        <v>59</v>
      </c>
      <c r="G228">
        <v>6</v>
      </c>
      <c r="H228" t="s">
        <v>133</v>
      </c>
      <c r="I228">
        <v>11</v>
      </c>
      <c r="J228" s="54">
        <f t="shared" si="3"/>
        <v>6</v>
      </c>
    </row>
    <row r="229" spans="1:10">
      <c r="A229" s="43">
        <v>42709</v>
      </c>
      <c r="B229">
        <v>2008</v>
      </c>
      <c r="C229">
        <v>1108</v>
      </c>
      <c r="D229">
        <v>228</v>
      </c>
      <c r="E229">
        <v>6300</v>
      </c>
      <c r="F229" t="s">
        <v>59</v>
      </c>
      <c r="G229">
        <v>5</v>
      </c>
      <c r="H229" t="s">
        <v>133</v>
      </c>
      <c r="I229">
        <v>11</v>
      </c>
      <c r="J229" s="54">
        <f t="shared" si="3"/>
        <v>5</v>
      </c>
    </row>
    <row r="230" spans="1:10">
      <c r="A230" s="43">
        <v>42675</v>
      </c>
      <c r="B230">
        <v>2008</v>
      </c>
      <c r="C230">
        <v>1108</v>
      </c>
      <c r="D230">
        <v>229</v>
      </c>
      <c r="E230">
        <v>6500</v>
      </c>
      <c r="F230" t="s">
        <v>59</v>
      </c>
      <c r="G230">
        <v>45</v>
      </c>
      <c r="H230" t="s">
        <v>60</v>
      </c>
      <c r="I230">
        <v>11</v>
      </c>
      <c r="J230" s="54">
        <f t="shared" si="3"/>
        <v>2</v>
      </c>
    </row>
    <row r="231" spans="1:10">
      <c r="A231" s="43">
        <v>42669</v>
      </c>
      <c r="B231">
        <v>2007</v>
      </c>
      <c r="C231">
        <v>1108</v>
      </c>
      <c r="D231">
        <v>230</v>
      </c>
      <c r="E231">
        <v>6500</v>
      </c>
      <c r="F231" t="s">
        <v>59</v>
      </c>
      <c r="G231">
        <v>9</v>
      </c>
      <c r="H231" t="s">
        <v>133</v>
      </c>
      <c r="I231">
        <v>12</v>
      </c>
      <c r="J231" s="54">
        <f t="shared" si="3"/>
        <v>9</v>
      </c>
    </row>
    <row r="232" spans="1:10">
      <c r="A232" s="43">
        <v>42523</v>
      </c>
      <c r="B232">
        <v>2007</v>
      </c>
      <c r="C232">
        <v>1108</v>
      </c>
      <c r="D232">
        <v>231</v>
      </c>
      <c r="E232">
        <v>6750</v>
      </c>
      <c r="F232" t="s">
        <v>59</v>
      </c>
      <c r="G232">
        <v>5</v>
      </c>
      <c r="H232" t="s">
        <v>133</v>
      </c>
      <c r="I232">
        <v>12</v>
      </c>
      <c r="J232" s="54">
        <f t="shared" si="3"/>
        <v>5</v>
      </c>
    </row>
    <row r="233" spans="1:10">
      <c r="A233" s="43">
        <v>42410</v>
      </c>
      <c r="B233">
        <v>2008</v>
      </c>
      <c r="C233">
        <v>1108</v>
      </c>
      <c r="D233">
        <v>232</v>
      </c>
      <c r="E233">
        <v>6700</v>
      </c>
      <c r="F233" t="s">
        <v>59</v>
      </c>
      <c r="G233">
        <v>10</v>
      </c>
      <c r="H233" t="s">
        <v>133</v>
      </c>
      <c r="I233">
        <v>11</v>
      </c>
      <c r="J233" s="54">
        <f t="shared" si="3"/>
        <v>10</v>
      </c>
    </row>
    <row r="234" spans="1:10">
      <c r="A234" s="43">
        <v>43636</v>
      </c>
      <c r="B234">
        <v>2007</v>
      </c>
      <c r="C234">
        <v>1114</v>
      </c>
      <c r="D234">
        <v>233</v>
      </c>
      <c r="E234">
        <v>6550</v>
      </c>
      <c r="F234" t="s">
        <v>59</v>
      </c>
      <c r="G234">
        <v>9</v>
      </c>
      <c r="H234" t="s">
        <v>133</v>
      </c>
      <c r="I234">
        <v>12</v>
      </c>
      <c r="J234" s="54">
        <f t="shared" si="3"/>
        <v>9</v>
      </c>
    </row>
    <row r="235" spans="1:10">
      <c r="A235" s="43">
        <v>43466</v>
      </c>
      <c r="B235">
        <v>2008</v>
      </c>
      <c r="C235">
        <v>1114</v>
      </c>
      <c r="D235">
        <v>234</v>
      </c>
      <c r="E235">
        <v>5900</v>
      </c>
      <c r="F235" t="s">
        <v>59</v>
      </c>
      <c r="G235">
        <v>7</v>
      </c>
      <c r="H235" t="s">
        <v>133</v>
      </c>
      <c r="I235">
        <v>11</v>
      </c>
      <c r="J235" s="54">
        <f t="shared" si="3"/>
        <v>7</v>
      </c>
    </row>
    <row r="236" spans="1:10">
      <c r="A236" s="43">
        <v>43398</v>
      </c>
      <c r="B236">
        <v>2007</v>
      </c>
      <c r="C236">
        <v>1114</v>
      </c>
      <c r="D236">
        <v>235</v>
      </c>
      <c r="E236">
        <v>6500</v>
      </c>
      <c r="F236" t="s">
        <v>59</v>
      </c>
      <c r="G236">
        <v>6</v>
      </c>
      <c r="H236" t="s">
        <v>133</v>
      </c>
      <c r="I236">
        <v>12</v>
      </c>
      <c r="J236" s="54">
        <f t="shared" si="3"/>
        <v>6</v>
      </c>
    </row>
    <row r="237" spans="1:10">
      <c r="A237" s="43">
        <v>43391</v>
      </c>
      <c r="B237">
        <v>2008</v>
      </c>
      <c r="C237">
        <v>1114</v>
      </c>
      <c r="D237">
        <v>236</v>
      </c>
      <c r="E237">
        <v>7500</v>
      </c>
      <c r="F237" t="s">
        <v>59</v>
      </c>
      <c r="G237">
        <v>30</v>
      </c>
      <c r="H237" t="s">
        <v>60</v>
      </c>
      <c r="I237">
        <v>11</v>
      </c>
      <c r="J237" s="54">
        <f t="shared" si="3"/>
        <v>1</v>
      </c>
    </row>
    <row r="238" spans="1:10">
      <c r="A238" s="43">
        <v>43368</v>
      </c>
      <c r="B238">
        <v>2007</v>
      </c>
      <c r="C238">
        <v>1114</v>
      </c>
      <c r="D238">
        <v>237</v>
      </c>
      <c r="E238">
        <v>7500</v>
      </c>
      <c r="F238" t="s">
        <v>59</v>
      </c>
      <c r="G238">
        <v>7</v>
      </c>
      <c r="H238" t="s">
        <v>133</v>
      </c>
      <c r="I238">
        <v>12</v>
      </c>
      <c r="J238" s="54">
        <f t="shared" si="3"/>
        <v>7</v>
      </c>
    </row>
    <row r="239" spans="1:10">
      <c r="A239" s="43">
        <v>43341</v>
      </c>
      <c r="B239">
        <v>2006</v>
      </c>
      <c r="C239">
        <v>1114</v>
      </c>
      <c r="D239">
        <v>238</v>
      </c>
      <c r="E239">
        <v>7600</v>
      </c>
      <c r="F239" t="s">
        <v>59</v>
      </c>
      <c r="G239">
        <v>2</v>
      </c>
      <c r="H239" t="s">
        <v>133</v>
      </c>
      <c r="I239">
        <v>13</v>
      </c>
      <c r="J239" s="54">
        <f t="shared" si="3"/>
        <v>2</v>
      </c>
    </row>
    <row r="240" spans="1:10">
      <c r="A240" s="43">
        <v>43301</v>
      </c>
      <c r="B240">
        <v>2008</v>
      </c>
      <c r="C240">
        <v>1114</v>
      </c>
      <c r="D240">
        <v>239</v>
      </c>
      <c r="E240">
        <v>8750</v>
      </c>
      <c r="F240" t="s">
        <v>59</v>
      </c>
      <c r="G240">
        <v>12</v>
      </c>
      <c r="H240" t="s">
        <v>133</v>
      </c>
      <c r="I240">
        <v>11</v>
      </c>
      <c r="J240" s="54">
        <f t="shared" si="3"/>
        <v>12</v>
      </c>
    </row>
    <row r="241" spans="1:10">
      <c r="A241" s="43">
        <v>43276</v>
      </c>
      <c r="B241">
        <v>2006</v>
      </c>
      <c r="C241">
        <v>1114</v>
      </c>
      <c r="D241">
        <v>240</v>
      </c>
      <c r="E241">
        <v>8000</v>
      </c>
      <c r="F241" t="s">
        <v>59</v>
      </c>
      <c r="G241">
        <v>30</v>
      </c>
      <c r="H241" t="s">
        <v>60</v>
      </c>
      <c r="I241">
        <v>13</v>
      </c>
      <c r="J241" s="54">
        <f t="shared" si="3"/>
        <v>1</v>
      </c>
    </row>
    <row r="242" spans="1:10">
      <c r="A242" s="43">
        <v>43203</v>
      </c>
      <c r="B242">
        <v>2008</v>
      </c>
      <c r="C242">
        <v>1114</v>
      </c>
      <c r="D242">
        <v>241</v>
      </c>
      <c r="E242">
        <v>8250</v>
      </c>
      <c r="F242" t="s">
        <v>59</v>
      </c>
      <c r="G242">
        <v>6</v>
      </c>
      <c r="H242" t="s">
        <v>133</v>
      </c>
      <c r="I242">
        <v>11</v>
      </c>
      <c r="J242" s="54">
        <f t="shared" si="3"/>
        <v>6</v>
      </c>
    </row>
    <row r="243" spans="1:10">
      <c r="A243" s="43">
        <v>43185</v>
      </c>
      <c r="B243">
        <v>2007</v>
      </c>
      <c r="C243">
        <v>1114</v>
      </c>
      <c r="D243">
        <v>242</v>
      </c>
      <c r="E243">
        <v>8900</v>
      </c>
      <c r="F243" t="s">
        <v>59</v>
      </c>
      <c r="G243">
        <v>13</v>
      </c>
      <c r="H243" t="s">
        <v>133</v>
      </c>
      <c r="I243">
        <v>12</v>
      </c>
      <c r="J243" s="54">
        <f t="shared" si="3"/>
        <v>13</v>
      </c>
    </row>
    <row r="244" spans="1:10">
      <c r="A244" s="43">
        <v>43151</v>
      </c>
      <c r="B244">
        <v>2007</v>
      </c>
      <c r="C244">
        <v>1114</v>
      </c>
      <c r="D244">
        <v>243</v>
      </c>
      <c r="E244">
        <v>7100</v>
      </c>
      <c r="F244" t="s">
        <v>59</v>
      </c>
      <c r="G244">
        <v>7</v>
      </c>
      <c r="H244" t="s">
        <v>133</v>
      </c>
      <c r="I244">
        <v>12</v>
      </c>
      <c r="J244" s="54">
        <f t="shared" si="3"/>
        <v>7</v>
      </c>
    </row>
    <row r="245" spans="1:10">
      <c r="A245" s="43">
        <v>43028</v>
      </c>
      <c r="B245">
        <v>2007</v>
      </c>
      <c r="C245">
        <v>1114</v>
      </c>
      <c r="D245">
        <v>244</v>
      </c>
      <c r="E245">
        <v>6950</v>
      </c>
      <c r="F245" t="s">
        <v>59</v>
      </c>
      <c r="G245">
        <v>12</v>
      </c>
      <c r="H245" t="s">
        <v>133</v>
      </c>
      <c r="I245">
        <v>12</v>
      </c>
      <c r="J245" s="54">
        <f t="shared" si="3"/>
        <v>12</v>
      </c>
    </row>
    <row r="246" spans="1:10">
      <c r="A246" s="43">
        <v>43009</v>
      </c>
      <c r="B246">
        <v>2006</v>
      </c>
      <c r="C246">
        <v>1114</v>
      </c>
      <c r="D246">
        <v>245</v>
      </c>
      <c r="E246">
        <v>5300</v>
      </c>
      <c r="F246" t="s">
        <v>59</v>
      </c>
      <c r="G246">
        <v>7</v>
      </c>
      <c r="H246" t="s">
        <v>133</v>
      </c>
      <c r="I246">
        <v>13</v>
      </c>
      <c r="J246" s="54">
        <f t="shared" si="3"/>
        <v>7</v>
      </c>
    </row>
    <row r="247" spans="1:10">
      <c r="A247" s="43">
        <v>42971</v>
      </c>
      <c r="B247">
        <v>2007</v>
      </c>
      <c r="C247">
        <v>1114</v>
      </c>
      <c r="D247">
        <v>246</v>
      </c>
      <c r="E247">
        <v>6000</v>
      </c>
      <c r="F247" t="s">
        <v>59</v>
      </c>
      <c r="G247">
        <v>4</v>
      </c>
      <c r="H247" t="s">
        <v>133</v>
      </c>
      <c r="I247">
        <v>12</v>
      </c>
      <c r="J247" s="54">
        <f t="shared" si="3"/>
        <v>4</v>
      </c>
    </row>
    <row r="248" spans="1:10">
      <c r="A248" s="43">
        <v>42962</v>
      </c>
      <c r="B248">
        <v>2008</v>
      </c>
      <c r="C248">
        <v>1114</v>
      </c>
      <c r="D248">
        <v>247</v>
      </c>
      <c r="E248">
        <v>5600</v>
      </c>
      <c r="F248" t="s">
        <v>59</v>
      </c>
      <c r="G248">
        <v>6</v>
      </c>
      <c r="H248" t="s">
        <v>133</v>
      </c>
      <c r="I248">
        <v>11</v>
      </c>
      <c r="J248" s="54">
        <f t="shared" si="3"/>
        <v>6</v>
      </c>
    </row>
    <row r="249" spans="1:10">
      <c r="A249" s="43">
        <v>42753</v>
      </c>
      <c r="B249">
        <v>2008</v>
      </c>
      <c r="C249">
        <v>1114</v>
      </c>
      <c r="D249">
        <v>248</v>
      </c>
      <c r="E249">
        <v>6500</v>
      </c>
      <c r="F249" t="s">
        <v>59</v>
      </c>
      <c r="G249">
        <v>7</v>
      </c>
      <c r="H249" t="s">
        <v>133</v>
      </c>
      <c r="I249">
        <v>11</v>
      </c>
      <c r="J249" s="54">
        <f t="shared" si="3"/>
        <v>7</v>
      </c>
    </row>
    <row r="250" spans="1:10">
      <c r="A250" s="43">
        <v>42709</v>
      </c>
      <c r="B250">
        <v>2007</v>
      </c>
      <c r="C250">
        <v>1114</v>
      </c>
      <c r="D250">
        <v>249</v>
      </c>
      <c r="E250">
        <v>5500</v>
      </c>
      <c r="F250" t="s">
        <v>59</v>
      </c>
      <c r="G250">
        <v>12</v>
      </c>
      <c r="H250" t="s">
        <v>133</v>
      </c>
      <c r="I250">
        <v>12</v>
      </c>
      <c r="J250" s="54">
        <f t="shared" si="3"/>
        <v>12</v>
      </c>
    </row>
    <row r="251" spans="1:10">
      <c r="A251" s="43">
        <v>42671</v>
      </c>
      <c r="B251">
        <v>2008</v>
      </c>
      <c r="C251">
        <v>1114</v>
      </c>
      <c r="D251">
        <v>250</v>
      </c>
      <c r="E251">
        <v>5500</v>
      </c>
      <c r="F251" t="s">
        <v>59</v>
      </c>
      <c r="G251">
        <v>12</v>
      </c>
      <c r="H251" t="s">
        <v>133</v>
      </c>
      <c r="I251">
        <v>11</v>
      </c>
      <c r="J251" s="54">
        <f t="shared" si="3"/>
        <v>12</v>
      </c>
    </row>
    <row r="252" spans="1:10">
      <c r="A252" s="43">
        <v>42597</v>
      </c>
      <c r="B252">
        <v>2007</v>
      </c>
      <c r="C252">
        <v>1114</v>
      </c>
      <c r="D252">
        <v>251</v>
      </c>
      <c r="E252">
        <v>6000</v>
      </c>
      <c r="F252" t="s">
        <v>59</v>
      </c>
      <c r="G252">
        <v>12</v>
      </c>
      <c r="H252" t="s">
        <v>133</v>
      </c>
      <c r="I252">
        <v>12</v>
      </c>
      <c r="J252" s="54">
        <f t="shared" si="3"/>
        <v>12</v>
      </c>
    </row>
    <row r="253" spans="1:10">
      <c r="A253" s="43">
        <v>42592</v>
      </c>
      <c r="B253">
        <v>2007</v>
      </c>
      <c r="C253">
        <v>1114</v>
      </c>
      <c r="D253">
        <v>252</v>
      </c>
      <c r="E253">
        <v>6000</v>
      </c>
      <c r="F253" t="s">
        <v>59</v>
      </c>
      <c r="G253">
        <v>11</v>
      </c>
      <c r="H253" t="s">
        <v>133</v>
      </c>
      <c r="I253">
        <v>12</v>
      </c>
      <c r="J253" s="54">
        <f t="shared" si="3"/>
        <v>11</v>
      </c>
    </row>
    <row r="254" spans="1:10">
      <c r="A254" s="43">
        <v>42493</v>
      </c>
      <c r="B254">
        <v>2008</v>
      </c>
      <c r="C254">
        <v>1114</v>
      </c>
      <c r="D254">
        <v>253</v>
      </c>
      <c r="E254">
        <v>6200</v>
      </c>
      <c r="F254" t="s">
        <v>59</v>
      </c>
      <c r="G254">
        <v>7</v>
      </c>
      <c r="H254" t="s">
        <v>133</v>
      </c>
      <c r="I254">
        <v>11</v>
      </c>
      <c r="J254" s="54">
        <f t="shared" si="3"/>
        <v>7</v>
      </c>
    </row>
    <row r="255" spans="1:10">
      <c r="A255" s="43">
        <v>42481</v>
      </c>
      <c r="B255">
        <v>2006</v>
      </c>
      <c r="C255">
        <v>1114</v>
      </c>
      <c r="D255">
        <v>254</v>
      </c>
      <c r="E255">
        <v>6200</v>
      </c>
      <c r="F255" t="s">
        <v>59</v>
      </c>
      <c r="G255">
        <v>12</v>
      </c>
      <c r="H255" t="s">
        <v>133</v>
      </c>
      <c r="I255">
        <v>13</v>
      </c>
      <c r="J255" s="54">
        <f t="shared" si="3"/>
        <v>12</v>
      </c>
    </row>
    <row r="256" spans="1:10">
      <c r="A256" s="43">
        <v>42478</v>
      </c>
      <c r="B256">
        <v>2007</v>
      </c>
      <c r="C256">
        <v>1114</v>
      </c>
      <c r="D256">
        <v>255</v>
      </c>
      <c r="E256">
        <v>6300</v>
      </c>
      <c r="F256" t="s">
        <v>59</v>
      </c>
      <c r="G256">
        <v>7</v>
      </c>
      <c r="H256" t="s">
        <v>133</v>
      </c>
      <c r="I256">
        <v>12</v>
      </c>
      <c r="J256" s="54">
        <f t="shared" si="3"/>
        <v>7</v>
      </c>
    </row>
    <row r="257" spans="1:10">
      <c r="A257" s="43">
        <v>42460</v>
      </c>
      <c r="B257">
        <v>2007</v>
      </c>
      <c r="C257">
        <v>1114</v>
      </c>
      <c r="D257">
        <v>256</v>
      </c>
      <c r="E257">
        <v>6100</v>
      </c>
      <c r="F257" t="s">
        <v>59</v>
      </c>
      <c r="G257">
        <v>4</v>
      </c>
      <c r="H257" t="s">
        <v>133</v>
      </c>
      <c r="I257">
        <v>12</v>
      </c>
      <c r="J257" s="54">
        <f t="shared" si="3"/>
        <v>4</v>
      </c>
    </row>
    <row r="258" spans="1:10">
      <c r="A258" s="43">
        <v>42423</v>
      </c>
      <c r="B258">
        <v>2006</v>
      </c>
      <c r="C258">
        <v>1114</v>
      </c>
      <c r="D258">
        <v>257</v>
      </c>
      <c r="E258">
        <v>6450</v>
      </c>
      <c r="F258" t="s">
        <v>59</v>
      </c>
      <c r="G258">
        <v>6</v>
      </c>
      <c r="H258" t="s">
        <v>133</v>
      </c>
      <c r="I258">
        <v>13</v>
      </c>
      <c r="J258" s="54">
        <f t="shared" ref="J258:J321" si="4">IF(H258="days",ROUND(G258/30,0),IF(H258="years",G258*12,G258))</f>
        <v>6</v>
      </c>
    </row>
    <row r="259" spans="1:10">
      <c r="A259" s="43">
        <v>42401</v>
      </c>
      <c r="B259">
        <v>2007</v>
      </c>
      <c r="C259">
        <v>1114</v>
      </c>
      <c r="D259">
        <v>258</v>
      </c>
      <c r="E259">
        <v>6700</v>
      </c>
      <c r="F259" t="s">
        <v>59</v>
      </c>
      <c r="G259">
        <v>13</v>
      </c>
      <c r="H259" t="s">
        <v>133</v>
      </c>
      <c r="I259">
        <v>12</v>
      </c>
      <c r="J259" s="54">
        <f t="shared" si="4"/>
        <v>13</v>
      </c>
    </row>
    <row r="260" spans="1:10">
      <c r="A260" s="43">
        <v>42401</v>
      </c>
      <c r="B260">
        <v>2006</v>
      </c>
      <c r="C260">
        <v>1114</v>
      </c>
      <c r="D260">
        <v>259</v>
      </c>
      <c r="E260">
        <v>6000</v>
      </c>
      <c r="F260" t="s">
        <v>59</v>
      </c>
      <c r="G260">
        <v>2</v>
      </c>
      <c r="H260" t="s">
        <v>133</v>
      </c>
      <c r="I260">
        <v>13</v>
      </c>
      <c r="J260" s="54">
        <f t="shared" si="4"/>
        <v>2</v>
      </c>
    </row>
    <row r="261" spans="1:10">
      <c r="A261" s="43">
        <v>42397</v>
      </c>
      <c r="B261">
        <v>2007</v>
      </c>
      <c r="C261">
        <v>1114</v>
      </c>
      <c r="D261">
        <v>260</v>
      </c>
      <c r="E261">
        <v>6350</v>
      </c>
      <c r="F261" t="s">
        <v>59</v>
      </c>
      <c r="G261">
        <v>2</v>
      </c>
      <c r="H261" t="s">
        <v>133</v>
      </c>
      <c r="I261">
        <v>12</v>
      </c>
      <c r="J261" s="54">
        <f t="shared" si="4"/>
        <v>2</v>
      </c>
    </row>
    <row r="262" spans="1:10">
      <c r="A262" s="43">
        <v>42380</v>
      </c>
      <c r="B262">
        <v>2008</v>
      </c>
      <c r="C262">
        <v>1114</v>
      </c>
      <c r="D262">
        <v>261</v>
      </c>
      <c r="E262">
        <v>6000</v>
      </c>
      <c r="F262" t="s">
        <v>59</v>
      </c>
      <c r="G262">
        <v>7</v>
      </c>
      <c r="H262" t="s">
        <v>133</v>
      </c>
      <c r="I262">
        <v>11</v>
      </c>
      <c r="J262" s="54">
        <f t="shared" si="4"/>
        <v>7</v>
      </c>
    </row>
    <row r="263" spans="1:10">
      <c r="A263" s="43">
        <v>43623</v>
      </c>
      <c r="B263">
        <v>2008</v>
      </c>
      <c r="C263">
        <v>1118</v>
      </c>
      <c r="D263">
        <v>262</v>
      </c>
      <c r="E263">
        <v>7000</v>
      </c>
      <c r="F263" t="s">
        <v>59</v>
      </c>
      <c r="G263">
        <v>3</v>
      </c>
      <c r="H263" t="s">
        <v>133</v>
      </c>
      <c r="I263">
        <v>11</v>
      </c>
      <c r="J263" s="54">
        <f t="shared" si="4"/>
        <v>3</v>
      </c>
    </row>
    <row r="264" spans="1:10">
      <c r="A264" s="43">
        <v>43621</v>
      </c>
      <c r="B264">
        <v>2006</v>
      </c>
      <c r="C264">
        <v>1118</v>
      </c>
      <c r="D264">
        <v>263</v>
      </c>
      <c r="E264">
        <v>6350</v>
      </c>
      <c r="F264" t="s">
        <v>59</v>
      </c>
      <c r="G264">
        <v>12</v>
      </c>
      <c r="H264" t="s">
        <v>133</v>
      </c>
      <c r="I264">
        <v>13</v>
      </c>
      <c r="J264" s="54">
        <f t="shared" si="4"/>
        <v>12</v>
      </c>
    </row>
    <row r="265" spans="1:10">
      <c r="A265" s="43">
        <v>43619</v>
      </c>
      <c r="B265">
        <v>2008</v>
      </c>
      <c r="C265">
        <v>1118</v>
      </c>
      <c r="D265">
        <v>264</v>
      </c>
      <c r="E265">
        <v>6500</v>
      </c>
      <c r="F265" t="s">
        <v>59</v>
      </c>
      <c r="G265">
        <v>6</v>
      </c>
      <c r="H265" t="s">
        <v>133</v>
      </c>
      <c r="I265">
        <v>11</v>
      </c>
      <c r="J265" s="54">
        <f t="shared" si="4"/>
        <v>6</v>
      </c>
    </row>
    <row r="266" spans="1:10">
      <c r="A266" s="43">
        <v>43613</v>
      </c>
      <c r="B266">
        <v>2006</v>
      </c>
      <c r="C266">
        <v>1118</v>
      </c>
      <c r="D266">
        <v>265</v>
      </c>
      <c r="E266">
        <v>6250</v>
      </c>
      <c r="F266" t="s">
        <v>59</v>
      </c>
      <c r="G266">
        <v>5</v>
      </c>
      <c r="H266" t="s">
        <v>133</v>
      </c>
      <c r="I266">
        <v>13</v>
      </c>
      <c r="J266" s="54">
        <f t="shared" si="4"/>
        <v>5</v>
      </c>
    </row>
    <row r="267" spans="1:10">
      <c r="A267" s="43">
        <v>43601</v>
      </c>
      <c r="B267">
        <v>2009</v>
      </c>
      <c r="C267">
        <v>1118</v>
      </c>
      <c r="D267">
        <v>266</v>
      </c>
      <c r="E267">
        <v>6100</v>
      </c>
      <c r="F267" t="s">
        <v>59</v>
      </c>
      <c r="G267">
        <v>5</v>
      </c>
      <c r="H267" t="s">
        <v>133</v>
      </c>
      <c r="I267">
        <v>10</v>
      </c>
      <c r="J267" s="54">
        <f t="shared" si="4"/>
        <v>5</v>
      </c>
    </row>
    <row r="268" spans="1:10">
      <c r="A268" s="43">
        <v>43600</v>
      </c>
      <c r="B268">
        <v>2007</v>
      </c>
      <c r="C268">
        <v>1118</v>
      </c>
      <c r="D268">
        <v>267</v>
      </c>
      <c r="E268">
        <v>6500</v>
      </c>
      <c r="F268" t="s">
        <v>59</v>
      </c>
      <c r="G268">
        <v>9</v>
      </c>
      <c r="H268" t="s">
        <v>133</v>
      </c>
      <c r="I268">
        <v>12</v>
      </c>
      <c r="J268" s="54">
        <f t="shared" si="4"/>
        <v>9</v>
      </c>
    </row>
    <row r="269" spans="1:10">
      <c r="A269" s="43">
        <v>43579</v>
      </c>
      <c r="B269">
        <v>2006</v>
      </c>
      <c r="C269">
        <v>1118</v>
      </c>
      <c r="D269">
        <v>268</v>
      </c>
      <c r="E269">
        <v>6750</v>
      </c>
      <c r="F269" t="s">
        <v>59</v>
      </c>
      <c r="G269">
        <v>5</v>
      </c>
      <c r="H269" t="s">
        <v>133</v>
      </c>
      <c r="I269">
        <v>13</v>
      </c>
      <c r="J269" s="54">
        <f t="shared" si="4"/>
        <v>5</v>
      </c>
    </row>
    <row r="270" spans="1:10">
      <c r="A270" s="43">
        <v>43563</v>
      </c>
      <c r="B270">
        <v>2008</v>
      </c>
      <c r="C270">
        <v>1118</v>
      </c>
      <c r="D270">
        <v>269</v>
      </c>
      <c r="E270">
        <v>6200</v>
      </c>
      <c r="F270" t="s">
        <v>59</v>
      </c>
      <c r="G270">
        <v>3</v>
      </c>
      <c r="H270" t="s">
        <v>133</v>
      </c>
      <c r="I270">
        <v>11</v>
      </c>
      <c r="J270" s="54">
        <f t="shared" si="4"/>
        <v>3</v>
      </c>
    </row>
    <row r="271" spans="1:10">
      <c r="A271" s="43">
        <v>43559</v>
      </c>
      <c r="B271">
        <v>2006</v>
      </c>
      <c r="C271">
        <v>1118</v>
      </c>
      <c r="D271">
        <v>270</v>
      </c>
      <c r="E271">
        <v>6500</v>
      </c>
      <c r="F271" t="s">
        <v>59</v>
      </c>
      <c r="G271">
        <v>12</v>
      </c>
      <c r="H271" t="s">
        <v>133</v>
      </c>
      <c r="I271">
        <v>13</v>
      </c>
      <c r="J271" s="54">
        <f t="shared" si="4"/>
        <v>12</v>
      </c>
    </row>
    <row r="272" spans="1:10">
      <c r="A272" s="43">
        <v>43558</v>
      </c>
      <c r="B272">
        <v>2008</v>
      </c>
      <c r="C272">
        <v>1118</v>
      </c>
      <c r="D272">
        <v>271</v>
      </c>
      <c r="E272">
        <v>6200</v>
      </c>
      <c r="F272" t="s">
        <v>59</v>
      </c>
      <c r="G272">
        <v>10</v>
      </c>
      <c r="H272" t="s">
        <v>133</v>
      </c>
      <c r="I272">
        <v>11</v>
      </c>
      <c r="J272" s="54">
        <f t="shared" si="4"/>
        <v>10</v>
      </c>
    </row>
    <row r="273" spans="1:10">
      <c r="A273" s="43">
        <v>43550</v>
      </c>
      <c r="B273">
        <v>2009</v>
      </c>
      <c r="C273">
        <v>1118</v>
      </c>
      <c r="D273">
        <v>272</v>
      </c>
      <c r="E273">
        <v>6000</v>
      </c>
      <c r="F273" t="s">
        <v>59</v>
      </c>
      <c r="G273">
        <v>7</v>
      </c>
      <c r="H273" t="s">
        <v>133</v>
      </c>
      <c r="I273">
        <v>10</v>
      </c>
      <c r="J273" s="54">
        <f t="shared" si="4"/>
        <v>7</v>
      </c>
    </row>
    <row r="274" spans="1:10">
      <c r="A274" s="43">
        <v>43535</v>
      </c>
      <c r="B274">
        <v>2007</v>
      </c>
      <c r="C274">
        <v>1118</v>
      </c>
      <c r="D274">
        <v>273</v>
      </c>
      <c r="E274">
        <v>6400</v>
      </c>
      <c r="F274" t="s">
        <v>59</v>
      </c>
      <c r="G274">
        <v>12</v>
      </c>
      <c r="H274" t="s">
        <v>133</v>
      </c>
      <c r="I274">
        <v>12</v>
      </c>
      <c r="J274" s="54">
        <f t="shared" si="4"/>
        <v>12</v>
      </c>
    </row>
    <row r="275" spans="1:10">
      <c r="A275" s="43">
        <v>43507</v>
      </c>
      <c r="B275">
        <v>2006</v>
      </c>
      <c r="C275">
        <v>1118</v>
      </c>
      <c r="D275">
        <v>274</v>
      </c>
      <c r="E275">
        <v>6300</v>
      </c>
      <c r="F275" t="s">
        <v>59</v>
      </c>
      <c r="G275">
        <v>12</v>
      </c>
      <c r="H275" t="s">
        <v>133</v>
      </c>
      <c r="I275">
        <v>13</v>
      </c>
      <c r="J275" s="54">
        <f t="shared" si="4"/>
        <v>12</v>
      </c>
    </row>
    <row r="276" spans="1:10">
      <c r="A276" s="43">
        <v>43497</v>
      </c>
      <c r="B276">
        <v>2007</v>
      </c>
      <c r="C276">
        <v>1118</v>
      </c>
      <c r="D276">
        <v>275</v>
      </c>
      <c r="E276">
        <v>6300</v>
      </c>
      <c r="F276" t="s">
        <v>59</v>
      </c>
      <c r="G276">
        <v>6</v>
      </c>
      <c r="H276" t="s">
        <v>133</v>
      </c>
      <c r="I276">
        <v>12</v>
      </c>
      <c r="J276" s="54">
        <f t="shared" si="4"/>
        <v>6</v>
      </c>
    </row>
    <row r="277" spans="1:10">
      <c r="A277" s="43">
        <v>43493</v>
      </c>
      <c r="B277">
        <v>2006</v>
      </c>
      <c r="C277">
        <v>1118</v>
      </c>
      <c r="D277">
        <v>276</v>
      </c>
      <c r="E277">
        <v>6000</v>
      </c>
      <c r="F277" t="s">
        <v>59</v>
      </c>
      <c r="G277">
        <v>1</v>
      </c>
      <c r="H277" t="s">
        <v>133</v>
      </c>
      <c r="I277">
        <v>13</v>
      </c>
      <c r="J277" s="54">
        <f t="shared" si="4"/>
        <v>1</v>
      </c>
    </row>
    <row r="278" spans="1:10">
      <c r="A278" s="43">
        <v>43490</v>
      </c>
      <c r="B278">
        <v>2006</v>
      </c>
      <c r="C278">
        <v>1118</v>
      </c>
      <c r="D278">
        <v>277</v>
      </c>
      <c r="E278">
        <v>6000</v>
      </c>
      <c r="F278" t="s">
        <v>59</v>
      </c>
      <c r="G278">
        <v>8</v>
      </c>
      <c r="H278" t="s">
        <v>133</v>
      </c>
      <c r="I278">
        <v>13</v>
      </c>
      <c r="J278" s="54">
        <f t="shared" si="4"/>
        <v>8</v>
      </c>
    </row>
    <row r="279" spans="1:10">
      <c r="A279" s="43">
        <v>43483</v>
      </c>
      <c r="B279">
        <v>2008</v>
      </c>
      <c r="C279">
        <v>1118</v>
      </c>
      <c r="D279">
        <v>278</v>
      </c>
      <c r="E279">
        <v>6500</v>
      </c>
      <c r="F279" t="s">
        <v>59</v>
      </c>
      <c r="G279">
        <v>6</v>
      </c>
      <c r="H279" t="s">
        <v>133</v>
      </c>
      <c r="I279">
        <v>11</v>
      </c>
      <c r="J279" s="54">
        <f t="shared" si="4"/>
        <v>6</v>
      </c>
    </row>
    <row r="280" spans="1:10">
      <c r="A280" s="43">
        <v>43483</v>
      </c>
      <c r="B280">
        <v>2006</v>
      </c>
      <c r="C280">
        <v>1118</v>
      </c>
      <c r="D280">
        <v>279</v>
      </c>
      <c r="E280">
        <v>7000</v>
      </c>
      <c r="F280" t="s">
        <v>59</v>
      </c>
      <c r="G280">
        <v>3</v>
      </c>
      <c r="H280" t="s">
        <v>133</v>
      </c>
      <c r="I280">
        <v>13</v>
      </c>
      <c r="J280" s="54">
        <f t="shared" si="4"/>
        <v>3</v>
      </c>
    </row>
    <row r="281" spans="1:10">
      <c r="A281" s="43">
        <v>43474</v>
      </c>
      <c r="B281">
        <v>2008</v>
      </c>
      <c r="C281">
        <v>1118</v>
      </c>
      <c r="D281">
        <v>280</v>
      </c>
      <c r="E281">
        <v>6750</v>
      </c>
      <c r="F281" t="s">
        <v>59</v>
      </c>
      <c r="G281">
        <v>6</v>
      </c>
      <c r="H281" t="s">
        <v>133</v>
      </c>
      <c r="I281">
        <v>11</v>
      </c>
      <c r="J281" s="54">
        <f t="shared" si="4"/>
        <v>6</v>
      </c>
    </row>
    <row r="282" spans="1:10">
      <c r="A282" s="43">
        <v>43445</v>
      </c>
      <c r="B282">
        <v>2008</v>
      </c>
      <c r="C282">
        <v>1118</v>
      </c>
      <c r="D282">
        <v>281</v>
      </c>
      <c r="E282">
        <v>6500</v>
      </c>
      <c r="F282" t="s">
        <v>59</v>
      </c>
      <c r="G282">
        <v>2</v>
      </c>
      <c r="H282" t="s">
        <v>133</v>
      </c>
      <c r="I282">
        <v>11</v>
      </c>
      <c r="J282" s="54">
        <f t="shared" si="4"/>
        <v>2</v>
      </c>
    </row>
    <row r="283" spans="1:10">
      <c r="A283" s="43">
        <v>43431</v>
      </c>
      <c r="B283">
        <v>2006</v>
      </c>
      <c r="C283">
        <v>1118</v>
      </c>
      <c r="D283">
        <v>282</v>
      </c>
      <c r="E283">
        <v>6100</v>
      </c>
      <c r="F283" t="s">
        <v>59</v>
      </c>
      <c r="G283">
        <v>90</v>
      </c>
      <c r="H283" t="s">
        <v>60</v>
      </c>
      <c r="I283">
        <v>13</v>
      </c>
      <c r="J283" s="54">
        <f t="shared" si="4"/>
        <v>3</v>
      </c>
    </row>
    <row r="284" spans="1:10">
      <c r="A284" s="43">
        <v>43430</v>
      </c>
      <c r="B284">
        <v>2007</v>
      </c>
      <c r="C284">
        <v>1118</v>
      </c>
      <c r="D284">
        <v>283</v>
      </c>
      <c r="E284">
        <v>6150</v>
      </c>
      <c r="F284" t="s">
        <v>59</v>
      </c>
      <c r="G284">
        <v>3</v>
      </c>
      <c r="H284" t="s">
        <v>133</v>
      </c>
      <c r="I284">
        <v>12</v>
      </c>
      <c r="J284" s="54">
        <f t="shared" si="4"/>
        <v>3</v>
      </c>
    </row>
    <row r="285" spans="1:10">
      <c r="A285" s="43">
        <v>43427</v>
      </c>
      <c r="B285">
        <v>2006</v>
      </c>
      <c r="C285">
        <v>1118</v>
      </c>
      <c r="D285">
        <v>284</v>
      </c>
      <c r="E285">
        <v>6300</v>
      </c>
      <c r="F285" t="s">
        <v>59</v>
      </c>
      <c r="G285">
        <v>7</v>
      </c>
      <c r="H285" t="s">
        <v>133</v>
      </c>
      <c r="I285">
        <v>13</v>
      </c>
      <c r="J285" s="54">
        <f t="shared" si="4"/>
        <v>7</v>
      </c>
    </row>
    <row r="286" spans="1:10">
      <c r="A286" s="43">
        <v>43417</v>
      </c>
      <c r="B286">
        <v>2008</v>
      </c>
      <c r="C286">
        <v>1118</v>
      </c>
      <c r="D286">
        <v>285</v>
      </c>
      <c r="E286">
        <v>6250</v>
      </c>
      <c r="F286" t="s">
        <v>59</v>
      </c>
      <c r="G286">
        <v>5</v>
      </c>
      <c r="H286" t="s">
        <v>133</v>
      </c>
      <c r="I286">
        <v>11</v>
      </c>
      <c r="J286" s="54">
        <f t="shared" si="4"/>
        <v>5</v>
      </c>
    </row>
    <row r="287" spans="1:10">
      <c r="A287" s="43">
        <v>43417</v>
      </c>
      <c r="B287">
        <v>2008</v>
      </c>
      <c r="C287">
        <v>1118</v>
      </c>
      <c r="D287">
        <v>286</v>
      </c>
      <c r="E287">
        <v>7300</v>
      </c>
      <c r="F287" t="s">
        <v>59</v>
      </c>
      <c r="G287">
        <v>3</v>
      </c>
      <c r="H287" t="s">
        <v>133</v>
      </c>
      <c r="I287">
        <v>11</v>
      </c>
      <c r="J287" s="54">
        <f t="shared" si="4"/>
        <v>3</v>
      </c>
    </row>
    <row r="288" spans="1:10">
      <c r="A288" s="43">
        <v>43417</v>
      </c>
      <c r="B288">
        <v>2008</v>
      </c>
      <c r="C288">
        <v>1118</v>
      </c>
      <c r="D288">
        <v>287</v>
      </c>
      <c r="E288">
        <v>7600</v>
      </c>
      <c r="F288" t="s">
        <v>59</v>
      </c>
      <c r="G288">
        <v>4</v>
      </c>
      <c r="H288" t="s">
        <v>133</v>
      </c>
      <c r="I288">
        <v>11</v>
      </c>
      <c r="J288" s="54">
        <f t="shared" si="4"/>
        <v>4</v>
      </c>
    </row>
    <row r="289" spans="1:10">
      <c r="A289" s="43">
        <v>43405</v>
      </c>
      <c r="B289">
        <v>2007</v>
      </c>
      <c r="C289">
        <v>1118</v>
      </c>
      <c r="D289">
        <v>288</v>
      </c>
      <c r="E289">
        <v>7500</v>
      </c>
      <c r="F289" t="s">
        <v>59</v>
      </c>
      <c r="G289">
        <v>6</v>
      </c>
      <c r="H289" t="s">
        <v>133</v>
      </c>
      <c r="I289">
        <v>12</v>
      </c>
      <c r="J289" s="54">
        <f t="shared" si="4"/>
        <v>6</v>
      </c>
    </row>
    <row r="290" spans="1:10">
      <c r="A290" s="43">
        <v>43391</v>
      </c>
      <c r="B290">
        <v>2006</v>
      </c>
      <c r="C290">
        <v>1118</v>
      </c>
      <c r="D290">
        <v>289</v>
      </c>
      <c r="E290">
        <v>7500</v>
      </c>
      <c r="F290" t="s">
        <v>59</v>
      </c>
      <c r="G290">
        <v>30</v>
      </c>
      <c r="H290" t="s">
        <v>60</v>
      </c>
      <c r="I290">
        <v>13</v>
      </c>
      <c r="J290" s="54">
        <f t="shared" si="4"/>
        <v>1</v>
      </c>
    </row>
    <row r="291" spans="1:10">
      <c r="A291" s="43">
        <v>43388</v>
      </c>
      <c r="B291">
        <v>2007</v>
      </c>
      <c r="C291">
        <v>1118</v>
      </c>
      <c r="D291">
        <v>290</v>
      </c>
      <c r="E291">
        <v>6000</v>
      </c>
      <c r="F291" t="s">
        <v>59</v>
      </c>
      <c r="G291">
        <v>2</v>
      </c>
      <c r="H291" t="s">
        <v>133</v>
      </c>
      <c r="I291">
        <v>12</v>
      </c>
      <c r="J291" s="54">
        <f t="shared" si="4"/>
        <v>2</v>
      </c>
    </row>
    <row r="292" spans="1:10">
      <c r="A292" s="43">
        <v>43385</v>
      </c>
      <c r="B292">
        <v>2007</v>
      </c>
      <c r="C292">
        <v>1118</v>
      </c>
      <c r="D292">
        <v>291</v>
      </c>
      <c r="E292">
        <v>6200</v>
      </c>
      <c r="F292" t="s">
        <v>59</v>
      </c>
      <c r="G292">
        <v>12</v>
      </c>
      <c r="H292" t="s">
        <v>133</v>
      </c>
      <c r="I292">
        <v>12</v>
      </c>
      <c r="J292" s="54">
        <f t="shared" si="4"/>
        <v>12</v>
      </c>
    </row>
    <row r="293" spans="1:10">
      <c r="A293" s="43">
        <v>43385</v>
      </c>
      <c r="B293">
        <v>2006</v>
      </c>
      <c r="C293">
        <v>1118</v>
      </c>
      <c r="D293">
        <v>292</v>
      </c>
      <c r="E293">
        <v>7500</v>
      </c>
      <c r="F293" t="s">
        <v>59</v>
      </c>
      <c r="G293">
        <v>5</v>
      </c>
      <c r="H293" t="s">
        <v>133</v>
      </c>
      <c r="I293">
        <v>13</v>
      </c>
      <c r="J293" s="54">
        <f t="shared" si="4"/>
        <v>5</v>
      </c>
    </row>
    <row r="294" spans="1:10">
      <c r="A294" s="43">
        <v>43374</v>
      </c>
      <c r="B294">
        <v>2007</v>
      </c>
      <c r="C294">
        <v>1118</v>
      </c>
      <c r="D294">
        <v>293</v>
      </c>
      <c r="E294">
        <v>6350</v>
      </c>
      <c r="F294" t="s">
        <v>59</v>
      </c>
      <c r="G294">
        <v>8</v>
      </c>
      <c r="H294" t="s">
        <v>133</v>
      </c>
      <c r="I294">
        <v>12</v>
      </c>
      <c r="J294" s="54">
        <f t="shared" si="4"/>
        <v>8</v>
      </c>
    </row>
    <row r="295" spans="1:10">
      <c r="A295" s="43">
        <v>43374</v>
      </c>
      <c r="B295">
        <v>2009</v>
      </c>
      <c r="C295">
        <v>1118</v>
      </c>
      <c r="D295">
        <v>294</v>
      </c>
      <c r="E295">
        <v>6500</v>
      </c>
      <c r="F295" t="s">
        <v>59</v>
      </c>
      <c r="G295">
        <v>60</v>
      </c>
      <c r="H295" t="s">
        <v>60</v>
      </c>
      <c r="I295">
        <v>10</v>
      </c>
      <c r="J295" s="54">
        <f t="shared" si="4"/>
        <v>2</v>
      </c>
    </row>
    <row r="296" spans="1:10">
      <c r="A296" s="43">
        <v>43370</v>
      </c>
      <c r="B296">
        <v>2006</v>
      </c>
      <c r="C296">
        <v>1118</v>
      </c>
      <c r="D296">
        <v>295</v>
      </c>
      <c r="E296">
        <v>6250</v>
      </c>
      <c r="F296" t="s">
        <v>59</v>
      </c>
      <c r="G296">
        <v>7</v>
      </c>
      <c r="H296" t="s">
        <v>133</v>
      </c>
      <c r="I296">
        <v>13</v>
      </c>
      <c r="J296" s="54">
        <f t="shared" si="4"/>
        <v>7</v>
      </c>
    </row>
    <row r="297" spans="1:10">
      <c r="A297" s="43">
        <v>43370</v>
      </c>
      <c r="B297">
        <v>2008</v>
      </c>
      <c r="C297">
        <v>1118</v>
      </c>
      <c r="D297">
        <v>296</v>
      </c>
      <c r="E297">
        <v>7500</v>
      </c>
      <c r="F297" t="s">
        <v>59</v>
      </c>
      <c r="G297">
        <v>5</v>
      </c>
      <c r="H297" t="s">
        <v>133</v>
      </c>
      <c r="I297">
        <v>11</v>
      </c>
      <c r="J297" s="54">
        <f t="shared" si="4"/>
        <v>5</v>
      </c>
    </row>
    <row r="298" spans="1:10">
      <c r="A298" s="43">
        <v>43361</v>
      </c>
      <c r="B298">
        <v>2006</v>
      </c>
      <c r="C298">
        <v>1118</v>
      </c>
      <c r="D298">
        <v>297</v>
      </c>
      <c r="E298">
        <v>6400</v>
      </c>
      <c r="F298" t="s">
        <v>59</v>
      </c>
      <c r="G298">
        <v>9</v>
      </c>
      <c r="H298" t="s">
        <v>133</v>
      </c>
      <c r="I298">
        <v>13</v>
      </c>
      <c r="J298" s="54">
        <f t="shared" si="4"/>
        <v>9</v>
      </c>
    </row>
    <row r="299" spans="1:10">
      <c r="A299" s="43">
        <v>43360</v>
      </c>
      <c r="B299">
        <v>2008</v>
      </c>
      <c r="C299">
        <v>1118</v>
      </c>
      <c r="D299">
        <v>298</v>
      </c>
      <c r="E299">
        <v>7400</v>
      </c>
      <c r="F299" t="s">
        <v>59</v>
      </c>
      <c r="G299">
        <v>6</v>
      </c>
      <c r="H299" t="s">
        <v>133</v>
      </c>
      <c r="I299">
        <v>11</v>
      </c>
      <c r="J299" s="54">
        <f t="shared" si="4"/>
        <v>6</v>
      </c>
    </row>
    <row r="300" spans="1:10">
      <c r="A300" s="43">
        <v>43360</v>
      </c>
      <c r="B300">
        <v>2007</v>
      </c>
      <c r="C300">
        <v>1118</v>
      </c>
      <c r="D300">
        <v>299</v>
      </c>
      <c r="E300">
        <v>7700</v>
      </c>
      <c r="F300" t="s">
        <v>59</v>
      </c>
      <c r="G300">
        <v>5</v>
      </c>
      <c r="H300" t="s">
        <v>133</v>
      </c>
      <c r="I300">
        <v>12</v>
      </c>
      <c r="J300" s="54">
        <f t="shared" si="4"/>
        <v>5</v>
      </c>
    </row>
    <row r="301" spans="1:10">
      <c r="A301" s="43">
        <v>43353</v>
      </c>
      <c r="B301">
        <v>2006</v>
      </c>
      <c r="C301">
        <v>1118</v>
      </c>
      <c r="D301">
        <v>300</v>
      </c>
      <c r="E301">
        <v>6250</v>
      </c>
      <c r="F301" t="s">
        <v>59</v>
      </c>
      <c r="G301">
        <v>13</v>
      </c>
      <c r="H301" t="s">
        <v>133</v>
      </c>
      <c r="I301">
        <v>13</v>
      </c>
      <c r="J301" s="54">
        <f t="shared" si="4"/>
        <v>13</v>
      </c>
    </row>
    <row r="302" spans="1:10">
      <c r="A302" s="43">
        <v>43335</v>
      </c>
      <c r="B302">
        <v>2006</v>
      </c>
      <c r="C302">
        <v>1118</v>
      </c>
      <c r="D302">
        <v>301</v>
      </c>
      <c r="E302">
        <v>6800</v>
      </c>
      <c r="F302" t="s">
        <v>59</v>
      </c>
      <c r="G302">
        <v>8</v>
      </c>
      <c r="H302" t="s">
        <v>133</v>
      </c>
      <c r="I302">
        <v>13</v>
      </c>
      <c r="J302" s="54">
        <f t="shared" si="4"/>
        <v>8</v>
      </c>
    </row>
    <row r="303" spans="1:10">
      <c r="A303" s="43">
        <v>43328</v>
      </c>
      <c r="B303">
        <v>2008</v>
      </c>
      <c r="C303">
        <v>1118</v>
      </c>
      <c r="D303">
        <v>302</v>
      </c>
      <c r="E303">
        <v>7000</v>
      </c>
      <c r="F303" t="s">
        <v>59</v>
      </c>
      <c r="G303">
        <v>12</v>
      </c>
      <c r="H303" t="s">
        <v>133</v>
      </c>
      <c r="I303">
        <v>11</v>
      </c>
      <c r="J303" s="54">
        <f t="shared" si="4"/>
        <v>12</v>
      </c>
    </row>
    <row r="304" spans="1:10">
      <c r="A304" s="43">
        <v>43328</v>
      </c>
      <c r="B304">
        <v>2007</v>
      </c>
      <c r="C304">
        <v>1118</v>
      </c>
      <c r="D304">
        <v>303</v>
      </c>
      <c r="E304">
        <v>6950</v>
      </c>
      <c r="F304" t="s">
        <v>59</v>
      </c>
      <c r="G304">
        <v>90</v>
      </c>
      <c r="H304" t="s">
        <v>60</v>
      </c>
      <c r="I304">
        <v>12</v>
      </c>
      <c r="J304" s="54">
        <f t="shared" si="4"/>
        <v>3</v>
      </c>
    </row>
    <row r="305" spans="1:10">
      <c r="A305" s="43">
        <v>43327</v>
      </c>
      <c r="B305">
        <v>2007</v>
      </c>
      <c r="C305">
        <v>1118</v>
      </c>
      <c r="D305">
        <v>304</v>
      </c>
      <c r="E305">
        <v>7200</v>
      </c>
      <c r="F305" t="s">
        <v>59</v>
      </c>
      <c r="G305">
        <v>6</v>
      </c>
      <c r="H305" t="s">
        <v>133</v>
      </c>
      <c r="I305">
        <v>12</v>
      </c>
      <c r="J305" s="54">
        <f t="shared" si="4"/>
        <v>6</v>
      </c>
    </row>
    <row r="306" spans="1:10">
      <c r="A306" s="43">
        <v>43313</v>
      </c>
      <c r="B306">
        <v>2007</v>
      </c>
      <c r="C306">
        <v>1118</v>
      </c>
      <c r="D306">
        <v>305</v>
      </c>
      <c r="E306">
        <v>7250</v>
      </c>
      <c r="F306" t="s">
        <v>59</v>
      </c>
      <c r="G306">
        <v>7</v>
      </c>
      <c r="H306" t="s">
        <v>133</v>
      </c>
      <c r="I306">
        <v>12</v>
      </c>
      <c r="J306" s="54">
        <f t="shared" si="4"/>
        <v>7</v>
      </c>
    </row>
    <row r="307" spans="1:10">
      <c r="A307" s="43">
        <v>43312</v>
      </c>
      <c r="B307">
        <v>2008</v>
      </c>
      <c r="C307">
        <v>1118</v>
      </c>
      <c r="D307">
        <v>306</v>
      </c>
      <c r="E307">
        <v>5500</v>
      </c>
      <c r="F307" t="s">
        <v>59</v>
      </c>
      <c r="G307">
        <v>6</v>
      </c>
      <c r="H307" t="s">
        <v>133</v>
      </c>
      <c r="I307">
        <v>11</v>
      </c>
      <c r="J307" s="54">
        <f t="shared" si="4"/>
        <v>6</v>
      </c>
    </row>
    <row r="308" spans="1:10">
      <c r="A308" s="43">
        <v>43283</v>
      </c>
      <c r="B308">
        <v>2008</v>
      </c>
      <c r="C308">
        <v>1118</v>
      </c>
      <c r="D308">
        <v>307</v>
      </c>
      <c r="E308">
        <v>8500</v>
      </c>
      <c r="F308" t="s">
        <v>59</v>
      </c>
      <c r="G308">
        <v>5</v>
      </c>
      <c r="H308" t="s">
        <v>133</v>
      </c>
      <c r="I308">
        <v>11</v>
      </c>
      <c r="J308" s="54">
        <f t="shared" si="4"/>
        <v>5</v>
      </c>
    </row>
    <row r="309" spans="1:10">
      <c r="A309" s="43">
        <v>43283</v>
      </c>
      <c r="B309">
        <v>2007</v>
      </c>
      <c r="C309">
        <v>1118</v>
      </c>
      <c r="D309">
        <v>308</v>
      </c>
      <c r="E309">
        <v>8000</v>
      </c>
      <c r="F309" t="s">
        <v>59</v>
      </c>
      <c r="G309">
        <v>6</v>
      </c>
      <c r="H309" t="s">
        <v>133</v>
      </c>
      <c r="I309">
        <v>12</v>
      </c>
      <c r="J309" s="54">
        <f t="shared" si="4"/>
        <v>6</v>
      </c>
    </row>
    <row r="310" spans="1:10">
      <c r="A310" s="43">
        <v>43258</v>
      </c>
      <c r="B310">
        <v>2008</v>
      </c>
      <c r="C310">
        <v>1118</v>
      </c>
      <c r="D310">
        <v>309</v>
      </c>
      <c r="E310">
        <v>8000</v>
      </c>
      <c r="F310" t="s">
        <v>59</v>
      </c>
      <c r="G310">
        <v>6</v>
      </c>
      <c r="H310" t="s">
        <v>133</v>
      </c>
      <c r="I310">
        <v>11</v>
      </c>
      <c r="J310" s="54">
        <f t="shared" si="4"/>
        <v>6</v>
      </c>
    </row>
    <row r="311" spans="1:10">
      <c r="A311" s="43">
        <v>43257</v>
      </c>
      <c r="B311">
        <v>2008</v>
      </c>
      <c r="C311">
        <v>1118</v>
      </c>
      <c r="D311">
        <v>310</v>
      </c>
      <c r="E311">
        <v>8000</v>
      </c>
      <c r="F311" t="s">
        <v>59</v>
      </c>
      <c r="G311">
        <v>6</v>
      </c>
      <c r="H311" t="s">
        <v>133</v>
      </c>
      <c r="I311">
        <v>11</v>
      </c>
      <c r="J311" s="54">
        <f t="shared" si="4"/>
        <v>6</v>
      </c>
    </row>
    <row r="312" spans="1:10">
      <c r="A312" s="43">
        <v>43241</v>
      </c>
      <c r="B312">
        <v>2008</v>
      </c>
      <c r="C312">
        <v>1118</v>
      </c>
      <c r="D312">
        <v>311</v>
      </c>
      <c r="E312">
        <v>9000</v>
      </c>
      <c r="F312" t="s">
        <v>59</v>
      </c>
      <c r="G312">
        <v>6</v>
      </c>
      <c r="H312" t="s">
        <v>133</v>
      </c>
      <c r="I312">
        <v>11</v>
      </c>
      <c r="J312" s="54">
        <f t="shared" si="4"/>
        <v>6</v>
      </c>
    </row>
    <row r="313" spans="1:10">
      <c r="A313" s="43">
        <v>43228</v>
      </c>
      <c r="B313">
        <v>2009</v>
      </c>
      <c r="C313">
        <v>1118</v>
      </c>
      <c r="D313">
        <v>312</v>
      </c>
      <c r="E313">
        <v>8000</v>
      </c>
      <c r="F313" t="s">
        <v>59</v>
      </c>
      <c r="G313">
        <v>6</v>
      </c>
      <c r="H313" t="s">
        <v>133</v>
      </c>
      <c r="I313">
        <v>10</v>
      </c>
      <c r="J313" s="54">
        <f t="shared" si="4"/>
        <v>6</v>
      </c>
    </row>
    <row r="314" spans="1:10">
      <c r="A314" s="43">
        <v>43215</v>
      </c>
      <c r="B314">
        <v>2007</v>
      </c>
      <c r="C314">
        <v>1118</v>
      </c>
      <c r="D314">
        <v>313</v>
      </c>
      <c r="E314">
        <v>8300</v>
      </c>
      <c r="F314" t="s">
        <v>59</v>
      </c>
      <c r="G314">
        <v>12</v>
      </c>
      <c r="H314" t="s">
        <v>133</v>
      </c>
      <c r="I314">
        <v>12</v>
      </c>
      <c r="J314" s="54">
        <f t="shared" si="4"/>
        <v>12</v>
      </c>
    </row>
    <row r="315" spans="1:10">
      <c r="A315" s="43">
        <v>43214</v>
      </c>
      <c r="B315">
        <v>2007</v>
      </c>
      <c r="C315">
        <v>1118</v>
      </c>
      <c r="D315">
        <v>314</v>
      </c>
      <c r="E315">
        <v>8300</v>
      </c>
      <c r="F315" t="s">
        <v>59</v>
      </c>
      <c r="G315">
        <v>5</v>
      </c>
      <c r="H315" t="s">
        <v>133</v>
      </c>
      <c r="I315">
        <v>12</v>
      </c>
      <c r="J315" s="54">
        <f t="shared" si="4"/>
        <v>5</v>
      </c>
    </row>
    <row r="316" spans="1:10">
      <c r="A316" s="43">
        <v>43196</v>
      </c>
      <c r="B316">
        <v>2007</v>
      </c>
      <c r="C316">
        <v>1118</v>
      </c>
      <c r="D316">
        <v>315</v>
      </c>
      <c r="E316">
        <v>8300</v>
      </c>
      <c r="F316" t="s">
        <v>59</v>
      </c>
      <c r="G316">
        <v>6</v>
      </c>
      <c r="H316" t="s">
        <v>133</v>
      </c>
      <c r="I316">
        <v>12</v>
      </c>
      <c r="J316" s="54">
        <f t="shared" si="4"/>
        <v>6</v>
      </c>
    </row>
    <row r="317" spans="1:10">
      <c r="A317" s="43">
        <v>43178</v>
      </c>
      <c r="B317">
        <v>2006</v>
      </c>
      <c r="C317">
        <v>1118</v>
      </c>
      <c r="D317">
        <v>316</v>
      </c>
      <c r="E317">
        <v>7650</v>
      </c>
      <c r="F317" t="s">
        <v>59</v>
      </c>
      <c r="G317">
        <v>7</v>
      </c>
      <c r="H317" t="s">
        <v>133</v>
      </c>
      <c r="I317">
        <v>13</v>
      </c>
      <c r="J317" s="54">
        <f t="shared" si="4"/>
        <v>7</v>
      </c>
    </row>
    <row r="318" spans="1:10">
      <c r="A318" s="43">
        <v>43174</v>
      </c>
      <c r="B318">
        <v>2007</v>
      </c>
      <c r="C318">
        <v>1118</v>
      </c>
      <c r="D318">
        <v>317</v>
      </c>
      <c r="E318">
        <v>9300</v>
      </c>
      <c r="F318" t="s">
        <v>59</v>
      </c>
      <c r="G318">
        <v>13</v>
      </c>
      <c r="H318" t="s">
        <v>133</v>
      </c>
      <c r="I318">
        <v>12</v>
      </c>
      <c r="J318" s="54">
        <f t="shared" si="4"/>
        <v>13</v>
      </c>
    </row>
    <row r="319" spans="1:10">
      <c r="A319" s="43">
        <v>43167</v>
      </c>
      <c r="B319">
        <v>2007</v>
      </c>
      <c r="C319">
        <v>1118</v>
      </c>
      <c r="D319">
        <v>318</v>
      </c>
      <c r="E319">
        <v>7200</v>
      </c>
      <c r="F319" t="s">
        <v>59</v>
      </c>
      <c r="G319">
        <v>5</v>
      </c>
      <c r="H319" t="s">
        <v>133</v>
      </c>
      <c r="I319">
        <v>12</v>
      </c>
      <c r="J319" s="54">
        <f t="shared" si="4"/>
        <v>5</v>
      </c>
    </row>
    <row r="320" spans="1:10">
      <c r="A320" s="43">
        <v>43159</v>
      </c>
      <c r="B320">
        <v>2006</v>
      </c>
      <c r="C320">
        <v>1118</v>
      </c>
      <c r="D320">
        <v>319</v>
      </c>
      <c r="E320">
        <v>8750</v>
      </c>
      <c r="F320" t="s">
        <v>59</v>
      </c>
      <c r="G320">
        <v>12</v>
      </c>
      <c r="H320" t="s">
        <v>133</v>
      </c>
      <c r="I320">
        <v>13</v>
      </c>
      <c r="J320" s="54">
        <f t="shared" si="4"/>
        <v>12</v>
      </c>
    </row>
    <row r="321" spans="1:10">
      <c r="A321" s="43">
        <v>43144</v>
      </c>
      <c r="B321">
        <v>2006</v>
      </c>
      <c r="C321">
        <v>1118</v>
      </c>
      <c r="D321">
        <v>320</v>
      </c>
      <c r="E321">
        <v>7000</v>
      </c>
      <c r="F321" t="s">
        <v>59</v>
      </c>
      <c r="G321">
        <v>13</v>
      </c>
      <c r="H321" t="s">
        <v>133</v>
      </c>
      <c r="I321">
        <v>13</v>
      </c>
      <c r="J321" s="54">
        <f t="shared" si="4"/>
        <v>13</v>
      </c>
    </row>
    <row r="322" spans="1:10">
      <c r="A322" s="43">
        <v>43144</v>
      </c>
      <c r="B322">
        <v>2008</v>
      </c>
      <c r="C322">
        <v>1118</v>
      </c>
      <c r="D322">
        <v>321</v>
      </c>
      <c r="E322">
        <v>7200</v>
      </c>
      <c r="F322" t="s">
        <v>59</v>
      </c>
      <c r="G322">
        <v>8</v>
      </c>
      <c r="H322" t="s">
        <v>133</v>
      </c>
      <c r="I322">
        <v>11</v>
      </c>
      <c r="J322" s="54">
        <f t="shared" ref="J322:J385" si="5">IF(H322="days",ROUND(G322/30,0),IF(H322="years",G322*12,G322))</f>
        <v>8</v>
      </c>
    </row>
    <row r="323" spans="1:10">
      <c r="A323" s="43">
        <v>43143</v>
      </c>
      <c r="B323">
        <v>2008</v>
      </c>
      <c r="C323">
        <v>1118</v>
      </c>
      <c r="D323">
        <v>322</v>
      </c>
      <c r="E323">
        <v>7200</v>
      </c>
      <c r="F323" t="s">
        <v>59</v>
      </c>
      <c r="G323">
        <v>4</v>
      </c>
      <c r="H323" t="s">
        <v>133</v>
      </c>
      <c r="I323">
        <v>11</v>
      </c>
      <c r="J323" s="54">
        <f t="shared" si="5"/>
        <v>4</v>
      </c>
    </row>
    <row r="324" spans="1:10">
      <c r="A324" s="43">
        <v>43139</v>
      </c>
      <c r="B324">
        <v>2007</v>
      </c>
      <c r="C324">
        <v>1118</v>
      </c>
      <c r="D324">
        <v>323</v>
      </c>
      <c r="E324">
        <v>6800</v>
      </c>
      <c r="F324" t="s">
        <v>59</v>
      </c>
      <c r="G324">
        <v>6</v>
      </c>
      <c r="H324" t="s">
        <v>133</v>
      </c>
      <c r="I324">
        <v>12</v>
      </c>
      <c r="J324" s="54">
        <f t="shared" si="5"/>
        <v>6</v>
      </c>
    </row>
    <row r="325" spans="1:10">
      <c r="A325" s="43">
        <v>43122</v>
      </c>
      <c r="B325">
        <v>2006</v>
      </c>
      <c r="C325">
        <v>1118</v>
      </c>
      <c r="D325">
        <v>324</v>
      </c>
      <c r="E325">
        <v>8200</v>
      </c>
      <c r="F325" t="s">
        <v>59</v>
      </c>
      <c r="G325">
        <v>9</v>
      </c>
      <c r="H325" t="s">
        <v>133</v>
      </c>
      <c r="I325">
        <v>13</v>
      </c>
      <c r="J325" s="54">
        <f t="shared" si="5"/>
        <v>9</v>
      </c>
    </row>
    <row r="326" spans="1:10">
      <c r="A326" s="43">
        <v>43122</v>
      </c>
      <c r="B326">
        <v>2008</v>
      </c>
      <c r="C326">
        <v>1118</v>
      </c>
      <c r="D326">
        <v>325</v>
      </c>
      <c r="E326">
        <v>7300</v>
      </c>
      <c r="F326" t="s">
        <v>59</v>
      </c>
      <c r="G326">
        <v>12</v>
      </c>
      <c r="H326" t="s">
        <v>133</v>
      </c>
      <c r="I326">
        <v>11</v>
      </c>
      <c r="J326" s="54">
        <f t="shared" si="5"/>
        <v>12</v>
      </c>
    </row>
    <row r="327" spans="1:10">
      <c r="A327" s="43">
        <v>43117</v>
      </c>
      <c r="B327">
        <v>2009</v>
      </c>
      <c r="C327">
        <v>1118</v>
      </c>
      <c r="D327">
        <v>326</v>
      </c>
      <c r="E327">
        <v>6375</v>
      </c>
      <c r="F327" t="s">
        <v>59</v>
      </c>
      <c r="G327">
        <v>3.5</v>
      </c>
      <c r="H327" t="s">
        <v>133</v>
      </c>
      <c r="I327">
        <v>10</v>
      </c>
      <c r="J327" s="54">
        <f t="shared" si="5"/>
        <v>3.5</v>
      </c>
    </row>
    <row r="328" spans="1:10">
      <c r="A328" s="43">
        <v>43116</v>
      </c>
      <c r="B328">
        <v>2008</v>
      </c>
      <c r="C328">
        <v>1118</v>
      </c>
      <c r="D328">
        <v>327</v>
      </c>
      <c r="E328">
        <v>8100</v>
      </c>
      <c r="F328" t="s">
        <v>59</v>
      </c>
      <c r="G328">
        <v>6</v>
      </c>
      <c r="H328" t="s">
        <v>133</v>
      </c>
      <c r="I328">
        <v>11</v>
      </c>
      <c r="J328" s="54">
        <f t="shared" si="5"/>
        <v>6</v>
      </c>
    </row>
    <row r="329" spans="1:10">
      <c r="A329" s="43">
        <v>43116</v>
      </c>
      <c r="B329">
        <v>2008</v>
      </c>
      <c r="C329">
        <v>1118</v>
      </c>
      <c r="D329">
        <v>328</v>
      </c>
      <c r="E329">
        <v>8250</v>
      </c>
      <c r="F329" t="s">
        <v>59</v>
      </c>
      <c r="G329">
        <v>8</v>
      </c>
      <c r="H329" t="s">
        <v>133</v>
      </c>
      <c r="I329">
        <v>11</v>
      </c>
      <c r="J329" s="54">
        <f t="shared" si="5"/>
        <v>8</v>
      </c>
    </row>
    <row r="330" spans="1:10">
      <c r="A330" s="43">
        <v>43115</v>
      </c>
      <c r="B330">
        <v>2007</v>
      </c>
      <c r="C330">
        <v>1118</v>
      </c>
      <c r="D330">
        <v>329</v>
      </c>
      <c r="E330">
        <v>7500</v>
      </c>
      <c r="F330" t="s">
        <v>59</v>
      </c>
      <c r="G330">
        <v>6</v>
      </c>
      <c r="H330" t="s">
        <v>133</v>
      </c>
      <c r="I330">
        <v>12</v>
      </c>
      <c r="J330" s="54">
        <f t="shared" si="5"/>
        <v>6</v>
      </c>
    </row>
    <row r="331" spans="1:10">
      <c r="A331" s="43">
        <v>43115</v>
      </c>
      <c r="B331">
        <v>2006</v>
      </c>
      <c r="C331">
        <v>1118</v>
      </c>
      <c r="D331">
        <v>330</v>
      </c>
      <c r="E331">
        <v>6850</v>
      </c>
      <c r="F331" t="s">
        <v>59</v>
      </c>
      <c r="G331">
        <v>12</v>
      </c>
      <c r="H331" t="s">
        <v>133</v>
      </c>
      <c r="I331">
        <v>13</v>
      </c>
      <c r="J331" s="54">
        <f t="shared" si="5"/>
        <v>12</v>
      </c>
    </row>
    <row r="332" spans="1:10">
      <c r="A332" s="43">
        <v>43112</v>
      </c>
      <c r="B332">
        <v>2007</v>
      </c>
      <c r="C332">
        <v>1118</v>
      </c>
      <c r="D332">
        <v>331</v>
      </c>
      <c r="E332">
        <v>7250</v>
      </c>
      <c r="F332" t="s">
        <v>59</v>
      </c>
      <c r="G332">
        <v>12</v>
      </c>
      <c r="H332" t="s">
        <v>133</v>
      </c>
      <c r="I332">
        <v>12</v>
      </c>
      <c r="J332" s="54">
        <f t="shared" si="5"/>
        <v>12</v>
      </c>
    </row>
    <row r="333" spans="1:10">
      <c r="A333" s="43">
        <v>43097</v>
      </c>
      <c r="B333">
        <v>2008</v>
      </c>
      <c r="C333">
        <v>1118</v>
      </c>
      <c r="D333">
        <v>332</v>
      </c>
      <c r="E333">
        <v>6000</v>
      </c>
      <c r="F333" t="s">
        <v>59</v>
      </c>
      <c r="G333">
        <v>4</v>
      </c>
      <c r="H333" t="s">
        <v>133</v>
      </c>
      <c r="I333">
        <v>11</v>
      </c>
      <c r="J333" s="54">
        <f t="shared" si="5"/>
        <v>4</v>
      </c>
    </row>
    <row r="334" spans="1:10">
      <c r="A334" s="43">
        <v>43088</v>
      </c>
      <c r="B334">
        <v>2008</v>
      </c>
      <c r="C334">
        <v>1118</v>
      </c>
      <c r="D334">
        <v>333</v>
      </c>
      <c r="E334">
        <v>6100</v>
      </c>
      <c r="F334" t="s">
        <v>59</v>
      </c>
      <c r="G334">
        <v>9</v>
      </c>
      <c r="H334" t="s">
        <v>133</v>
      </c>
      <c r="I334">
        <v>11</v>
      </c>
      <c r="J334" s="54">
        <f t="shared" si="5"/>
        <v>9</v>
      </c>
    </row>
    <row r="335" spans="1:10">
      <c r="A335" s="43">
        <v>43087</v>
      </c>
      <c r="B335">
        <v>2006</v>
      </c>
      <c r="C335">
        <v>1118</v>
      </c>
      <c r="D335">
        <v>334</v>
      </c>
      <c r="E335">
        <v>6000</v>
      </c>
      <c r="F335" t="s">
        <v>59</v>
      </c>
      <c r="G335">
        <v>9</v>
      </c>
      <c r="H335" t="s">
        <v>133</v>
      </c>
      <c r="I335">
        <v>13</v>
      </c>
      <c r="J335" s="54">
        <f t="shared" si="5"/>
        <v>9</v>
      </c>
    </row>
    <row r="336" spans="1:10">
      <c r="A336" s="43">
        <v>43083</v>
      </c>
      <c r="B336">
        <v>2009</v>
      </c>
      <c r="C336">
        <v>1118</v>
      </c>
      <c r="D336">
        <v>335</v>
      </c>
      <c r="E336">
        <v>6250</v>
      </c>
      <c r="F336" t="s">
        <v>59</v>
      </c>
      <c r="G336">
        <v>4</v>
      </c>
      <c r="H336" t="s">
        <v>133</v>
      </c>
      <c r="I336">
        <v>10</v>
      </c>
      <c r="J336" s="54">
        <f t="shared" si="5"/>
        <v>4</v>
      </c>
    </row>
    <row r="337" spans="1:10">
      <c r="A337" s="43">
        <v>43070</v>
      </c>
      <c r="B337">
        <v>2008</v>
      </c>
      <c r="C337">
        <v>1118</v>
      </c>
      <c r="D337">
        <v>336</v>
      </c>
      <c r="E337">
        <v>8100</v>
      </c>
      <c r="F337" t="s">
        <v>59</v>
      </c>
      <c r="G337">
        <v>12</v>
      </c>
      <c r="H337" t="s">
        <v>133</v>
      </c>
      <c r="I337">
        <v>11</v>
      </c>
      <c r="J337" s="54">
        <f t="shared" si="5"/>
        <v>12</v>
      </c>
    </row>
    <row r="338" spans="1:10">
      <c r="A338" s="43">
        <v>43062</v>
      </c>
      <c r="B338">
        <v>2007</v>
      </c>
      <c r="C338">
        <v>1118</v>
      </c>
      <c r="D338">
        <v>337</v>
      </c>
      <c r="E338">
        <v>5800</v>
      </c>
      <c r="F338" t="s">
        <v>59</v>
      </c>
      <c r="G338">
        <v>4</v>
      </c>
      <c r="H338" t="s">
        <v>133</v>
      </c>
      <c r="I338">
        <v>12</v>
      </c>
      <c r="J338" s="54">
        <f t="shared" si="5"/>
        <v>4</v>
      </c>
    </row>
    <row r="339" spans="1:10">
      <c r="A339" s="43">
        <v>43054</v>
      </c>
      <c r="B339">
        <v>2006</v>
      </c>
      <c r="C339">
        <v>1118</v>
      </c>
      <c r="D339">
        <v>338</v>
      </c>
      <c r="E339">
        <v>5900</v>
      </c>
      <c r="F339" t="s">
        <v>59</v>
      </c>
      <c r="G339">
        <v>45</v>
      </c>
      <c r="H339" t="s">
        <v>60</v>
      </c>
      <c r="I339">
        <v>13</v>
      </c>
      <c r="J339" s="54">
        <f t="shared" si="5"/>
        <v>2</v>
      </c>
    </row>
    <row r="340" spans="1:10">
      <c r="A340" s="43">
        <v>43033</v>
      </c>
      <c r="B340">
        <v>2008</v>
      </c>
      <c r="C340">
        <v>1118</v>
      </c>
      <c r="D340">
        <v>339</v>
      </c>
      <c r="E340">
        <v>5900</v>
      </c>
      <c r="F340" t="s">
        <v>59</v>
      </c>
      <c r="G340">
        <v>4</v>
      </c>
      <c r="H340" t="s">
        <v>133</v>
      </c>
      <c r="I340">
        <v>11</v>
      </c>
      <c r="J340" s="54">
        <f t="shared" si="5"/>
        <v>4</v>
      </c>
    </row>
    <row r="341" spans="1:10">
      <c r="A341" s="43">
        <v>43031</v>
      </c>
      <c r="B341">
        <v>2008</v>
      </c>
      <c r="C341">
        <v>1118</v>
      </c>
      <c r="D341">
        <v>340</v>
      </c>
      <c r="E341">
        <v>5800</v>
      </c>
      <c r="F341" t="s">
        <v>59</v>
      </c>
      <c r="G341">
        <v>7</v>
      </c>
      <c r="H341" t="s">
        <v>133</v>
      </c>
      <c r="I341">
        <v>11</v>
      </c>
      <c r="J341" s="54">
        <f t="shared" si="5"/>
        <v>7</v>
      </c>
    </row>
    <row r="342" spans="1:10">
      <c r="A342" s="43">
        <v>43024</v>
      </c>
      <c r="B342">
        <v>2006</v>
      </c>
      <c r="C342">
        <v>1118</v>
      </c>
      <c r="D342">
        <v>341</v>
      </c>
      <c r="E342">
        <v>6450</v>
      </c>
      <c r="F342" t="s">
        <v>59</v>
      </c>
      <c r="G342">
        <v>10</v>
      </c>
      <c r="H342" t="s">
        <v>133</v>
      </c>
      <c r="I342">
        <v>13</v>
      </c>
      <c r="J342" s="54">
        <f t="shared" si="5"/>
        <v>10</v>
      </c>
    </row>
    <row r="343" spans="1:10">
      <c r="A343" s="43">
        <v>43023</v>
      </c>
      <c r="B343">
        <v>2007</v>
      </c>
      <c r="C343">
        <v>1118</v>
      </c>
      <c r="D343">
        <v>342</v>
      </c>
      <c r="E343">
        <v>6500</v>
      </c>
      <c r="F343" t="s">
        <v>59</v>
      </c>
      <c r="G343">
        <v>13</v>
      </c>
      <c r="H343" t="s">
        <v>133</v>
      </c>
      <c r="I343">
        <v>12</v>
      </c>
      <c r="J343" s="54">
        <f t="shared" si="5"/>
        <v>13</v>
      </c>
    </row>
    <row r="344" spans="1:10">
      <c r="A344" s="43">
        <v>43021</v>
      </c>
      <c r="B344">
        <v>2008</v>
      </c>
      <c r="C344">
        <v>1118</v>
      </c>
      <c r="D344">
        <v>343</v>
      </c>
      <c r="E344">
        <v>6800</v>
      </c>
      <c r="F344" t="s">
        <v>59</v>
      </c>
      <c r="G344">
        <v>3</v>
      </c>
      <c r="H344" t="s">
        <v>133</v>
      </c>
      <c r="I344">
        <v>11</v>
      </c>
      <c r="J344" s="54">
        <f t="shared" si="5"/>
        <v>3</v>
      </c>
    </row>
    <row r="345" spans="1:10">
      <c r="A345" s="43">
        <v>43017</v>
      </c>
      <c r="B345">
        <v>2006</v>
      </c>
      <c r="C345">
        <v>1118</v>
      </c>
      <c r="D345">
        <v>344</v>
      </c>
      <c r="E345">
        <v>7750</v>
      </c>
      <c r="F345" t="s">
        <v>59</v>
      </c>
      <c r="G345">
        <v>7</v>
      </c>
      <c r="H345" t="s">
        <v>133</v>
      </c>
      <c r="I345">
        <v>13</v>
      </c>
      <c r="J345" s="54">
        <f t="shared" si="5"/>
        <v>7</v>
      </c>
    </row>
    <row r="346" spans="1:10">
      <c r="A346" s="43">
        <v>43017</v>
      </c>
      <c r="B346">
        <v>2007</v>
      </c>
      <c r="C346">
        <v>1118</v>
      </c>
      <c r="D346">
        <v>345</v>
      </c>
      <c r="E346">
        <v>6500</v>
      </c>
      <c r="F346" t="s">
        <v>59</v>
      </c>
      <c r="G346">
        <v>13</v>
      </c>
      <c r="H346" t="s">
        <v>133</v>
      </c>
      <c r="I346">
        <v>12</v>
      </c>
      <c r="J346" s="54">
        <f t="shared" si="5"/>
        <v>13</v>
      </c>
    </row>
    <row r="347" spans="1:10">
      <c r="A347" s="43">
        <v>43013</v>
      </c>
      <c r="B347">
        <v>2008</v>
      </c>
      <c r="C347">
        <v>1118</v>
      </c>
      <c r="D347">
        <v>346</v>
      </c>
      <c r="E347">
        <v>6450</v>
      </c>
      <c r="F347" t="s">
        <v>59</v>
      </c>
      <c r="G347">
        <v>9</v>
      </c>
      <c r="H347" t="s">
        <v>133</v>
      </c>
      <c r="I347">
        <v>11</v>
      </c>
      <c r="J347" s="54">
        <f t="shared" si="5"/>
        <v>9</v>
      </c>
    </row>
    <row r="348" spans="1:10">
      <c r="A348" s="43">
        <v>43010</v>
      </c>
      <c r="B348">
        <v>2008</v>
      </c>
      <c r="C348">
        <v>1118</v>
      </c>
      <c r="D348">
        <v>347</v>
      </c>
      <c r="E348">
        <v>6950</v>
      </c>
      <c r="F348" t="s">
        <v>59</v>
      </c>
      <c r="G348">
        <v>8</v>
      </c>
      <c r="H348" t="s">
        <v>133</v>
      </c>
      <c r="I348">
        <v>11</v>
      </c>
      <c r="J348" s="54">
        <f t="shared" si="5"/>
        <v>8</v>
      </c>
    </row>
    <row r="349" spans="1:10">
      <c r="A349" s="43">
        <v>43005</v>
      </c>
      <c r="B349">
        <v>2006</v>
      </c>
      <c r="C349">
        <v>1118</v>
      </c>
      <c r="D349">
        <v>348</v>
      </c>
      <c r="E349">
        <v>6900</v>
      </c>
      <c r="F349" t="s">
        <v>59</v>
      </c>
      <c r="G349">
        <v>13</v>
      </c>
      <c r="H349" t="s">
        <v>133</v>
      </c>
      <c r="I349">
        <v>13</v>
      </c>
      <c r="J349" s="54">
        <f t="shared" si="5"/>
        <v>13</v>
      </c>
    </row>
    <row r="350" spans="1:10">
      <c r="A350" s="43">
        <v>42979</v>
      </c>
      <c r="B350">
        <v>2007</v>
      </c>
      <c r="C350">
        <v>1118</v>
      </c>
      <c r="D350">
        <v>349</v>
      </c>
      <c r="E350">
        <v>6400</v>
      </c>
      <c r="F350" t="s">
        <v>59</v>
      </c>
      <c r="G350">
        <v>7</v>
      </c>
      <c r="H350" t="s">
        <v>133</v>
      </c>
      <c r="I350">
        <v>12</v>
      </c>
      <c r="J350" s="54">
        <f t="shared" si="5"/>
        <v>7</v>
      </c>
    </row>
    <row r="351" spans="1:10">
      <c r="A351" s="43">
        <v>42971</v>
      </c>
      <c r="B351">
        <v>2008</v>
      </c>
      <c r="C351">
        <v>1118</v>
      </c>
      <c r="D351">
        <v>350</v>
      </c>
      <c r="E351">
        <v>5600</v>
      </c>
      <c r="F351" t="s">
        <v>59</v>
      </c>
      <c r="G351">
        <v>4</v>
      </c>
      <c r="H351" t="s">
        <v>133</v>
      </c>
      <c r="I351">
        <v>11</v>
      </c>
      <c r="J351" s="54">
        <f t="shared" si="5"/>
        <v>4</v>
      </c>
    </row>
    <row r="352" spans="1:10">
      <c r="A352" s="43">
        <v>42968</v>
      </c>
      <c r="B352">
        <v>2006</v>
      </c>
      <c r="C352">
        <v>1118</v>
      </c>
      <c r="D352">
        <v>351</v>
      </c>
      <c r="E352">
        <v>6250</v>
      </c>
      <c r="F352" t="s">
        <v>59</v>
      </c>
      <c r="G352">
        <v>7</v>
      </c>
      <c r="H352" t="s">
        <v>133</v>
      </c>
      <c r="I352">
        <v>13</v>
      </c>
      <c r="J352" s="54">
        <f t="shared" si="5"/>
        <v>7</v>
      </c>
    </row>
    <row r="353" spans="1:10">
      <c r="A353" s="43">
        <v>42963</v>
      </c>
      <c r="B353">
        <v>2007</v>
      </c>
      <c r="C353">
        <v>1118</v>
      </c>
      <c r="D353">
        <v>352</v>
      </c>
      <c r="E353">
        <v>7200</v>
      </c>
      <c r="F353" t="s">
        <v>59</v>
      </c>
      <c r="G353">
        <v>6</v>
      </c>
      <c r="H353" t="s">
        <v>133</v>
      </c>
      <c r="I353">
        <v>12</v>
      </c>
      <c r="J353" s="54">
        <f t="shared" si="5"/>
        <v>6</v>
      </c>
    </row>
    <row r="354" spans="1:10">
      <c r="A354" s="43">
        <v>42948</v>
      </c>
      <c r="B354">
        <v>2006</v>
      </c>
      <c r="C354">
        <v>1118</v>
      </c>
      <c r="D354">
        <v>353</v>
      </c>
      <c r="E354">
        <v>6200</v>
      </c>
      <c r="F354" t="s">
        <v>59</v>
      </c>
      <c r="G354">
        <v>14</v>
      </c>
      <c r="H354" t="s">
        <v>133</v>
      </c>
      <c r="I354">
        <v>13</v>
      </c>
      <c r="J354" s="54">
        <f t="shared" si="5"/>
        <v>14</v>
      </c>
    </row>
    <row r="355" spans="1:10">
      <c r="A355" s="43">
        <v>42941</v>
      </c>
      <c r="B355">
        <v>2007</v>
      </c>
      <c r="C355">
        <v>1118</v>
      </c>
      <c r="D355">
        <v>354</v>
      </c>
      <c r="E355">
        <v>6325</v>
      </c>
      <c r="F355" t="s">
        <v>59</v>
      </c>
      <c r="G355">
        <v>6</v>
      </c>
      <c r="H355" t="s">
        <v>133</v>
      </c>
      <c r="I355">
        <v>12</v>
      </c>
      <c r="J355" s="54">
        <f t="shared" si="5"/>
        <v>6</v>
      </c>
    </row>
    <row r="356" spans="1:10">
      <c r="A356" s="43">
        <v>42933</v>
      </c>
      <c r="B356">
        <v>2008</v>
      </c>
      <c r="C356">
        <v>1118</v>
      </c>
      <c r="D356">
        <v>355</v>
      </c>
      <c r="E356">
        <v>6000</v>
      </c>
      <c r="F356" t="s">
        <v>59</v>
      </c>
      <c r="G356">
        <v>6</v>
      </c>
      <c r="H356" t="s">
        <v>133</v>
      </c>
      <c r="I356">
        <v>11</v>
      </c>
      <c r="J356" s="54">
        <f t="shared" si="5"/>
        <v>6</v>
      </c>
    </row>
    <row r="357" spans="1:10">
      <c r="A357" s="43">
        <v>42926</v>
      </c>
      <c r="B357">
        <v>2008</v>
      </c>
      <c r="C357">
        <v>1118</v>
      </c>
      <c r="D357">
        <v>356</v>
      </c>
      <c r="E357">
        <v>6500</v>
      </c>
      <c r="F357" t="s">
        <v>59</v>
      </c>
      <c r="G357">
        <v>6</v>
      </c>
      <c r="H357" t="s">
        <v>133</v>
      </c>
      <c r="I357">
        <v>11</v>
      </c>
      <c r="J357" s="54">
        <f t="shared" si="5"/>
        <v>6</v>
      </c>
    </row>
    <row r="358" spans="1:10">
      <c r="A358" s="43">
        <v>42907</v>
      </c>
      <c r="B358">
        <v>2008</v>
      </c>
      <c r="C358">
        <v>1118</v>
      </c>
      <c r="D358">
        <v>357</v>
      </c>
      <c r="E358">
        <v>5450</v>
      </c>
      <c r="F358" t="s">
        <v>59</v>
      </c>
      <c r="G358">
        <v>4</v>
      </c>
      <c r="H358" t="s">
        <v>133</v>
      </c>
      <c r="I358">
        <v>11</v>
      </c>
      <c r="J358" s="54">
        <f t="shared" si="5"/>
        <v>4</v>
      </c>
    </row>
    <row r="359" spans="1:10">
      <c r="A359" s="43">
        <v>42900</v>
      </c>
      <c r="B359">
        <v>2007</v>
      </c>
      <c r="C359">
        <v>1118</v>
      </c>
      <c r="D359">
        <v>358</v>
      </c>
      <c r="E359">
        <v>5900</v>
      </c>
      <c r="F359" t="s">
        <v>59</v>
      </c>
      <c r="G359">
        <v>5</v>
      </c>
      <c r="H359" t="s">
        <v>133</v>
      </c>
      <c r="I359">
        <v>12</v>
      </c>
      <c r="J359" s="54">
        <f t="shared" si="5"/>
        <v>5</v>
      </c>
    </row>
    <row r="360" spans="1:10">
      <c r="A360" s="43">
        <v>42877</v>
      </c>
      <c r="B360">
        <v>2006</v>
      </c>
      <c r="C360">
        <v>1118</v>
      </c>
      <c r="D360">
        <v>359</v>
      </c>
      <c r="E360">
        <v>6150</v>
      </c>
      <c r="F360" t="s">
        <v>59</v>
      </c>
      <c r="G360">
        <v>2</v>
      </c>
      <c r="H360" t="s">
        <v>133</v>
      </c>
      <c r="I360">
        <v>13</v>
      </c>
      <c r="J360" s="54">
        <f t="shared" si="5"/>
        <v>2</v>
      </c>
    </row>
    <row r="361" spans="1:10">
      <c r="A361" s="43">
        <v>42864</v>
      </c>
      <c r="B361">
        <v>2007</v>
      </c>
      <c r="C361">
        <v>1118</v>
      </c>
      <c r="D361">
        <v>360</v>
      </c>
      <c r="E361">
        <v>5450</v>
      </c>
      <c r="F361" t="s">
        <v>59</v>
      </c>
      <c r="G361">
        <v>1</v>
      </c>
      <c r="H361" t="s">
        <v>133</v>
      </c>
      <c r="I361">
        <v>12</v>
      </c>
      <c r="J361" s="54">
        <f t="shared" si="5"/>
        <v>1</v>
      </c>
    </row>
    <row r="362" spans="1:10">
      <c r="A362" s="43">
        <v>42830</v>
      </c>
      <c r="B362">
        <v>2008</v>
      </c>
      <c r="C362">
        <v>1118</v>
      </c>
      <c r="D362">
        <v>361</v>
      </c>
      <c r="E362">
        <v>6000</v>
      </c>
      <c r="F362" t="s">
        <v>59</v>
      </c>
      <c r="G362">
        <v>6</v>
      </c>
      <c r="H362" t="s">
        <v>133</v>
      </c>
      <c r="I362">
        <v>11</v>
      </c>
      <c r="J362" s="54">
        <f t="shared" si="5"/>
        <v>6</v>
      </c>
    </row>
    <row r="363" spans="1:10">
      <c r="A363" s="43">
        <v>42814</v>
      </c>
      <c r="B363">
        <v>2007</v>
      </c>
      <c r="C363">
        <v>1118</v>
      </c>
      <c r="D363">
        <v>362</v>
      </c>
      <c r="E363">
        <v>6650</v>
      </c>
      <c r="F363" t="s">
        <v>59</v>
      </c>
      <c r="G363">
        <v>12</v>
      </c>
      <c r="H363" t="s">
        <v>133</v>
      </c>
      <c r="I363">
        <v>12</v>
      </c>
      <c r="J363" s="54">
        <f t="shared" si="5"/>
        <v>12</v>
      </c>
    </row>
    <row r="364" spans="1:10">
      <c r="A364" s="43">
        <v>42795</v>
      </c>
      <c r="B364">
        <v>2007</v>
      </c>
      <c r="C364">
        <v>1118</v>
      </c>
      <c r="D364">
        <v>363</v>
      </c>
      <c r="E364">
        <v>6000</v>
      </c>
      <c r="F364" t="s">
        <v>59</v>
      </c>
      <c r="G364">
        <v>4</v>
      </c>
      <c r="H364" t="s">
        <v>133</v>
      </c>
      <c r="I364">
        <v>12</v>
      </c>
      <c r="J364" s="54">
        <f t="shared" si="5"/>
        <v>4</v>
      </c>
    </row>
    <row r="365" spans="1:10">
      <c r="A365" s="43">
        <v>42787</v>
      </c>
      <c r="B365">
        <v>2006</v>
      </c>
      <c r="C365">
        <v>1118</v>
      </c>
      <c r="D365">
        <v>364</v>
      </c>
      <c r="E365">
        <v>6500</v>
      </c>
      <c r="F365" t="s">
        <v>59</v>
      </c>
      <c r="G365">
        <v>13</v>
      </c>
      <c r="H365" t="s">
        <v>133</v>
      </c>
      <c r="I365">
        <v>13</v>
      </c>
      <c r="J365" s="54">
        <f t="shared" si="5"/>
        <v>13</v>
      </c>
    </row>
    <row r="366" spans="1:10">
      <c r="A366" s="43">
        <v>42781</v>
      </c>
      <c r="B366">
        <v>2007</v>
      </c>
      <c r="C366">
        <v>1118</v>
      </c>
      <c r="D366">
        <v>365</v>
      </c>
      <c r="E366">
        <v>6000</v>
      </c>
      <c r="F366" t="s">
        <v>59</v>
      </c>
      <c r="G366">
        <v>5</v>
      </c>
      <c r="H366" t="s">
        <v>133</v>
      </c>
      <c r="I366">
        <v>12</v>
      </c>
      <c r="J366" s="54">
        <f t="shared" si="5"/>
        <v>5</v>
      </c>
    </row>
    <row r="367" spans="1:10">
      <c r="A367" s="43">
        <v>42780</v>
      </c>
      <c r="B367">
        <v>2007</v>
      </c>
      <c r="C367">
        <v>1118</v>
      </c>
      <c r="D367">
        <v>366</v>
      </c>
      <c r="E367">
        <v>5500</v>
      </c>
      <c r="F367" t="s">
        <v>59</v>
      </c>
      <c r="G367">
        <v>4</v>
      </c>
      <c r="H367" t="s">
        <v>133</v>
      </c>
      <c r="I367">
        <v>12</v>
      </c>
      <c r="J367" s="54">
        <f t="shared" si="5"/>
        <v>4</v>
      </c>
    </row>
    <row r="368" spans="1:10">
      <c r="A368" s="43">
        <v>42779</v>
      </c>
      <c r="B368">
        <v>2006</v>
      </c>
      <c r="C368">
        <v>1118</v>
      </c>
      <c r="D368">
        <v>367</v>
      </c>
      <c r="E368">
        <v>5700</v>
      </c>
      <c r="F368" t="s">
        <v>59</v>
      </c>
      <c r="G368">
        <v>7</v>
      </c>
      <c r="H368" t="s">
        <v>133</v>
      </c>
      <c r="I368">
        <v>13</v>
      </c>
      <c r="J368" s="54">
        <f t="shared" si="5"/>
        <v>7</v>
      </c>
    </row>
    <row r="369" spans="1:10">
      <c r="A369" s="43">
        <v>42766</v>
      </c>
      <c r="B369">
        <v>2008</v>
      </c>
      <c r="C369">
        <v>1118</v>
      </c>
      <c r="D369">
        <v>368</v>
      </c>
      <c r="E369">
        <v>6350</v>
      </c>
      <c r="F369" t="s">
        <v>59</v>
      </c>
      <c r="G369">
        <v>8</v>
      </c>
      <c r="H369" t="s">
        <v>133</v>
      </c>
      <c r="I369">
        <v>11</v>
      </c>
      <c r="J369" s="54">
        <f t="shared" si="5"/>
        <v>8</v>
      </c>
    </row>
    <row r="370" spans="1:10">
      <c r="A370" s="43">
        <v>42747</v>
      </c>
      <c r="B370">
        <v>2008</v>
      </c>
      <c r="C370">
        <v>1118</v>
      </c>
      <c r="D370">
        <v>369</v>
      </c>
      <c r="E370">
        <v>6500</v>
      </c>
      <c r="F370" t="s">
        <v>59</v>
      </c>
      <c r="G370">
        <v>16</v>
      </c>
      <c r="H370" t="s">
        <v>133</v>
      </c>
      <c r="I370">
        <v>11</v>
      </c>
      <c r="J370" s="54">
        <f t="shared" si="5"/>
        <v>16</v>
      </c>
    </row>
    <row r="371" spans="1:10">
      <c r="A371" s="43">
        <v>42744</v>
      </c>
      <c r="B371">
        <v>2006</v>
      </c>
      <c r="C371">
        <v>1118</v>
      </c>
      <c r="D371">
        <v>370</v>
      </c>
      <c r="E371">
        <v>5825</v>
      </c>
      <c r="F371" t="s">
        <v>59</v>
      </c>
      <c r="G371">
        <v>30</v>
      </c>
      <c r="H371" t="s">
        <v>60</v>
      </c>
      <c r="I371">
        <v>13</v>
      </c>
      <c r="J371" s="54">
        <f t="shared" si="5"/>
        <v>1</v>
      </c>
    </row>
    <row r="372" spans="1:10">
      <c r="A372" s="43">
        <v>42740</v>
      </c>
      <c r="B372">
        <v>2006</v>
      </c>
      <c r="C372">
        <v>1118</v>
      </c>
      <c r="D372">
        <v>371</v>
      </c>
      <c r="E372">
        <v>5400</v>
      </c>
      <c r="F372" t="s">
        <v>59</v>
      </c>
      <c r="G372">
        <v>6</v>
      </c>
      <c r="H372" t="s">
        <v>133</v>
      </c>
      <c r="I372">
        <v>13</v>
      </c>
      <c r="J372" s="54">
        <f t="shared" si="5"/>
        <v>6</v>
      </c>
    </row>
    <row r="373" spans="1:10">
      <c r="A373" s="43">
        <v>42740</v>
      </c>
      <c r="B373">
        <v>2006</v>
      </c>
      <c r="C373">
        <v>1118</v>
      </c>
      <c r="D373">
        <v>372</v>
      </c>
      <c r="E373">
        <v>6000</v>
      </c>
      <c r="F373" t="s">
        <v>59</v>
      </c>
      <c r="G373">
        <v>10</v>
      </c>
      <c r="H373" t="s">
        <v>133</v>
      </c>
      <c r="I373">
        <v>13</v>
      </c>
      <c r="J373" s="54">
        <f t="shared" si="5"/>
        <v>10</v>
      </c>
    </row>
    <row r="374" spans="1:10">
      <c r="A374" s="43">
        <v>42740</v>
      </c>
      <c r="B374">
        <v>2008</v>
      </c>
      <c r="C374">
        <v>1118</v>
      </c>
      <c r="D374">
        <v>373</v>
      </c>
      <c r="E374">
        <v>6150</v>
      </c>
      <c r="F374" t="s">
        <v>59</v>
      </c>
      <c r="G374">
        <v>9</v>
      </c>
      <c r="H374" t="s">
        <v>133</v>
      </c>
      <c r="I374">
        <v>11</v>
      </c>
      <c r="J374" s="54">
        <f t="shared" si="5"/>
        <v>9</v>
      </c>
    </row>
    <row r="375" spans="1:10">
      <c r="A375" s="43">
        <v>42736</v>
      </c>
      <c r="B375">
        <v>2006</v>
      </c>
      <c r="C375">
        <v>1118</v>
      </c>
      <c r="D375">
        <v>374</v>
      </c>
      <c r="E375">
        <v>6000</v>
      </c>
      <c r="F375" t="s">
        <v>59</v>
      </c>
      <c r="G375">
        <v>12</v>
      </c>
      <c r="H375" t="s">
        <v>133</v>
      </c>
      <c r="I375">
        <v>13</v>
      </c>
      <c r="J375" s="54">
        <f t="shared" si="5"/>
        <v>12</v>
      </c>
    </row>
    <row r="376" spans="1:10">
      <c r="A376" s="43">
        <v>42735</v>
      </c>
      <c r="B376">
        <v>2008</v>
      </c>
      <c r="C376">
        <v>1118</v>
      </c>
      <c r="D376">
        <v>375</v>
      </c>
      <c r="E376">
        <v>6500</v>
      </c>
      <c r="F376" t="s">
        <v>59</v>
      </c>
      <c r="G376">
        <v>12</v>
      </c>
      <c r="H376" t="s">
        <v>133</v>
      </c>
      <c r="I376">
        <v>11</v>
      </c>
      <c r="J376" s="54">
        <f t="shared" si="5"/>
        <v>12</v>
      </c>
    </row>
    <row r="377" spans="1:10">
      <c r="A377" s="43">
        <v>42725</v>
      </c>
      <c r="B377">
        <v>2006</v>
      </c>
      <c r="C377">
        <v>1118</v>
      </c>
      <c r="D377">
        <v>376</v>
      </c>
      <c r="E377">
        <v>5300</v>
      </c>
      <c r="F377" t="s">
        <v>59</v>
      </c>
      <c r="G377">
        <v>6</v>
      </c>
      <c r="H377" t="s">
        <v>133</v>
      </c>
      <c r="I377">
        <v>13</v>
      </c>
      <c r="J377" s="54">
        <f t="shared" si="5"/>
        <v>6</v>
      </c>
    </row>
    <row r="378" spans="1:10">
      <c r="A378" s="43">
        <v>42713</v>
      </c>
      <c r="B378">
        <v>2006</v>
      </c>
      <c r="C378">
        <v>1118</v>
      </c>
      <c r="D378">
        <v>377</v>
      </c>
      <c r="E378">
        <v>6500</v>
      </c>
      <c r="F378" t="s">
        <v>59</v>
      </c>
      <c r="G378">
        <v>6</v>
      </c>
      <c r="H378" t="s">
        <v>133</v>
      </c>
      <c r="I378">
        <v>13</v>
      </c>
      <c r="J378" s="54">
        <f t="shared" si="5"/>
        <v>6</v>
      </c>
    </row>
    <row r="379" spans="1:10">
      <c r="A379" s="43">
        <v>42705</v>
      </c>
      <c r="B379">
        <v>2008</v>
      </c>
      <c r="C379">
        <v>1118</v>
      </c>
      <c r="D379">
        <v>378</v>
      </c>
      <c r="E379">
        <v>5500</v>
      </c>
      <c r="F379" t="s">
        <v>59</v>
      </c>
      <c r="G379">
        <v>40</v>
      </c>
      <c r="H379" t="s">
        <v>60</v>
      </c>
      <c r="I379">
        <v>11</v>
      </c>
      <c r="J379" s="54">
        <f t="shared" si="5"/>
        <v>1</v>
      </c>
    </row>
    <row r="380" spans="1:10">
      <c r="A380" s="43">
        <v>42702</v>
      </c>
      <c r="B380">
        <v>2008</v>
      </c>
      <c r="C380">
        <v>1118</v>
      </c>
      <c r="D380">
        <v>379</v>
      </c>
      <c r="E380">
        <v>6200</v>
      </c>
      <c r="F380" t="s">
        <v>59</v>
      </c>
      <c r="G380">
        <v>11</v>
      </c>
      <c r="H380" t="s">
        <v>133</v>
      </c>
      <c r="I380">
        <v>11</v>
      </c>
      <c r="J380" s="54">
        <f t="shared" si="5"/>
        <v>11</v>
      </c>
    </row>
    <row r="381" spans="1:10">
      <c r="A381" s="43">
        <v>42688</v>
      </c>
      <c r="B381">
        <v>2008</v>
      </c>
      <c r="C381">
        <v>1118</v>
      </c>
      <c r="D381">
        <v>380</v>
      </c>
      <c r="E381">
        <v>5500</v>
      </c>
      <c r="F381" t="s">
        <v>59</v>
      </c>
      <c r="G381">
        <v>63</v>
      </c>
      <c r="H381" t="s">
        <v>60</v>
      </c>
      <c r="I381">
        <v>11</v>
      </c>
      <c r="J381" s="54">
        <f t="shared" si="5"/>
        <v>2</v>
      </c>
    </row>
    <row r="382" spans="1:10">
      <c r="A382" s="43">
        <v>42688</v>
      </c>
      <c r="B382">
        <v>2008</v>
      </c>
      <c r="C382">
        <v>1118</v>
      </c>
      <c r="D382">
        <v>381</v>
      </c>
      <c r="E382">
        <v>6000</v>
      </c>
      <c r="F382" t="s">
        <v>59</v>
      </c>
      <c r="G382">
        <v>8</v>
      </c>
      <c r="H382" t="s">
        <v>133</v>
      </c>
      <c r="I382">
        <v>11</v>
      </c>
      <c r="J382" s="54">
        <f t="shared" si="5"/>
        <v>8</v>
      </c>
    </row>
    <row r="383" spans="1:10">
      <c r="A383" s="43">
        <v>42684</v>
      </c>
      <c r="B383">
        <v>2008</v>
      </c>
      <c r="C383">
        <v>1118</v>
      </c>
      <c r="D383">
        <v>382</v>
      </c>
      <c r="E383">
        <v>6000</v>
      </c>
      <c r="F383" t="s">
        <v>59</v>
      </c>
      <c r="G383">
        <v>30</v>
      </c>
      <c r="H383" t="s">
        <v>60</v>
      </c>
      <c r="I383">
        <v>11</v>
      </c>
      <c r="J383" s="54">
        <f t="shared" si="5"/>
        <v>1</v>
      </c>
    </row>
    <row r="384" spans="1:10">
      <c r="A384" s="43">
        <v>42668</v>
      </c>
      <c r="B384">
        <v>2008</v>
      </c>
      <c r="C384">
        <v>1118</v>
      </c>
      <c r="D384">
        <v>383</v>
      </c>
      <c r="E384">
        <v>5600</v>
      </c>
      <c r="F384" t="s">
        <v>59</v>
      </c>
      <c r="G384">
        <v>9</v>
      </c>
      <c r="H384" t="s">
        <v>133</v>
      </c>
      <c r="I384">
        <v>11</v>
      </c>
      <c r="J384" s="54">
        <f t="shared" si="5"/>
        <v>9</v>
      </c>
    </row>
    <row r="385" spans="1:10">
      <c r="A385" s="43">
        <v>42662</v>
      </c>
      <c r="B385">
        <v>2008</v>
      </c>
      <c r="C385">
        <v>1118</v>
      </c>
      <c r="D385">
        <v>384</v>
      </c>
      <c r="E385">
        <v>6500</v>
      </c>
      <c r="F385" t="s">
        <v>59</v>
      </c>
      <c r="G385">
        <v>6</v>
      </c>
      <c r="H385" t="s">
        <v>133</v>
      </c>
      <c r="I385">
        <v>11</v>
      </c>
      <c r="J385" s="54">
        <f t="shared" si="5"/>
        <v>6</v>
      </c>
    </row>
    <row r="386" spans="1:10">
      <c r="A386" s="43">
        <v>42660</v>
      </c>
      <c r="B386">
        <v>2009</v>
      </c>
      <c r="C386">
        <v>1118</v>
      </c>
      <c r="D386">
        <v>385</v>
      </c>
      <c r="E386">
        <v>6000</v>
      </c>
      <c r="F386" t="s">
        <v>59</v>
      </c>
      <c r="G386">
        <v>3</v>
      </c>
      <c r="H386" t="s">
        <v>133</v>
      </c>
      <c r="I386">
        <v>10</v>
      </c>
      <c r="J386" s="54">
        <f t="shared" ref="J386:J449" si="6">IF(H386="days",ROUND(G386/30,0),IF(H386="years",G386*12,G386))</f>
        <v>3</v>
      </c>
    </row>
    <row r="387" spans="1:10">
      <c r="A387" s="43">
        <v>42658</v>
      </c>
      <c r="B387">
        <v>2007</v>
      </c>
      <c r="C387">
        <v>1118</v>
      </c>
      <c r="D387">
        <v>386</v>
      </c>
      <c r="E387">
        <v>6000</v>
      </c>
      <c r="F387" t="s">
        <v>59</v>
      </c>
      <c r="G387">
        <v>150</v>
      </c>
      <c r="H387" t="s">
        <v>60</v>
      </c>
      <c r="I387">
        <v>12</v>
      </c>
      <c r="J387" s="54">
        <f t="shared" si="6"/>
        <v>5</v>
      </c>
    </row>
    <row r="388" spans="1:10">
      <c r="A388" s="43">
        <v>42656</v>
      </c>
      <c r="B388">
        <v>2008</v>
      </c>
      <c r="C388">
        <v>1118</v>
      </c>
      <c r="D388">
        <v>387</v>
      </c>
      <c r="E388">
        <v>6950</v>
      </c>
      <c r="F388" t="s">
        <v>59</v>
      </c>
      <c r="G388">
        <v>6</v>
      </c>
      <c r="H388" t="s">
        <v>133</v>
      </c>
      <c r="I388">
        <v>11</v>
      </c>
      <c r="J388" s="54">
        <f t="shared" si="6"/>
        <v>6</v>
      </c>
    </row>
    <row r="389" spans="1:10">
      <c r="A389" s="43">
        <v>42650</v>
      </c>
      <c r="B389">
        <v>2007</v>
      </c>
      <c r="C389">
        <v>1118</v>
      </c>
      <c r="D389">
        <v>388</v>
      </c>
      <c r="E389">
        <v>6200</v>
      </c>
      <c r="F389" t="s">
        <v>59</v>
      </c>
      <c r="G389">
        <v>12</v>
      </c>
      <c r="H389" t="s">
        <v>133</v>
      </c>
      <c r="I389">
        <v>12</v>
      </c>
      <c r="J389" s="54">
        <f t="shared" si="6"/>
        <v>12</v>
      </c>
    </row>
    <row r="390" spans="1:10">
      <c r="A390" s="43">
        <v>42646</v>
      </c>
      <c r="B390">
        <v>2008</v>
      </c>
      <c r="C390">
        <v>1118</v>
      </c>
      <c r="D390">
        <v>389</v>
      </c>
      <c r="E390">
        <v>6850</v>
      </c>
      <c r="F390" t="s">
        <v>59</v>
      </c>
      <c r="G390">
        <v>6</v>
      </c>
      <c r="H390" t="s">
        <v>133</v>
      </c>
      <c r="I390">
        <v>11</v>
      </c>
      <c r="J390" s="54">
        <f t="shared" si="6"/>
        <v>6</v>
      </c>
    </row>
    <row r="391" spans="1:10">
      <c r="A391" s="43">
        <v>42646</v>
      </c>
      <c r="B391">
        <v>2006</v>
      </c>
      <c r="C391">
        <v>1118</v>
      </c>
      <c r="D391">
        <v>390</v>
      </c>
      <c r="E391">
        <v>6300</v>
      </c>
      <c r="F391" t="s">
        <v>59</v>
      </c>
      <c r="G391">
        <v>100</v>
      </c>
      <c r="H391" t="s">
        <v>60</v>
      </c>
      <c r="I391">
        <v>13</v>
      </c>
      <c r="J391" s="54">
        <f t="shared" si="6"/>
        <v>3</v>
      </c>
    </row>
    <row r="392" spans="1:10">
      <c r="A392" s="43">
        <v>42633</v>
      </c>
      <c r="B392">
        <v>2006</v>
      </c>
      <c r="C392">
        <v>1118</v>
      </c>
      <c r="D392">
        <v>391</v>
      </c>
      <c r="E392">
        <v>6450</v>
      </c>
      <c r="F392" t="s">
        <v>59</v>
      </c>
      <c r="G392">
        <v>13</v>
      </c>
      <c r="H392" t="s">
        <v>133</v>
      </c>
      <c r="I392">
        <v>13</v>
      </c>
      <c r="J392" s="54">
        <f t="shared" si="6"/>
        <v>13</v>
      </c>
    </row>
    <row r="393" spans="1:10">
      <c r="A393" s="43">
        <v>42633</v>
      </c>
      <c r="B393">
        <v>2006</v>
      </c>
      <c r="C393">
        <v>1118</v>
      </c>
      <c r="D393">
        <v>392</v>
      </c>
      <c r="E393">
        <v>6450</v>
      </c>
      <c r="F393" t="s">
        <v>59</v>
      </c>
      <c r="G393">
        <v>13</v>
      </c>
      <c r="H393" t="s">
        <v>133</v>
      </c>
      <c r="I393">
        <v>13</v>
      </c>
      <c r="J393" s="54">
        <f t="shared" si="6"/>
        <v>13</v>
      </c>
    </row>
    <row r="394" spans="1:10">
      <c r="A394" s="43">
        <v>42632</v>
      </c>
      <c r="B394">
        <v>2009</v>
      </c>
      <c r="C394">
        <v>1118</v>
      </c>
      <c r="D394">
        <v>393</v>
      </c>
      <c r="E394">
        <v>6400</v>
      </c>
      <c r="F394" t="s">
        <v>59</v>
      </c>
      <c r="G394">
        <v>7</v>
      </c>
      <c r="H394" t="s">
        <v>133</v>
      </c>
      <c r="I394">
        <v>10</v>
      </c>
      <c r="J394" s="54">
        <f t="shared" si="6"/>
        <v>7</v>
      </c>
    </row>
    <row r="395" spans="1:10">
      <c r="A395" s="43">
        <v>42627</v>
      </c>
      <c r="B395">
        <v>2007</v>
      </c>
      <c r="C395">
        <v>1118</v>
      </c>
      <c r="D395">
        <v>394</v>
      </c>
      <c r="E395">
        <v>6450</v>
      </c>
      <c r="F395" t="s">
        <v>59</v>
      </c>
      <c r="G395">
        <v>12</v>
      </c>
      <c r="H395" t="s">
        <v>133</v>
      </c>
      <c r="I395">
        <v>12</v>
      </c>
      <c r="J395" s="54">
        <f t="shared" si="6"/>
        <v>12</v>
      </c>
    </row>
    <row r="396" spans="1:10">
      <c r="A396" s="43">
        <v>42626</v>
      </c>
      <c r="B396">
        <v>2006</v>
      </c>
      <c r="C396">
        <v>1118</v>
      </c>
      <c r="D396">
        <v>395</v>
      </c>
      <c r="E396">
        <v>7500</v>
      </c>
      <c r="F396" t="s">
        <v>59</v>
      </c>
      <c r="G396">
        <v>6</v>
      </c>
      <c r="H396" t="s">
        <v>133</v>
      </c>
      <c r="I396">
        <v>13</v>
      </c>
      <c r="J396" s="54">
        <f t="shared" si="6"/>
        <v>6</v>
      </c>
    </row>
    <row r="397" spans="1:10">
      <c r="A397" s="43">
        <v>42614</v>
      </c>
      <c r="B397">
        <v>2006</v>
      </c>
      <c r="C397">
        <v>1118</v>
      </c>
      <c r="D397">
        <v>396</v>
      </c>
      <c r="E397">
        <v>7500</v>
      </c>
      <c r="F397" t="s">
        <v>59</v>
      </c>
      <c r="G397">
        <v>2</v>
      </c>
      <c r="H397" t="s">
        <v>134</v>
      </c>
      <c r="I397">
        <v>13</v>
      </c>
      <c r="J397" s="54">
        <f t="shared" si="6"/>
        <v>24</v>
      </c>
    </row>
    <row r="398" spans="1:10">
      <c r="A398" s="43">
        <v>42611</v>
      </c>
      <c r="B398">
        <v>2007</v>
      </c>
      <c r="C398">
        <v>1118</v>
      </c>
      <c r="D398">
        <v>397</v>
      </c>
      <c r="E398">
        <v>7000</v>
      </c>
      <c r="F398" t="s">
        <v>59</v>
      </c>
      <c r="G398">
        <v>4</v>
      </c>
      <c r="H398" t="s">
        <v>133</v>
      </c>
      <c r="I398">
        <v>12</v>
      </c>
      <c r="J398" s="54">
        <f t="shared" si="6"/>
        <v>4</v>
      </c>
    </row>
    <row r="399" spans="1:10">
      <c r="A399" s="43">
        <v>42597</v>
      </c>
      <c r="B399">
        <v>2006</v>
      </c>
      <c r="C399">
        <v>1118</v>
      </c>
      <c r="D399">
        <v>398</v>
      </c>
      <c r="E399">
        <v>7650</v>
      </c>
      <c r="F399" t="s">
        <v>59</v>
      </c>
      <c r="G399">
        <v>7</v>
      </c>
      <c r="H399" t="s">
        <v>133</v>
      </c>
      <c r="I399">
        <v>13</v>
      </c>
      <c r="J399" s="54">
        <f t="shared" si="6"/>
        <v>7</v>
      </c>
    </row>
    <row r="400" spans="1:10">
      <c r="A400" s="43">
        <v>42585</v>
      </c>
      <c r="B400">
        <v>2007</v>
      </c>
      <c r="C400">
        <v>1118</v>
      </c>
      <c r="D400">
        <v>399</v>
      </c>
      <c r="E400">
        <v>6000</v>
      </c>
      <c r="F400" t="s">
        <v>59</v>
      </c>
      <c r="G400">
        <v>7</v>
      </c>
      <c r="H400" t="s">
        <v>133</v>
      </c>
      <c r="I400">
        <v>12</v>
      </c>
      <c r="J400" s="54">
        <f t="shared" si="6"/>
        <v>7</v>
      </c>
    </row>
    <row r="401" spans="1:10">
      <c r="A401" s="43">
        <v>42583</v>
      </c>
      <c r="B401">
        <v>2008</v>
      </c>
      <c r="C401">
        <v>1118</v>
      </c>
      <c r="D401">
        <v>400</v>
      </c>
      <c r="E401">
        <v>7600</v>
      </c>
      <c r="F401" t="s">
        <v>59</v>
      </c>
      <c r="G401">
        <v>5</v>
      </c>
      <c r="H401" t="s">
        <v>133</v>
      </c>
      <c r="I401">
        <v>11</v>
      </c>
      <c r="J401" s="54">
        <f t="shared" si="6"/>
        <v>5</v>
      </c>
    </row>
    <row r="402" spans="1:10">
      <c r="A402" s="43">
        <v>42576</v>
      </c>
      <c r="B402">
        <v>2007</v>
      </c>
      <c r="C402">
        <v>1118</v>
      </c>
      <c r="D402">
        <v>401</v>
      </c>
      <c r="E402">
        <v>6050</v>
      </c>
      <c r="F402" t="s">
        <v>59</v>
      </c>
      <c r="G402">
        <v>6</v>
      </c>
      <c r="H402" t="s">
        <v>133</v>
      </c>
      <c r="I402">
        <v>12</v>
      </c>
      <c r="J402" s="54">
        <f t="shared" si="6"/>
        <v>6</v>
      </c>
    </row>
    <row r="403" spans="1:10">
      <c r="A403" s="43">
        <v>42571</v>
      </c>
      <c r="B403">
        <v>2007</v>
      </c>
      <c r="C403">
        <v>1118</v>
      </c>
      <c r="D403">
        <v>402</v>
      </c>
      <c r="E403">
        <v>6000</v>
      </c>
      <c r="F403" t="s">
        <v>59</v>
      </c>
      <c r="G403">
        <v>6</v>
      </c>
      <c r="H403" t="s">
        <v>133</v>
      </c>
      <c r="I403">
        <v>12</v>
      </c>
      <c r="J403" s="54">
        <f t="shared" si="6"/>
        <v>6</v>
      </c>
    </row>
    <row r="404" spans="1:10">
      <c r="A404" s="43">
        <v>42570</v>
      </c>
      <c r="B404">
        <v>2007</v>
      </c>
      <c r="C404">
        <v>1118</v>
      </c>
      <c r="D404">
        <v>403</v>
      </c>
      <c r="E404">
        <v>6250</v>
      </c>
      <c r="F404" t="s">
        <v>59</v>
      </c>
      <c r="G404">
        <v>40</v>
      </c>
      <c r="H404" t="s">
        <v>60</v>
      </c>
      <c r="I404">
        <v>12</v>
      </c>
      <c r="J404" s="54">
        <f t="shared" si="6"/>
        <v>1</v>
      </c>
    </row>
    <row r="405" spans="1:10">
      <c r="A405" s="43">
        <v>42570</v>
      </c>
      <c r="B405">
        <v>2006</v>
      </c>
      <c r="C405">
        <v>1118</v>
      </c>
      <c r="D405">
        <v>404</v>
      </c>
      <c r="E405">
        <v>5850</v>
      </c>
      <c r="F405" t="s">
        <v>59</v>
      </c>
      <c r="G405">
        <v>3</v>
      </c>
      <c r="H405" t="s">
        <v>133</v>
      </c>
      <c r="I405">
        <v>13</v>
      </c>
      <c r="J405" s="54">
        <f t="shared" si="6"/>
        <v>3</v>
      </c>
    </row>
    <row r="406" spans="1:10">
      <c r="A406" s="43">
        <v>42559</v>
      </c>
      <c r="B406">
        <v>2008</v>
      </c>
      <c r="C406">
        <v>1118</v>
      </c>
      <c r="D406">
        <v>405</v>
      </c>
      <c r="E406">
        <v>7000</v>
      </c>
      <c r="F406" t="s">
        <v>59</v>
      </c>
      <c r="G406">
        <v>5</v>
      </c>
      <c r="H406" t="s">
        <v>133</v>
      </c>
      <c r="I406">
        <v>11</v>
      </c>
      <c r="J406" s="54">
        <f t="shared" si="6"/>
        <v>5</v>
      </c>
    </row>
    <row r="407" spans="1:10">
      <c r="A407" s="43">
        <v>42535</v>
      </c>
      <c r="B407">
        <v>2006</v>
      </c>
      <c r="C407">
        <v>1118</v>
      </c>
      <c r="D407">
        <v>406</v>
      </c>
      <c r="E407">
        <v>6000</v>
      </c>
      <c r="F407" t="s">
        <v>59</v>
      </c>
      <c r="G407">
        <v>6</v>
      </c>
      <c r="H407" t="s">
        <v>133</v>
      </c>
      <c r="I407">
        <v>13</v>
      </c>
      <c r="J407" s="54">
        <f t="shared" si="6"/>
        <v>6</v>
      </c>
    </row>
    <row r="408" spans="1:10">
      <c r="A408" s="43">
        <v>42535</v>
      </c>
      <c r="B408">
        <v>2009</v>
      </c>
      <c r="C408">
        <v>1118</v>
      </c>
      <c r="D408">
        <v>407</v>
      </c>
      <c r="E408">
        <v>6250</v>
      </c>
      <c r="F408" t="s">
        <v>59</v>
      </c>
      <c r="G408">
        <v>6</v>
      </c>
      <c r="H408" t="s">
        <v>133</v>
      </c>
      <c r="I408">
        <v>10</v>
      </c>
      <c r="J408" s="54">
        <f t="shared" si="6"/>
        <v>6</v>
      </c>
    </row>
    <row r="409" spans="1:10">
      <c r="A409" s="43">
        <v>42529</v>
      </c>
      <c r="B409">
        <v>2007</v>
      </c>
      <c r="C409">
        <v>1118</v>
      </c>
      <c r="D409">
        <v>408</v>
      </c>
      <c r="E409">
        <v>7000</v>
      </c>
      <c r="F409" t="s">
        <v>59</v>
      </c>
      <c r="G409">
        <v>5</v>
      </c>
      <c r="H409" t="s">
        <v>133</v>
      </c>
      <c r="I409">
        <v>12</v>
      </c>
      <c r="J409" s="54">
        <f t="shared" si="6"/>
        <v>5</v>
      </c>
    </row>
    <row r="410" spans="1:10">
      <c r="A410" s="43">
        <v>42527</v>
      </c>
      <c r="B410">
        <v>2008</v>
      </c>
      <c r="C410">
        <v>1118</v>
      </c>
      <c r="D410">
        <v>409</v>
      </c>
      <c r="E410">
        <v>7350</v>
      </c>
      <c r="F410" t="s">
        <v>59</v>
      </c>
      <c r="G410">
        <v>9</v>
      </c>
      <c r="H410" t="s">
        <v>133</v>
      </c>
      <c r="I410">
        <v>11</v>
      </c>
      <c r="J410" s="54">
        <f t="shared" si="6"/>
        <v>9</v>
      </c>
    </row>
    <row r="411" spans="1:10">
      <c r="A411" s="43">
        <v>42522</v>
      </c>
      <c r="B411">
        <v>2006</v>
      </c>
      <c r="C411">
        <v>1118</v>
      </c>
      <c r="D411">
        <v>410</v>
      </c>
      <c r="E411">
        <v>7750</v>
      </c>
      <c r="F411" t="s">
        <v>59</v>
      </c>
      <c r="G411">
        <v>12</v>
      </c>
      <c r="H411" t="s">
        <v>133</v>
      </c>
      <c r="I411">
        <v>13</v>
      </c>
      <c r="J411" s="54">
        <f t="shared" si="6"/>
        <v>12</v>
      </c>
    </row>
    <row r="412" spans="1:10">
      <c r="A412" s="43">
        <v>42514</v>
      </c>
      <c r="B412">
        <v>2007</v>
      </c>
      <c r="C412">
        <v>1118</v>
      </c>
      <c r="D412">
        <v>411</v>
      </c>
      <c r="E412">
        <v>7000</v>
      </c>
      <c r="F412" t="s">
        <v>59</v>
      </c>
      <c r="G412">
        <v>30</v>
      </c>
      <c r="H412" t="s">
        <v>60</v>
      </c>
      <c r="I412">
        <v>12</v>
      </c>
      <c r="J412" s="54">
        <f t="shared" si="6"/>
        <v>1</v>
      </c>
    </row>
    <row r="413" spans="1:10">
      <c r="A413" s="43">
        <v>42514</v>
      </c>
      <c r="B413">
        <v>2008</v>
      </c>
      <c r="C413">
        <v>1118</v>
      </c>
      <c r="D413">
        <v>412</v>
      </c>
      <c r="E413">
        <v>6350</v>
      </c>
      <c r="F413" t="s">
        <v>59</v>
      </c>
      <c r="G413">
        <v>6</v>
      </c>
      <c r="H413" t="s">
        <v>133</v>
      </c>
      <c r="I413">
        <v>11</v>
      </c>
      <c r="J413" s="54">
        <f t="shared" si="6"/>
        <v>6</v>
      </c>
    </row>
    <row r="414" spans="1:10">
      <c r="A414" s="43">
        <v>42510</v>
      </c>
      <c r="B414">
        <v>2006</v>
      </c>
      <c r="C414">
        <v>1118</v>
      </c>
      <c r="D414">
        <v>413</v>
      </c>
      <c r="E414">
        <v>7400</v>
      </c>
      <c r="F414" t="s">
        <v>59</v>
      </c>
      <c r="G414">
        <v>4</v>
      </c>
      <c r="H414" t="s">
        <v>133</v>
      </c>
      <c r="I414">
        <v>13</v>
      </c>
      <c r="J414" s="54">
        <f t="shared" si="6"/>
        <v>4</v>
      </c>
    </row>
    <row r="415" spans="1:10">
      <c r="A415" s="43">
        <v>42510</v>
      </c>
      <c r="B415">
        <v>2008</v>
      </c>
      <c r="C415">
        <v>1118</v>
      </c>
      <c r="D415">
        <v>414</v>
      </c>
      <c r="E415">
        <v>7400</v>
      </c>
      <c r="F415" t="s">
        <v>59</v>
      </c>
      <c r="G415">
        <v>6</v>
      </c>
      <c r="H415" t="s">
        <v>133</v>
      </c>
      <c r="I415">
        <v>11</v>
      </c>
      <c r="J415" s="54">
        <f t="shared" si="6"/>
        <v>6</v>
      </c>
    </row>
    <row r="416" spans="1:10">
      <c r="A416" s="43">
        <v>42510</v>
      </c>
      <c r="B416">
        <v>2006</v>
      </c>
      <c r="C416">
        <v>1118</v>
      </c>
      <c r="D416">
        <v>415</v>
      </c>
      <c r="E416">
        <v>7900</v>
      </c>
      <c r="F416" t="s">
        <v>59</v>
      </c>
      <c r="G416">
        <v>6</v>
      </c>
      <c r="H416" t="s">
        <v>133</v>
      </c>
      <c r="I416">
        <v>13</v>
      </c>
      <c r="J416" s="54">
        <f t="shared" si="6"/>
        <v>6</v>
      </c>
    </row>
    <row r="417" spans="1:10">
      <c r="A417" s="43">
        <v>42508</v>
      </c>
      <c r="B417">
        <v>2006</v>
      </c>
      <c r="C417">
        <v>1118</v>
      </c>
      <c r="D417">
        <v>416</v>
      </c>
      <c r="E417">
        <v>6350</v>
      </c>
      <c r="F417" t="s">
        <v>59</v>
      </c>
      <c r="G417">
        <v>6</v>
      </c>
      <c r="H417" t="s">
        <v>133</v>
      </c>
      <c r="I417">
        <v>13</v>
      </c>
      <c r="J417" s="54">
        <f t="shared" si="6"/>
        <v>6</v>
      </c>
    </row>
    <row r="418" spans="1:10">
      <c r="A418" s="43">
        <v>42507</v>
      </c>
      <c r="B418">
        <v>2007</v>
      </c>
      <c r="C418">
        <v>1118</v>
      </c>
      <c r="D418">
        <v>417</v>
      </c>
      <c r="E418">
        <v>7500</v>
      </c>
      <c r="F418" t="s">
        <v>59</v>
      </c>
      <c r="G418">
        <v>7</v>
      </c>
      <c r="H418" t="s">
        <v>133</v>
      </c>
      <c r="I418">
        <v>12</v>
      </c>
      <c r="J418" s="54">
        <f t="shared" si="6"/>
        <v>7</v>
      </c>
    </row>
    <row r="419" spans="1:10">
      <c r="A419" s="43">
        <v>42506</v>
      </c>
      <c r="B419">
        <v>2008</v>
      </c>
      <c r="C419">
        <v>1118</v>
      </c>
      <c r="D419">
        <v>418</v>
      </c>
      <c r="E419">
        <v>6200</v>
      </c>
      <c r="F419" t="s">
        <v>59</v>
      </c>
      <c r="G419">
        <v>6</v>
      </c>
      <c r="H419" t="s">
        <v>133</v>
      </c>
      <c r="I419">
        <v>11</v>
      </c>
      <c r="J419" s="54">
        <f t="shared" si="6"/>
        <v>6</v>
      </c>
    </row>
    <row r="420" spans="1:10">
      <c r="A420" s="43">
        <v>42486</v>
      </c>
      <c r="B420">
        <v>2006</v>
      </c>
      <c r="C420">
        <v>1118</v>
      </c>
      <c r="D420">
        <v>419</v>
      </c>
      <c r="E420">
        <v>8300</v>
      </c>
      <c r="F420" t="s">
        <v>59</v>
      </c>
      <c r="G420">
        <v>6</v>
      </c>
      <c r="H420" t="s">
        <v>133</v>
      </c>
      <c r="I420">
        <v>13</v>
      </c>
      <c r="J420" s="54">
        <f t="shared" si="6"/>
        <v>6</v>
      </c>
    </row>
    <row r="421" spans="1:10">
      <c r="A421" s="43">
        <v>42486</v>
      </c>
      <c r="B421">
        <v>2008</v>
      </c>
      <c r="C421">
        <v>1118</v>
      </c>
      <c r="D421">
        <v>420</v>
      </c>
      <c r="E421">
        <v>7950</v>
      </c>
      <c r="F421" t="s">
        <v>59</v>
      </c>
      <c r="G421">
        <v>6</v>
      </c>
      <c r="H421" t="s">
        <v>133</v>
      </c>
      <c r="I421">
        <v>11</v>
      </c>
      <c r="J421" s="54">
        <f t="shared" si="6"/>
        <v>6</v>
      </c>
    </row>
    <row r="422" spans="1:10">
      <c r="A422" s="43">
        <v>42482</v>
      </c>
      <c r="B422">
        <v>2008</v>
      </c>
      <c r="C422">
        <v>1118</v>
      </c>
      <c r="D422">
        <v>421</v>
      </c>
      <c r="E422">
        <v>6750</v>
      </c>
      <c r="F422" t="s">
        <v>59</v>
      </c>
      <c r="G422">
        <v>180</v>
      </c>
      <c r="H422" t="s">
        <v>60</v>
      </c>
      <c r="I422">
        <v>11</v>
      </c>
      <c r="J422" s="54">
        <f t="shared" si="6"/>
        <v>6</v>
      </c>
    </row>
    <row r="423" spans="1:10">
      <c r="A423" s="43">
        <v>42481</v>
      </c>
      <c r="B423">
        <v>2009</v>
      </c>
      <c r="C423">
        <v>1118</v>
      </c>
      <c r="D423">
        <v>422</v>
      </c>
      <c r="E423">
        <v>6200</v>
      </c>
      <c r="F423" t="s">
        <v>59</v>
      </c>
      <c r="G423">
        <v>12</v>
      </c>
      <c r="H423" t="s">
        <v>133</v>
      </c>
      <c r="I423">
        <v>10</v>
      </c>
      <c r="J423" s="54">
        <f t="shared" si="6"/>
        <v>12</v>
      </c>
    </row>
    <row r="424" spans="1:10">
      <c r="A424" s="43">
        <v>42478</v>
      </c>
      <c r="B424">
        <v>2007</v>
      </c>
      <c r="C424">
        <v>1118</v>
      </c>
      <c r="D424">
        <v>423</v>
      </c>
      <c r="E424">
        <v>7900</v>
      </c>
      <c r="F424" t="s">
        <v>59</v>
      </c>
      <c r="G424">
        <v>12</v>
      </c>
      <c r="H424" t="s">
        <v>133</v>
      </c>
      <c r="I424">
        <v>12</v>
      </c>
      <c r="J424" s="54">
        <f t="shared" si="6"/>
        <v>12</v>
      </c>
    </row>
    <row r="425" spans="1:10">
      <c r="A425" s="43">
        <v>42472</v>
      </c>
      <c r="B425">
        <v>2006</v>
      </c>
      <c r="C425">
        <v>1118</v>
      </c>
      <c r="D425">
        <v>424</v>
      </c>
      <c r="E425">
        <v>6000</v>
      </c>
      <c r="F425" t="s">
        <v>59</v>
      </c>
      <c r="G425">
        <v>4</v>
      </c>
      <c r="H425" t="s">
        <v>133</v>
      </c>
      <c r="I425">
        <v>13</v>
      </c>
      <c r="J425" s="54">
        <f t="shared" si="6"/>
        <v>4</v>
      </c>
    </row>
    <row r="426" spans="1:10">
      <c r="A426" s="43">
        <v>42468</v>
      </c>
      <c r="B426">
        <v>2007</v>
      </c>
      <c r="C426">
        <v>1118</v>
      </c>
      <c r="D426">
        <v>425</v>
      </c>
      <c r="E426">
        <v>7900</v>
      </c>
      <c r="F426" t="s">
        <v>59</v>
      </c>
      <c r="G426">
        <v>7</v>
      </c>
      <c r="H426" t="s">
        <v>133</v>
      </c>
      <c r="I426">
        <v>12</v>
      </c>
      <c r="J426" s="54">
        <f t="shared" si="6"/>
        <v>7</v>
      </c>
    </row>
    <row r="427" spans="1:10">
      <c r="A427" s="43">
        <v>42466</v>
      </c>
      <c r="B427">
        <v>2006</v>
      </c>
      <c r="C427">
        <v>1118</v>
      </c>
      <c r="D427">
        <v>426</v>
      </c>
      <c r="E427">
        <v>6200</v>
      </c>
      <c r="F427" t="s">
        <v>59</v>
      </c>
      <c r="G427">
        <v>60</v>
      </c>
      <c r="H427" t="s">
        <v>60</v>
      </c>
      <c r="I427">
        <v>13</v>
      </c>
      <c r="J427" s="54">
        <f t="shared" si="6"/>
        <v>2</v>
      </c>
    </row>
    <row r="428" spans="1:10">
      <c r="A428" s="43">
        <v>42450</v>
      </c>
      <c r="B428">
        <v>2006</v>
      </c>
      <c r="C428">
        <v>1118</v>
      </c>
      <c r="D428">
        <v>427</v>
      </c>
      <c r="E428">
        <v>6200</v>
      </c>
      <c r="F428" t="s">
        <v>59</v>
      </c>
      <c r="G428">
        <v>180</v>
      </c>
      <c r="H428" t="s">
        <v>60</v>
      </c>
      <c r="I428">
        <v>13</v>
      </c>
      <c r="J428" s="54">
        <f t="shared" si="6"/>
        <v>6</v>
      </c>
    </row>
    <row r="429" spans="1:10">
      <c r="A429" s="43">
        <v>42450</v>
      </c>
      <c r="B429">
        <v>2009</v>
      </c>
      <c r="C429">
        <v>1118</v>
      </c>
      <c r="D429">
        <v>428</v>
      </c>
      <c r="E429">
        <v>6000</v>
      </c>
      <c r="F429" t="s">
        <v>59</v>
      </c>
      <c r="G429">
        <v>6</v>
      </c>
      <c r="H429" t="s">
        <v>133</v>
      </c>
      <c r="I429">
        <v>10</v>
      </c>
      <c r="J429" s="54">
        <f t="shared" si="6"/>
        <v>6</v>
      </c>
    </row>
    <row r="430" spans="1:10">
      <c r="A430" s="43">
        <v>42446</v>
      </c>
      <c r="B430">
        <v>2008</v>
      </c>
      <c r="C430">
        <v>1118</v>
      </c>
      <c r="D430">
        <v>429</v>
      </c>
      <c r="E430">
        <v>6400</v>
      </c>
      <c r="F430" t="s">
        <v>59</v>
      </c>
      <c r="G430">
        <v>3</v>
      </c>
      <c r="H430" t="s">
        <v>133</v>
      </c>
      <c r="I430">
        <v>11</v>
      </c>
      <c r="J430" s="54">
        <f t="shared" si="6"/>
        <v>3</v>
      </c>
    </row>
    <row r="431" spans="1:10">
      <c r="A431" s="43">
        <v>42439</v>
      </c>
      <c r="B431">
        <v>2009</v>
      </c>
      <c r="C431">
        <v>1118</v>
      </c>
      <c r="D431">
        <v>430</v>
      </c>
      <c r="E431">
        <v>7000</v>
      </c>
      <c r="F431" t="s">
        <v>59</v>
      </c>
      <c r="G431">
        <v>6</v>
      </c>
      <c r="H431" t="s">
        <v>133</v>
      </c>
      <c r="I431">
        <v>10</v>
      </c>
      <c r="J431" s="54">
        <f t="shared" si="6"/>
        <v>6</v>
      </c>
    </row>
    <row r="432" spans="1:10">
      <c r="A432" s="43">
        <v>42436</v>
      </c>
      <c r="B432">
        <v>2008</v>
      </c>
      <c r="C432">
        <v>1118</v>
      </c>
      <c r="D432">
        <v>431</v>
      </c>
      <c r="E432">
        <v>8000</v>
      </c>
      <c r="F432" t="s">
        <v>59</v>
      </c>
      <c r="G432">
        <v>12</v>
      </c>
      <c r="H432" t="s">
        <v>133</v>
      </c>
      <c r="I432">
        <v>11</v>
      </c>
      <c r="J432" s="54">
        <f t="shared" si="6"/>
        <v>12</v>
      </c>
    </row>
    <row r="433" spans="1:10">
      <c r="A433" s="43">
        <v>42436</v>
      </c>
      <c r="B433">
        <v>2007</v>
      </c>
      <c r="C433">
        <v>1118</v>
      </c>
      <c r="D433">
        <v>432</v>
      </c>
      <c r="E433">
        <v>7200</v>
      </c>
      <c r="F433" t="s">
        <v>59</v>
      </c>
      <c r="G433">
        <v>13</v>
      </c>
      <c r="H433" t="s">
        <v>133</v>
      </c>
      <c r="I433">
        <v>12</v>
      </c>
      <c r="J433" s="54">
        <f t="shared" si="6"/>
        <v>13</v>
      </c>
    </row>
    <row r="434" spans="1:10">
      <c r="A434" s="43">
        <v>42431</v>
      </c>
      <c r="B434">
        <v>2008</v>
      </c>
      <c r="C434">
        <v>1118</v>
      </c>
      <c r="D434">
        <v>433</v>
      </c>
      <c r="E434">
        <v>7700</v>
      </c>
      <c r="F434" t="s">
        <v>59</v>
      </c>
      <c r="G434">
        <v>6</v>
      </c>
      <c r="H434" t="s">
        <v>133</v>
      </c>
      <c r="I434">
        <v>11</v>
      </c>
      <c r="J434" s="54">
        <f t="shared" si="6"/>
        <v>6</v>
      </c>
    </row>
    <row r="435" spans="1:10">
      <c r="A435" s="43">
        <v>42431</v>
      </c>
      <c r="B435">
        <v>2006</v>
      </c>
      <c r="C435">
        <v>1118</v>
      </c>
      <c r="D435">
        <v>434</v>
      </c>
      <c r="E435">
        <v>7900</v>
      </c>
      <c r="F435" t="s">
        <v>59</v>
      </c>
      <c r="G435">
        <v>6</v>
      </c>
      <c r="H435" t="s">
        <v>133</v>
      </c>
      <c r="I435">
        <v>13</v>
      </c>
      <c r="J435" s="54">
        <f t="shared" si="6"/>
        <v>6</v>
      </c>
    </row>
    <row r="436" spans="1:10">
      <c r="A436" s="43">
        <v>42430</v>
      </c>
      <c r="B436">
        <v>2006</v>
      </c>
      <c r="C436">
        <v>1118</v>
      </c>
      <c r="D436">
        <v>435</v>
      </c>
      <c r="E436">
        <v>7500</v>
      </c>
      <c r="F436" t="s">
        <v>59</v>
      </c>
      <c r="G436">
        <v>7</v>
      </c>
      <c r="H436" t="s">
        <v>133</v>
      </c>
      <c r="I436">
        <v>13</v>
      </c>
      <c r="J436" s="54">
        <f t="shared" si="6"/>
        <v>7</v>
      </c>
    </row>
    <row r="437" spans="1:10">
      <c r="A437" s="43">
        <v>42425</v>
      </c>
      <c r="B437">
        <v>2006</v>
      </c>
      <c r="C437">
        <v>1118</v>
      </c>
      <c r="D437">
        <v>436</v>
      </c>
      <c r="E437">
        <v>6500</v>
      </c>
      <c r="F437" t="s">
        <v>59</v>
      </c>
      <c r="G437">
        <v>13</v>
      </c>
      <c r="H437" t="s">
        <v>133</v>
      </c>
      <c r="I437">
        <v>13</v>
      </c>
      <c r="J437" s="54">
        <f t="shared" si="6"/>
        <v>13</v>
      </c>
    </row>
    <row r="438" spans="1:10">
      <c r="A438" s="43">
        <v>42423</v>
      </c>
      <c r="B438">
        <v>2008</v>
      </c>
      <c r="C438">
        <v>1118</v>
      </c>
      <c r="D438">
        <v>437</v>
      </c>
      <c r="E438">
        <v>6150</v>
      </c>
      <c r="F438" t="s">
        <v>59</v>
      </c>
      <c r="G438">
        <v>2</v>
      </c>
      <c r="H438" t="s">
        <v>133</v>
      </c>
      <c r="I438">
        <v>11</v>
      </c>
      <c r="J438" s="54">
        <f t="shared" si="6"/>
        <v>2</v>
      </c>
    </row>
    <row r="439" spans="1:10">
      <c r="A439" s="43">
        <v>42417</v>
      </c>
      <c r="B439">
        <v>2007</v>
      </c>
      <c r="C439">
        <v>1118</v>
      </c>
      <c r="D439">
        <v>438</v>
      </c>
      <c r="E439">
        <v>7250</v>
      </c>
      <c r="F439" t="s">
        <v>59</v>
      </c>
      <c r="G439">
        <v>10</v>
      </c>
      <c r="H439" t="s">
        <v>133</v>
      </c>
      <c r="I439">
        <v>12</v>
      </c>
      <c r="J439" s="54">
        <f t="shared" si="6"/>
        <v>10</v>
      </c>
    </row>
    <row r="440" spans="1:10">
      <c r="A440" s="43">
        <v>42417</v>
      </c>
      <c r="B440">
        <v>2007</v>
      </c>
      <c r="C440">
        <v>1118</v>
      </c>
      <c r="D440">
        <v>439</v>
      </c>
      <c r="E440">
        <v>6500</v>
      </c>
      <c r="F440" t="s">
        <v>59</v>
      </c>
      <c r="G440">
        <v>8</v>
      </c>
      <c r="H440" t="s">
        <v>133</v>
      </c>
      <c r="I440">
        <v>12</v>
      </c>
      <c r="J440" s="54">
        <f t="shared" si="6"/>
        <v>8</v>
      </c>
    </row>
    <row r="441" spans="1:10">
      <c r="A441" s="43">
        <v>42417</v>
      </c>
      <c r="B441">
        <v>2007</v>
      </c>
      <c r="C441">
        <v>1118</v>
      </c>
      <c r="D441">
        <v>440</v>
      </c>
      <c r="E441">
        <v>6150</v>
      </c>
      <c r="F441" t="s">
        <v>59</v>
      </c>
      <c r="G441">
        <v>6</v>
      </c>
      <c r="H441" t="s">
        <v>133</v>
      </c>
      <c r="I441">
        <v>12</v>
      </c>
      <c r="J441" s="54">
        <f t="shared" si="6"/>
        <v>6</v>
      </c>
    </row>
    <row r="442" spans="1:10">
      <c r="A442" s="43">
        <v>42415</v>
      </c>
      <c r="B442">
        <v>2006</v>
      </c>
      <c r="C442">
        <v>1118</v>
      </c>
      <c r="D442">
        <v>441</v>
      </c>
      <c r="E442">
        <v>6500</v>
      </c>
      <c r="F442" t="s">
        <v>59</v>
      </c>
      <c r="G442">
        <v>9</v>
      </c>
      <c r="H442" t="s">
        <v>133</v>
      </c>
      <c r="I442">
        <v>13</v>
      </c>
      <c r="J442" s="54">
        <f t="shared" si="6"/>
        <v>9</v>
      </c>
    </row>
    <row r="443" spans="1:10">
      <c r="A443" s="43">
        <v>42415</v>
      </c>
      <c r="B443">
        <v>2006</v>
      </c>
      <c r="C443">
        <v>1118</v>
      </c>
      <c r="D443">
        <v>442</v>
      </c>
      <c r="E443">
        <v>6500</v>
      </c>
      <c r="F443" t="s">
        <v>59</v>
      </c>
      <c r="G443">
        <v>8</v>
      </c>
      <c r="H443" t="s">
        <v>133</v>
      </c>
      <c r="I443">
        <v>13</v>
      </c>
      <c r="J443" s="54">
        <f t="shared" si="6"/>
        <v>8</v>
      </c>
    </row>
    <row r="444" spans="1:10">
      <c r="A444" s="43">
        <v>42401</v>
      </c>
      <c r="B444">
        <v>2006</v>
      </c>
      <c r="C444">
        <v>1118</v>
      </c>
      <c r="D444">
        <v>443</v>
      </c>
      <c r="E444">
        <v>7000</v>
      </c>
      <c r="F444" t="s">
        <v>59</v>
      </c>
      <c r="G444">
        <v>10</v>
      </c>
      <c r="H444" t="s">
        <v>133</v>
      </c>
      <c r="I444">
        <v>13</v>
      </c>
      <c r="J444" s="54">
        <f t="shared" si="6"/>
        <v>10</v>
      </c>
    </row>
    <row r="445" spans="1:10">
      <c r="A445" s="43">
        <v>42401</v>
      </c>
      <c r="B445">
        <v>2007</v>
      </c>
      <c r="C445">
        <v>1118</v>
      </c>
      <c r="D445">
        <v>444</v>
      </c>
      <c r="E445">
        <v>6500</v>
      </c>
      <c r="F445" t="s">
        <v>59</v>
      </c>
      <c r="G445">
        <v>3</v>
      </c>
      <c r="H445" t="s">
        <v>133</v>
      </c>
      <c r="I445">
        <v>12</v>
      </c>
      <c r="J445" s="54">
        <f t="shared" si="6"/>
        <v>3</v>
      </c>
    </row>
    <row r="446" spans="1:10">
      <c r="A446" s="43">
        <v>42401</v>
      </c>
      <c r="B446">
        <v>2007</v>
      </c>
      <c r="C446">
        <v>1118</v>
      </c>
      <c r="D446">
        <v>445</v>
      </c>
      <c r="E446">
        <v>7000</v>
      </c>
      <c r="F446" t="s">
        <v>59</v>
      </c>
      <c r="G446">
        <v>12</v>
      </c>
      <c r="H446" t="s">
        <v>133</v>
      </c>
      <c r="I446">
        <v>12</v>
      </c>
      <c r="J446" s="54">
        <f t="shared" si="6"/>
        <v>12</v>
      </c>
    </row>
    <row r="447" spans="1:10">
      <c r="A447" s="43">
        <v>42394</v>
      </c>
      <c r="B447">
        <v>2006</v>
      </c>
      <c r="C447">
        <v>1118</v>
      </c>
      <c r="D447">
        <v>446</v>
      </c>
      <c r="E447">
        <v>6200</v>
      </c>
      <c r="F447" t="s">
        <v>59</v>
      </c>
      <c r="G447">
        <v>70</v>
      </c>
      <c r="H447" t="s">
        <v>60</v>
      </c>
      <c r="I447">
        <v>13</v>
      </c>
      <c r="J447" s="54">
        <f t="shared" si="6"/>
        <v>2</v>
      </c>
    </row>
    <row r="448" spans="1:10">
      <c r="A448" s="43">
        <v>42394</v>
      </c>
      <c r="B448">
        <v>2009</v>
      </c>
      <c r="C448">
        <v>1118</v>
      </c>
      <c r="D448">
        <v>447</v>
      </c>
      <c r="E448">
        <v>6000</v>
      </c>
      <c r="F448" t="s">
        <v>59</v>
      </c>
      <c r="G448">
        <v>7</v>
      </c>
      <c r="H448" t="s">
        <v>133</v>
      </c>
      <c r="I448">
        <v>10</v>
      </c>
      <c r="J448" s="54">
        <f t="shared" si="6"/>
        <v>7</v>
      </c>
    </row>
    <row r="449" spans="1:10">
      <c r="A449" s="43">
        <v>42394</v>
      </c>
      <c r="B449">
        <v>2009</v>
      </c>
      <c r="C449">
        <v>1118</v>
      </c>
      <c r="D449">
        <v>448</v>
      </c>
      <c r="E449">
        <v>6000</v>
      </c>
      <c r="F449" t="s">
        <v>59</v>
      </c>
      <c r="G449">
        <v>3</v>
      </c>
      <c r="H449" t="s">
        <v>133</v>
      </c>
      <c r="I449">
        <v>10</v>
      </c>
      <c r="J449" s="54">
        <f t="shared" si="6"/>
        <v>3</v>
      </c>
    </row>
    <row r="450" spans="1:10">
      <c r="A450" s="43">
        <v>42390</v>
      </c>
      <c r="B450">
        <v>2007</v>
      </c>
      <c r="C450">
        <v>1118</v>
      </c>
      <c r="D450">
        <v>449</v>
      </c>
      <c r="E450">
        <v>6150</v>
      </c>
      <c r="F450" t="s">
        <v>59</v>
      </c>
      <c r="G450">
        <v>9</v>
      </c>
      <c r="H450" t="s">
        <v>133</v>
      </c>
      <c r="I450">
        <v>12</v>
      </c>
      <c r="J450" s="54">
        <f t="shared" ref="J450:J513" si="7">IF(H450="days",ROUND(G450/30,0),IF(H450="years",G450*12,G450))</f>
        <v>9</v>
      </c>
    </row>
    <row r="451" spans="1:10">
      <c r="A451" s="43">
        <v>42384</v>
      </c>
      <c r="B451">
        <v>2007</v>
      </c>
      <c r="C451">
        <v>1118</v>
      </c>
      <c r="D451">
        <v>450</v>
      </c>
      <c r="E451">
        <v>6950</v>
      </c>
      <c r="F451" t="s">
        <v>59</v>
      </c>
      <c r="G451">
        <v>6</v>
      </c>
      <c r="H451" t="s">
        <v>133</v>
      </c>
      <c r="I451">
        <v>12</v>
      </c>
      <c r="J451" s="54">
        <f t="shared" si="7"/>
        <v>6</v>
      </c>
    </row>
    <row r="452" spans="1:10">
      <c r="A452" s="43">
        <v>42370</v>
      </c>
      <c r="B452">
        <v>2008</v>
      </c>
      <c r="C452">
        <v>1118</v>
      </c>
      <c r="D452">
        <v>451</v>
      </c>
      <c r="E452">
        <v>6900</v>
      </c>
      <c r="F452" t="s">
        <v>59</v>
      </c>
      <c r="G452">
        <v>6</v>
      </c>
      <c r="H452" t="s">
        <v>133</v>
      </c>
      <c r="I452">
        <v>11</v>
      </c>
      <c r="J452" s="54">
        <f t="shared" si="7"/>
        <v>6</v>
      </c>
    </row>
    <row r="453" spans="1:10">
      <c r="A453" s="43">
        <v>43508</v>
      </c>
      <c r="B453">
        <v>2009</v>
      </c>
      <c r="C453">
        <v>1131</v>
      </c>
      <c r="D453">
        <v>452</v>
      </c>
      <c r="E453">
        <v>6700</v>
      </c>
      <c r="F453" t="s">
        <v>59</v>
      </c>
      <c r="G453">
        <v>56</v>
      </c>
      <c r="H453" t="s">
        <v>60</v>
      </c>
      <c r="I453">
        <v>10</v>
      </c>
      <c r="J453" s="54">
        <f t="shared" si="7"/>
        <v>2</v>
      </c>
    </row>
    <row r="454" spans="1:10">
      <c r="A454" s="43">
        <v>43229</v>
      </c>
      <c r="B454">
        <v>2009</v>
      </c>
      <c r="C454">
        <v>1131</v>
      </c>
      <c r="D454">
        <v>453</v>
      </c>
      <c r="E454">
        <v>9150</v>
      </c>
      <c r="F454" t="s">
        <v>59</v>
      </c>
      <c r="G454">
        <v>7</v>
      </c>
      <c r="H454" t="s">
        <v>133</v>
      </c>
      <c r="I454">
        <v>10</v>
      </c>
      <c r="J454" s="54">
        <f t="shared" si="7"/>
        <v>7</v>
      </c>
    </row>
    <row r="455" spans="1:10">
      <c r="A455" s="43">
        <v>43489</v>
      </c>
      <c r="B455">
        <v>2006</v>
      </c>
      <c r="C455">
        <v>1155</v>
      </c>
      <c r="D455">
        <v>454</v>
      </c>
      <c r="E455">
        <v>7500</v>
      </c>
      <c r="F455" t="s">
        <v>59</v>
      </c>
      <c r="G455">
        <v>4</v>
      </c>
      <c r="H455" t="s">
        <v>133</v>
      </c>
      <c r="I455">
        <v>13</v>
      </c>
      <c r="J455" s="54">
        <f t="shared" si="7"/>
        <v>4</v>
      </c>
    </row>
    <row r="456" spans="1:10">
      <c r="A456" s="43">
        <v>43381</v>
      </c>
      <c r="B456">
        <v>2007</v>
      </c>
      <c r="C456">
        <v>1155</v>
      </c>
      <c r="D456">
        <v>455</v>
      </c>
      <c r="E456">
        <v>8500</v>
      </c>
      <c r="F456" t="s">
        <v>59</v>
      </c>
      <c r="G456">
        <v>3</v>
      </c>
      <c r="H456" t="s">
        <v>133</v>
      </c>
      <c r="I456">
        <v>12</v>
      </c>
      <c r="J456" s="54">
        <f t="shared" si="7"/>
        <v>3</v>
      </c>
    </row>
    <row r="457" spans="1:10">
      <c r="A457" s="43">
        <v>43283</v>
      </c>
      <c r="B457">
        <v>2007</v>
      </c>
      <c r="C457">
        <v>1155</v>
      </c>
      <c r="D457">
        <v>456</v>
      </c>
      <c r="E457">
        <v>8750</v>
      </c>
      <c r="F457" t="s">
        <v>59</v>
      </c>
      <c r="G457">
        <v>3</v>
      </c>
      <c r="H457" t="s">
        <v>133</v>
      </c>
      <c r="I457">
        <v>12</v>
      </c>
      <c r="J457" s="54">
        <f t="shared" si="7"/>
        <v>3</v>
      </c>
    </row>
    <row r="458" spans="1:10">
      <c r="A458" s="43">
        <v>42912</v>
      </c>
      <c r="B458">
        <v>2007</v>
      </c>
      <c r="C458">
        <v>1155</v>
      </c>
      <c r="D458">
        <v>457</v>
      </c>
      <c r="E458">
        <v>7200</v>
      </c>
      <c r="F458" t="s">
        <v>59</v>
      </c>
      <c r="G458">
        <v>3</v>
      </c>
      <c r="H458" t="s">
        <v>133</v>
      </c>
      <c r="I458">
        <v>12</v>
      </c>
      <c r="J458" s="54">
        <f t="shared" si="7"/>
        <v>3</v>
      </c>
    </row>
    <row r="459" spans="1:10">
      <c r="A459" s="43">
        <v>42797</v>
      </c>
      <c r="B459">
        <v>2007</v>
      </c>
      <c r="C459">
        <v>1155</v>
      </c>
      <c r="D459">
        <v>458</v>
      </c>
      <c r="E459">
        <v>7200</v>
      </c>
      <c r="F459" t="s">
        <v>59</v>
      </c>
      <c r="G459">
        <v>6</v>
      </c>
      <c r="H459" t="s">
        <v>133</v>
      </c>
      <c r="I459">
        <v>12</v>
      </c>
      <c r="J459" s="54">
        <f t="shared" si="7"/>
        <v>6</v>
      </c>
    </row>
    <row r="460" spans="1:10">
      <c r="A460" s="43">
        <v>42705</v>
      </c>
      <c r="B460">
        <v>2006</v>
      </c>
      <c r="C460">
        <v>1155</v>
      </c>
      <c r="D460">
        <v>459</v>
      </c>
      <c r="E460">
        <v>6000</v>
      </c>
      <c r="F460" t="s">
        <v>59</v>
      </c>
      <c r="G460">
        <v>5</v>
      </c>
      <c r="H460" t="s">
        <v>133</v>
      </c>
      <c r="I460">
        <v>13</v>
      </c>
      <c r="J460" s="54">
        <f t="shared" si="7"/>
        <v>5</v>
      </c>
    </row>
    <row r="461" spans="1:10">
      <c r="A461" s="43">
        <v>42615</v>
      </c>
      <c r="B461">
        <v>2007</v>
      </c>
      <c r="C461">
        <v>1155</v>
      </c>
      <c r="D461">
        <v>460</v>
      </c>
      <c r="E461">
        <v>7650</v>
      </c>
      <c r="F461" t="s">
        <v>59</v>
      </c>
      <c r="G461">
        <v>7</v>
      </c>
      <c r="H461" t="s">
        <v>133</v>
      </c>
      <c r="I461">
        <v>12</v>
      </c>
      <c r="J461" s="54">
        <f t="shared" si="7"/>
        <v>7</v>
      </c>
    </row>
    <row r="462" spans="1:10">
      <c r="A462" s="43">
        <v>42478</v>
      </c>
      <c r="B462">
        <v>2006</v>
      </c>
      <c r="C462">
        <v>1155</v>
      </c>
      <c r="D462">
        <v>461</v>
      </c>
      <c r="E462">
        <v>8400</v>
      </c>
      <c r="F462" t="s">
        <v>59</v>
      </c>
      <c r="G462">
        <v>6</v>
      </c>
      <c r="H462" t="s">
        <v>133</v>
      </c>
      <c r="I462">
        <v>13</v>
      </c>
      <c r="J462" s="54">
        <f t="shared" si="7"/>
        <v>6</v>
      </c>
    </row>
    <row r="463" spans="1:10">
      <c r="A463" s="43">
        <v>42612</v>
      </c>
      <c r="B463">
        <v>2008</v>
      </c>
      <c r="C463">
        <v>1200</v>
      </c>
      <c r="D463">
        <v>462</v>
      </c>
      <c r="E463">
        <v>6600</v>
      </c>
      <c r="F463" t="s">
        <v>59</v>
      </c>
      <c r="G463">
        <v>90</v>
      </c>
      <c r="H463" t="s">
        <v>60</v>
      </c>
      <c r="I463">
        <v>11</v>
      </c>
      <c r="J463" s="54">
        <f t="shared" si="7"/>
        <v>3</v>
      </c>
    </row>
    <row r="464" spans="1:10">
      <c r="A464" s="43">
        <v>42508</v>
      </c>
      <c r="B464">
        <v>2008</v>
      </c>
      <c r="C464">
        <v>1200</v>
      </c>
      <c r="D464">
        <v>463</v>
      </c>
      <c r="E464">
        <v>6600</v>
      </c>
      <c r="F464" t="s">
        <v>59</v>
      </c>
      <c r="G464">
        <v>6</v>
      </c>
      <c r="H464" t="s">
        <v>133</v>
      </c>
      <c r="I464">
        <v>11</v>
      </c>
      <c r="J464" s="54">
        <f t="shared" si="7"/>
        <v>6</v>
      </c>
    </row>
    <row r="465" spans="1:10">
      <c r="A465" s="43">
        <v>43528</v>
      </c>
      <c r="B465">
        <v>2006</v>
      </c>
      <c r="C465">
        <v>1220</v>
      </c>
      <c r="D465">
        <v>464</v>
      </c>
      <c r="E465">
        <v>8950</v>
      </c>
      <c r="F465" t="s">
        <v>59</v>
      </c>
      <c r="G465">
        <v>7</v>
      </c>
      <c r="H465" t="s">
        <v>133</v>
      </c>
      <c r="I465">
        <v>13</v>
      </c>
      <c r="J465" s="54">
        <f t="shared" si="7"/>
        <v>7</v>
      </c>
    </row>
    <row r="466" spans="1:10">
      <c r="A466" s="43">
        <v>43067</v>
      </c>
      <c r="B466">
        <v>2006</v>
      </c>
      <c r="C466">
        <v>1220</v>
      </c>
      <c r="D466">
        <v>465</v>
      </c>
      <c r="E466">
        <v>9900</v>
      </c>
      <c r="F466" t="s">
        <v>59</v>
      </c>
      <c r="G466">
        <v>3</v>
      </c>
      <c r="H466" t="s">
        <v>133</v>
      </c>
      <c r="I466">
        <v>13</v>
      </c>
      <c r="J466" s="54">
        <f t="shared" si="7"/>
        <v>3</v>
      </c>
    </row>
    <row r="467" spans="1:10">
      <c r="A467" s="43">
        <v>42840</v>
      </c>
      <c r="B467">
        <v>2006</v>
      </c>
      <c r="C467">
        <v>1220</v>
      </c>
      <c r="D467">
        <v>466</v>
      </c>
      <c r="E467">
        <v>8200</v>
      </c>
      <c r="F467" t="s">
        <v>59</v>
      </c>
      <c r="G467">
        <v>3</v>
      </c>
      <c r="H467" t="s">
        <v>133</v>
      </c>
      <c r="I467">
        <v>13</v>
      </c>
      <c r="J467" s="54">
        <f t="shared" si="7"/>
        <v>3</v>
      </c>
    </row>
    <row r="468" spans="1:10">
      <c r="A468" s="43">
        <v>42618</v>
      </c>
      <c r="B468">
        <v>2006</v>
      </c>
      <c r="C468">
        <v>1220</v>
      </c>
      <c r="D468">
        <v>467</v>
      </c>
      <c r="E468">
        <v>9000</v>
      </c>
      <c r="F468" t="s">
        <v>59</v>
      </c>
      <c r="G468">
        <v>6</v>
      </c>
      <c r="H468" t="s">
        <v>133</v>
      </c>
      <c r="I468">
        <v>13</v>
      </c>
      <c r="J468" s="54">
        <f t="shared" si="7"/>
        <v>6</v>
      </c>
    </row>
    <row r="469" spans="1:10">
      <c r="A469" s="43">
        <v>43514</v>
      </c>
      <c r="B469">
        <v>2007</v>
      </c>
      <c r="C469">
        <v>1284</v>
      </c>
      <c r="D469">
        <v>468</v>
      </c>
      <c r="E469">
        <v>8650</v>
      </c>
      <c r="F469" t="s">
        <v>59</v>
      </c>
      <c r="G469">
        <v>8</v>
      </c>
      <c r="H469" t="s">
        <v>133</v>
      </c>
      <c r="I469">
        <v>12</v>
      </c>
      <c r="J469" s="54">
        <f t="shared" si="7"/>
        <v>8</v>
      </c>
    </row>
    <row r="470" spans="1:10">
      <c r="A470" s="43">
        <v>43496</v>
      </c>
      <c r="B470">
        <v>2008</v>
      </c>
      <c r="C470">
        <v>1284</v>
      </c>
      <c r="D470">
        <v>469</v>
      </c>
      <c r="E470">
        <v>8700</v>
      </c>
      <c r="F470" t="s">
        <v>59</v>
      </c>
      <c r="G470">
        <v>12</v>
      </c>
      <c r="H470" t="s">
        <v>133</v>
      </c>
      <c r="I470">
        <v>11</v>
      </c>
      <c r="J470" s="54">
        <f t="shared" si="7"/>
        <v>12</v>
      </c>
    </row>
    <row r="471" spans="1:10">
      <c r="A471" s="43">
        <v>43453</v>
      </c>
      <c r="B471">
        <v>2008</v>
      </c>
      <c r="C471">
        <v>1284</v>
      </c>
      <c r="D471">
        <v>470</v>
      </c>
      <c r="E471">
        <v>7350</v>
      </c>
      <c r="F471" t="s">
        <v>59</v>
      </c>
      <c r="G471">
        <v>6</v>
      </c>
      <c r="H471" t="s">
        <v>133</v>
      </c>
      <c r="I471">
        <v>11</v>
      </c>
      <c r="J471" s="54">
        <f t="shared" si="7"/>
        <v>6</v>
      </c>
    </row>
    <row r="472" spans="1:10">
      <c r="A472" s="43">
        <v>43411</v>
      </c>
      <c r="B472">
        <v>2008</v>
      </c>
      <c r="C472">
        <v>1284</v>
      </c>
      <c r="D472">
        <v>471</v>
      </c>
      <c r="E472">
        <v>8300</v>
      </c>
      <c r="F472" t="s">
        <v>59</v>
      </c>
      <c r="G472">
        <v>4</v>
      </c>
      <c r="H472" t="s">
        <v>133</v>
      </c>
      <c r="I472">
        <v>11</v>
      </c>
      <c r="J472" s="54">
        <f t="shared" si="7"/>
        <v>4</v>
      </c>
    </row>
    <row r="473" spans="1:10">
      <c r="A473" s="43">
        <v>43355</v>
      </c>
      <c r="B473">
        <v>2007</v>
      </c>
      <c r="C473">
        <v>1284</v>
      </c>
      <c r="D473">
        <v>472</v>
      </c>
      <c r="E473">
        <v>10000</v>
      </c>
      <c r="F473" t="s">
        <v>59</v>
      </c>
      <c r="G473">
        <v>12</v>
      </c>
      <c r="H473" t="s">
        <v>133</v>
      </c>
      <c r="I473">
        <v>12</v>
      </c>
      <c r="J473" s="54">
        <f t="shared" si="7"/>
        <v>12</v>
      </c>
    </row>
    <row r="474" spans="1:10">
      <c r="A474" s="43">
        <v>43215</v>
      </c>
      <c r="B474">
        <v>2008</v>
      </c>
      <c r="C474">
        <v>1284</v>
      </c>
      <c r="D474">
        <v>473</v>
      </c>
      <c r="E474">
        <v>9500</v>
      </c>
      <c r="F474" t="s">
        <v>59</v>
      </c>
      <c r="G474">
        <v>6</v>
      </c>
      <c r="H474" t="s">
        <v>133</v>
      </c>
      <c r="I474">
        <v>11</v>
      </c>
      <c r="J474" s="54">
        <f t="shared" si="7"/>
        <v>6</v>
      </c>
    </row>
    <row r="475" spans="1:10">
      <c r="A475" s="43">
        <v>43036</v>
      </c>
      <c r="B475">
        <v>2007</v>
      </c>
      <c r="C475">
        <v>1284</v>
      </c>
      <c r="D475">
        <v>474</v>
      </c>
      <c r="E475">
        <v>8850</v>
      </c>
      <c r="F475" t="s">
        <v>59</v>
      </c>
      <c r="G475">
        <v>13</v>
      </c>
      <c r="H475" t="s">
        <v>133</v>
      </c>
      <c r="I475">
        <v>12</v>
      </c>
      <c r="J475" s="54">
        <f t="shared" si="7"/>
        <v>13</v>
      </c>
    </row>
    <row r="476" spans="1:10">
      <c r="A476" s="43">
        <v>43529</v>
      </c>
      <c r="B476">
        <v>2008</v>
      </c>
      <c r="C476">
        <v>1296</v>
      </c>
      <c r="D476">
        <v>475</v>
      </c>
      <c r="E476">
        <v>8500</v>
      </c>
      <c r="F476" t="s">
        <v>59</v>
      </c>
      <c r="G476">
        <v>12</v>
      </c>
      <c r="H476" t="s">
        <v>133</v>
      </c>
      <c r="I476">
        <v>11</v>
      </c>
      <c r="J476" s="54">
        <f t="shared" si="7"/>
        <v>12</v>
      </c>
    </row>
    <row r="477" spans="1:10">
      <c r="A477" s="43">
        <v>43511</v>
      </c>
      <c r="B477">
        <v>2007</v>
      </c>
      <c r="C477">
        <v>1296</v>
      </c>
      <c r="D477">
        <v>476</v>
      </c>
      <c r="E477">
        <v>8700</v>
      </c>
      <c r="F477" t="s">
        <v>59</v>
      </c>
      <c r="G477">
        <v>9</v>
      </c>
      <c r="H477" t="s">
        <v>133</v>
      </c>
      <c r="I477">
        <v>12</v>
      </c>
      <c r="J477" s="54">
        <f t="shared" si="7"/>
        <v>9</v>
      </c>
    </row>
    <row r="478" spans="1:10">
      <c r="A478" s="43">
        <v>43486</v>
      </c>
      <c r="B478">
        <v>2007</v>
      </c>
      <c r="C478">
        <v>1296</v>
      </c>
      <c r="D478">
        <v>477</v>
      </c>
      <c r="E478">
        <v>8500</v>
      </c>
      <c r="F478" t="s">
        <v>59</v>
      </c>
      <c r="G478">
        <v>10</v>
      </c>
      <c r="H478" t="s">
        <v>133</v>
      </c>
      <c r="I478">
        <v>12</v>
      </c>
      <c r="J478" s="54">
        <f t="shared" si="7"/>
        <v>10</v>
      </c>
    </row>
    <row r="479" spans="1:10">
      <c r="A479" s="43">
        <v>43418</v>
      </c>
      <c r="B479">
        <v>2008</v>
      </c>
      <c r="C479">
        <v>1296</v>
      </c>
      <c r="D479">
        <v>478</v>
      </c>
      <c r="E479">
        <v>7000</v>
      </c>
      <c r="F479" t="s">
        <v>59</v>
      </c>
      <c r="G479">
        <v>45</v>
      </c>
      <c r="H479" t="s">
        <v>60</v>
      </c>
      <c r="I479">
        <v>11</v>
      </c>
      <c r="J479" s="54">
        <f t="shared" si="7"/>
        <v>2</v>
      </c>
    </row>
    <row r="480" spans="1:10">
      <c r="A480" s="43">
        <v>43395</v>
      </c>
      <c r="B480">
        <v>2008</v>
      </c>
      <c r="C480">
        <v>1296</v>
      </c>
      <c r="D480">
        <v>479</v>
      </c>
      <c r="E480">
        <v>7000</v>
      </c>
      <c r="F480" t="s">
        <v>59</v>
      </c>
      <c r="G480">
        <v>12</v>
      </c>
      <c r="H480" t="s">
        <v>133</v>
      </c>
      <c r="I480">
        <v>11</v>
      </c>
      <c r="J480" s="54">
        <f t="shared" si="7"/>
        <v>12</v>
      </c>
    </row>
    <row r="481" spans="1:10">
      <c r="A481" s="43">
        <v>43391</v>
      </c>
      <c r="B481">
        <v>2006</v>
      </c>
      <c r="C481">
        <v>1296</v>
      </c>
      <c r="D481">
        <v>480</v>
      </c>
      <c r="E481">
        <v>11200</v>
      </c>
      <c r="F481" t="s">
        <v>59</v>
      </c>
      <c r="G481">
        <v>6</v>
      </c>
      <c r="H481" t="s">
        <v>133</v>
      </c>
      <c r="I481">
        <v>13</v>
      </c>
      <c r="J481" s="54">
        <f t="shared" si="7"/>
        <v>6</v>
      </c>
    </row>
    <row r="482" spans="1:10">
      <c r="A482" s="43">
        <v>43357</v>
      </c>
      <c r="B482">
        <v>2007</v>
      </c>
      <c r="C482">
        <v>1296</v>
      </c>
      <c r="D482">
        <v>481</v>
      </c>
      <c r="E482">
        <v>10000</v>
      </c>
      <c r="F482" t="s">
        <v>59</v>
      </c>
      <c r="G482">
        <v>15</v>
      </c>
      <c r="H482" t="s">
        <v>133</v>
      </c>
      <c r="I482">
        <v>12</v>
      </c>
      <c r="J482" s="54">
        <f t="shared" si="7"/>
        <v>15</v>
      </c>
    </row>
    <row r="483" spans="1:10">
      <c r="A483" s="43">
        <v>43355</v>
      </c>
      <c r="B483">
        <v>2008</v>
      </c>
      <c r="C483">
        <v>1296</v>
      </c>
      <c r="D483">
        <v>482</v>
      </c>
      <c r="E483">
        <v>9300</v>
      </c>
      <c r="F483" t="s">
        <v>59</v>
      </c>
      <c r="G483">
        <v>5</v>
      </c>
      <c r="H483" t="s">
        <v>133</v>
      </c>
      <c r="I483">
        <v>11</v>
      </c>
      <c r="J483" s="54">
        <f t="shared" si="7"/>
        <v>5</v>
      </c>
    </row>
    <row r="484" spans="1:10">
      <c r="A484" s="43">
        <v>43335</v>
      </c>
      <c r="B484">
        <v>2007</v>
      </c>
      <c r="C484">
        <v>1296</v>
      </c>
      <c r="D484">
        <v>483</v>
      </c>
      <c r="E484">
        <v>10000</v>
      </c>
      <c r="F484" t="s">
        <v>59</v>
      </c>
      <c r="G484">
        <v>13</v>
      </c>
      <c r="H484" t="s">
        <v>133</v>
      </c>
      <c r="I484">
        <v>12</v>
      </c>
      <c r="J484" s="54">
        <f t="shared" si="7"/>
        <v>13</v>
      </c>
    </row>
    <row r="485" spans="1:10">
      <c r="A485" s="43">
        <v>43203</v>
      </c>
      <c r="B485">
        <v>2008</v>
      </c>
      <c r="C485">
        <v>1296</v>
      </c>
      <c r="D485">
        <v>484</v>
      </c>
      <c r="E485">
        <v>9500</v>
      </c>
      <c r="F485" t="s">
        <v>59</v>
      </c>
      <c r="G485">
        <v>6</v>
      </c>
      <c r="H485" t="s">
        <v>133</v>
      </c>
      <c r="I485">
        <v>11</v>
      </c>
      <c r="J485" s="54">
        <f t="shared" si="7"/>
        <v>6</v>
      </c>
    </row>
    <row r="486" spans="1:10">
      <c r="A486" s="43">
        <v>43201</v>
      </c>
      <c r="B486">
        <v>2008</v>
      </c>
      <c r="C486">
        <v>1296</v>
      </c>
      <c r="D486">
        <v>485</v>
      </c>
      <c r="E486">
        <v>9500</v>
      </c>
      <c r="F486" t="s">
        <v>59</v>
      </c>
      <c r="G486">
        <v>12</v>
      </c>
      <c r="H486" t="s">
        <v>133</v>
      </c>
      <c r="I486">
        <v>11</v>
      </c>
      <c r="J486" s="54">
        <f t="shared" si="7"/>
        <v>12</v>
      </c>
    </row>
    <row r="487" spans="1:10">
      <c r="A487" s="43">
        <v>43179</v>
      </c>
      <c r="B487">
        <v>2006</v>
      </c>
      <c r="C487">
        <v>1296</v>
      </c>
      <c r="D487">
        <v>486</v>
      </c>
      <c r="E487">
        <v>10500</v>
      </c>
      <c r="F487" t="s">
        <v>59</v>
      </c>
      <c r="G487">
        <v>7</v>
      </c>
      <c r="H487" t="s">
        <v>133</v>
      </c>
      <c r="I487">
        <v>13</v>
      </c>
      <c r="J487" s="54">
        <f t="shared" si="7"/>
        <v>7</v>
      </c>
    </row>
    <row r="488" spans="1:10">
      <c r="A488" s="43">
        <v>43179</v>
      </c>
      <c r="B488">
        <v>2007</v>
      </c>
      <c r="C488">
        <v>1296</v>
      </c>
      <c r="D488">
        <v>487</v>
      </c>
      <c r="E488">
        <v>10500</v>
      </c>
      <c r="F488" t="s">
        <v>59</v>
      </c>
      <c r="G488">
        <v>6</v>
      </c>
      <c r="H488" t="s">
        <v>133</v>
      </c>
      <c r="I488">
        <v>12</v>
      </c>
      <c r="J488" s="54">
        <f t="shared" si="7"/>
        <v>6</v>
      </c>
    </row>
    <row r="489" spans="1:10">
      <c r="A489" s="43">
        <v>43164</v>
      </c>
      <c r="B489">
        <v>2007</v>
      </c>
      <c r="C489">
        <v>1296</v>
      </c>
      <c r="D489">
        <v>488</v>
      </c>
      <c r="E489">
        <v>9900</v>
      </c>
      <c r="F489" t="s">
        <v>59</v>
      </c>
      <c r="G489">
        <v>13</v>
      </c>
      <c r="H489" t="s">
        <v>133</v>
      </c>
      <c r="I489">
        <v>12</v>
      </c>
      <c r="J489" s="54">
        <f t="shared" si="7"/>
        <v>13</v>
      </c>
    </row>
    <row r="490" spans="1:10">
      <c r="A490" s="43">
        <v>43059</v>
      </c>
      <c r="B490">
        <v>2008</v>
      </c>
      <c r="C490">
        <v>1296</v>
      </c>
      <c r="D490">
        <v>489</v>
      </c>
      <c r="E490">
        <v>7650</v>
      </c>
      <c r="F490" t="s">
        <v>59</v>
      </c>
      <c r="G490">
        <v>5</v>
      </c>
      <c r="H490" t="s">
        <v>133</v>
      </c>
      <c r="I490">
        <v>11</v>
      </c>
      <c r="J490" s="54">
        <f t="shared" si="7"/>
        <v>5</v>
      </c>
    </row>
    <row r="491" spans="1:10">
      <c r="A491" s="43">
        <v>43040</v>
      </c>
      <c r="B491">
        <v>2008</v>
      </c>
      <c r="C491">
        <v>1296</v>
      </c>
      <c r="D491">
        <v>490</v>
      </c>
      <c r="E491">
        <v>7500</v>
      </c>
      <c r="F491" t="s">
        <v>59</v>
      </c>
      <c r="G491">
        <v>5</v>
      </c>
      <c r="H491" t="s">
        <v>133</v>
      </c>
      <c r="I491">
        <v>11</v>
      </c>
      <c r="J491" s="54">
        <f t="shared" si="7"/>
        <v>5</v>
      </c>
    </row>
    <row r="492" spans="1:10">
      <c r="A492" s="43">
        <v>43019</v>
      </c>
      <c r="B492">
        <v>2007</v>
      </c>
      <c r="C492">
        <v>1296</v>
      </c>
      <c r="D492">
        <v>491</v>
      </c>
      <c r="E492">
        <v>8650</v>
      </c>
      <c r="F492" t="s">
        <v>59</v>
      </c>
      <c r="G492">
        <v>12</v>
      </c>
      <c r="H492" t="s">
        <v>133</v>
      </c>
      <c r="I492">
        <v>12</v>
      </c>
      <c r="J492" s="54">
        <f t="shared" si="7"/>
        <v>12</v>
      </c>
    </row>
    <row r="493" spans="1:10">
      <c r="A493" s="43">
        <v>42996</v>
      </c>
      <c r="B493">
        <v>2007</v>
      </c>
      <c r="C493">
        <v>1296</v>
      </c>
      <c r="D493">
        <v>492</v>
      </c>
      <c r="E493">
        <v>8500</v>
      </c>
      <c r="F493" t="s">
        <v>59</v>
      </c>
      <c r="G493">
        <v>12</v>
      </c>
      <c r="H493" t="s">
        <v>133</v>
      </c>
      <c r="I493">
        <v>12</v>
      </c>
      <c r="J493" s="54">
        <f t="shared" si="7"/>
        <v>12</v>
      </c>
    </row>
    <row r="494" spans="1:10">
      <c r="A494" s="43">
        <v>42979</v>
      </c>
      <c r="B494">
        <v>2008</v>
      </c>
      <c r="C494">
        <v>1296</v>
      </c>
      <c r="D494">
        <v>493</v>
      </c>
      <c r="E494">
        <v>7150</v>
      </c>
      <c r="F494" t="s">
        <v>59</v>
      </c>
      <c r="G494">
        <v>8</v>
      </c>
      <c r="H494" t="s">
        <v>133</v>
      </c>
      <c r="I494">
        <v>11</v>
      </c>
      <c r="J494" s="54">
        <f t="shared" si="7"/>
        <v>8</v>
      </c>
    </row>
    <row r="495" spans="1:10">
      <c r="A495" s="43">
        <v>42975</v>
      </c>
      <c r="B495">
        <v>2007</v>
      </c>
      <c r="C495">
        <v>1296</v>
      </c>
      <c r="D495">
        <v>494</v>
      </c>
      <c r="E495">
        <v>7950</v>
      </c>
      <c r="F495" t="s">
        <v>59</v>
      </c>
      <c r="G495">
        <v>7</v>
      </c>
      <c r="H495" t="s">
        <v>133</v>
      </c>
      <c r="I495">
        <v>12</v>
      </c>
      <c r="J495" s="54">
        <f t="shared" si="7"/>
        <v>7</v>
      </c>
    </row>
    <row r="496" spans="1:10">
      <c r="A496" s="43">
        <v>42948</v>
      </c>
      <c r="B496">
        <v>2008</v>
      </c>
      <c r="C496">
        <v>1296</v>
      </c>
      <c r="D496">
        <v>495</v>
      </c>
      <c r="E496">
        <v>7650</v>
      </c>
      <c r="F496" t="s">
        <v>59</v>
      </c>
      <c r="G496">
        <v>3</v>
      </c>
      <c r="H496" t="s">
        <v>133</v>
      </c>
      <c r="I496">
        <v>11</v>
      </c>
      <c r="J496" s="54">
        <f t="shared" si="7"/>
        <v>3</v>
      </c>
    </row>
    <row r="497" spans="1:10">
      <c r="A497" s="43">
        <v>42948</v>
      </c>
      <c r="B497">
        <v>2007</v>
      </c>
      <c r="C497">
        <v>1296</v>
      </c>
      <c r="D497">
        <v>496</v>
      </c>
      <c r="E497">
        <v>7800</v>
      </c>
      <c r="F497" t="s">
        <v>59</v>
      </c>
      <c r="G497">
        <v>90</v>
      </c>
      <c r="H497" t="s">
        <v>60</v>
      </c>
      <c r="I497">
        <v>12</v>
      </c>
      <c r="J497" s="54">
        <f t="shared" si="7"/>
        <v>3</v>
      </c>
    </row>
    <row r="498" spans="1:10">
      <c r="A498" s="43">
        <v>42921</v>
      </c>
      <c r="B498">
        <v>2008</v>
      </c>
      <c r="C498">
        <v>1296</v>
      </c>
      <c r="D498">
        <v>497</v>
      </c>
      <c r="E498">
        <v>6650</v>
      </c>
      <c r="F498" t="s">
        <v>59</v>
      </c>
      <c r="G498">
        <v>4</v>
      </c>
      <c r="H498" t="s">
        <v>133</v>
      </c>
      <c r="I498">
        <v>11</v>
      </c>
      <c r="J498" s="54">
        <f t="shared" si="7"/>
        <v>4</v>
      </c>
    </row>
    <row r="499" spans="1:10">
      <c r="A499" s="43">
        <v>42917</v>
      </c>
      <c r="B499">
        <v>2008</v>
      </c>
      <c r="C499">
        <v>1296</v>
      </c>
      <c r="D499">
        <v>498</v>
      </c>
      <c r="E499">
        <v>7500</v>
      </c>
      <c r="F499" t="s">
        <v>59</v>
      </c>
      <c r="G499">
        <v>60</v>
      </c>
      <c r="H499" t="s">
        <v>60</v>
      </c>
      <c r="I499">
        <v>11</v>
      </c>
      <c r="J499" s="54">
        <f t="shared" si="7"/>
        <v>2</v>
      </c>
    </row>
    <row r="500" spans="1:10">
      <c r="A500" s="43">
        <v>42887</v>
      </c>
      <c r="B500">
        <v>2008</v>
      </c>
      <c r="C500">
        <v>1296</v>
      </c>
      <c r="D500">
        <v>499</v>
      </c>
      <c r="E500">
        <v>7000</v>
      </c>
      <c r="F500" t="s">
        <v>59</v>
      </c>
      <c r="G500">
        <v>42</v>
      </c>
      <c r="H500" t="s">
        <v>60</v>
      </c>
      <c r="I500">
        <v>11</v>
      </c>
      <c r="J500" s="54">
        <f t="shared" si="7"/>
        <v>1</v>
      </c>
    </row>
    <row r="501" spans="1:10">
      <c r="A501" s="43">
        <v>42887</v>
      </c>
      <c r="B501">
        <v>2008</v>
      </c>
      <c r="C501">
        <v>1296</v>
      </c>
      <c r="D501">
        <v>500</v>
      </c>
      <c r="E501">
        <v>6600</v>
      </c>
      <c r="F501" t="s">
        <v>59</v>
      </c>
      <c r="G501">
        <v>5</v>
      </c>
      <c r="H501" t="s">
        <v>133</v>
      </c>
      <c r="I501">
        <v>11</v>
      </c>
      <c r="J501" s="54">
        <f t="shared" si="7"/>
        <v>5</v>
      </c>
    </row>
    <row r="502" spans="1:10">
      <c r="A502" s="43">
        <v>42826</v>
      </c>
      <c r="B502">
        <v>2007</v>
      </c>
      <c r="C502">
        <v>1296</v>
      </c>
      <c r="D502">
        <v>501</v>
      </c>
      <c r="E502">
        <v>8000</v>
      </c>
      <c r="F502" t="s">
        <v>59</v>
      </c>
      <c r="G502">
        <v>24</v>
      </c>
      <c r="H502" t="s">
        <v>133</v>
      </c>
      <c r="I502">
        <v>12</v>
      </c>
      <c r="J502" s="54">
        <f t="shared" si="7"/>
        <v>24</v>
      </c>
    </row>
    <row r="503" spans="1:10">
      <c r="A503" s="43">
        <v>42826</v>
      </c>
      <c r="B503">
        <v>2007</v>
      </c>
      <c r="C503">
        <v>1296</v>
      </c>
      <c r="D503">
        <v>502</v>
      </c>
      <c r="E503">
        <v>8000</v>
      </c>
      <c r="F503" t="s">
        <v>59</v>
      </c>
      <c r="G503">
        <v>12</v>
      </c>
      <c r="H503" t="s">
        <v>133</v>
      </c>
      <c r="I503">
        <v>12</v>
      </c>
      <c r="J503" s="54">
        <f t="shared" si="7"/>
        <v>12</v>
      </c>
    </row>
    <row r="504" spans="1:10">
      <c r="A504" s="43">
        <v>42800</v>
      </c>
      <c r="B504">
        <v>2007</v>
      </c>
      <c r="C504">
        <v>1296</v>
      </c>
      <c r="D504">
        <v>503</v>
      </c>
      <c r="E504">
        <v>7850</v>
      </c>
      <c r="F504" t="s">
        <v>59</v>
      </c>
      <c r="G504">
        <v>13</v>
      </c>
      <c r="H504" t="s">
        <v>133</v>
      </c>
      <c r="I504">
        <v>12</v>
      </c>
      <c r="J504" s="54">
        <f t="shared" si="7"/>
        <v>13</v>
      </c>
    </row>
    <row r="505" spans="1:10">
      <c r="A505" s="43">
        <v>42787</v>
      </c>
      <c r="B505">
        <v>2007</v>
      </c>
      <c r="C505">
        <v>1296</v>
      </c>
      <c r="D505">
        <v>504</v>
      </c>
      <c r="E505">
        <v>8950</v>
      </c>
      <c r="F505" t="s">
        <v>59</v>
      </c>
      <c r="G505">
        <v>7</v>
      </c>
      <c r="H505" t="s">
        <v>133</v>
      </c>
      <c r="I505">
        <v>12</v>
      </c>
      <c r="J505" s="54">
        <f t="shared" si="7"/>
        <v>7</v>
      </c>
    </row>
    <row r="506" spans="1:10">
      <c r="A506" s="43">
        <v>42786</v>
      </c>
      <c r="B506">
        <v>2007</v>
      </c>
      <c r="C506">
        <v>1296</v>
      </c>
      <c r="D506">
        <v>505</v>
      </c>
      <c r="E506">
        <v>7650</v>
      </c>
      <c r="F506" t="s">
        <v>59</v>
      </c>
      <c r="G506">
        <v>6</v>
      </c>
      <c r="H506" t="s">
        <v>133</v>
      </c>
      <c r="I506">
        <v>12</v>
      </c>
      <c r="J506" s="54">
        <f t="shared" si="7"/>
        <v>6</v>
      </c>
    </row>
    <row r="507" spans="1:10">
      <c r="A507" s="43">
        <v>42755</v>
      </c>
      <c r="B507">
        <v>2006</v>
      </c>
      <c r="C507">
        <v>1296</v>
      </c>
      <c r="D507">
        <v>506</v>
      </c>
      <c r="E507">
        <v>7800</v>
      </c>
      <c r="F507" t="s">
        <v>59</v>
      </c>
      <c r="G507">
        <v>9</v>
      </c>
      <c r="H507" t="s">
        <v>133</v>
      </c>
      <c r="I507">
        <v>13</v>
      </c>
      <c r="J507" s="54">
        <f t="shared" si="7"/>
        <v>9</v>
      </c>
    </row>
    <row r="508" spans="1:10">
      <c r="A508" s="43">
        <v>42750</v>
      </c>
      <c r="B508">
        <v>2008</v>
      </c>
      <c r="C508">
        <v>1296</v>
      </c>
      <c r="D508">
        <v>507</v>
      </c>
      <c r="E508">
        <v>6000</v>
      </c>
      <c r="F508" t="s">
        <v>59</v>
      </c>
      <c r="G508">
        <v>5</v>
      </c>
      <c r="H508" t="s">
        <v>133</v>
      </c>
      <c r="I508">
        <v>11</v>
      </c>
      <c r="J508" s="54">
        <f t="shared" si="7"/>
        <v>5</v>
      </c>
    </row>
    <row r="509" spans="1:10">
      <c r="A509" s="43">
        <v>42710</v>
      </c>
      <c r="B509">
        <v>2008</v>
      </c>
      <c r="C509">
        <v>1296</v>
      </c>
      <c r="D509">
        <v>508</v>
      </c>
      <c r="E509">
        <v>5500</v>
      </c>
      <c r="F509" t="s">
        <v>59</v>
      </c>
      <c r="G509">
        <v>12</v>
      </c>
      <c r="H509" t="s">
        <v>133</v>
      </c>
      <c r="I509">
        <v>11</v>
      </c>
      <c r="J509" s="54">
        <f t="shared" si="7"/>
        <v>12</v>
      </c>
    </row>
    <row r="510" spans="1:10">
      <c r="A510" s="43">
        <v>42705</v>
      </c>
      <c r="B510">
        <v>2008</v>
      </c>
      <c r="C510">
        <v>1296</v>
      </c>
      <c r="D510">
        <v>509</v>
      </c>
      <c r="E510">
        <v>5500</v>
      </c>
      <c r="F510" t="s">
        <v>59</v>
      </c>
      <c r="G510">
        <v>12</v>
      </c>
      <c r="H510" t="s">
        <v>133</v>
      </c>
      <c r="I510">
        <v>11</v>
      </c>
      <c r="J510" s="54">
        <f t="shared" si="7"/>
        <v>12</v>
      </c>
    </row>
    <row r="511" spans="1:10">
      <c r="A511" s="43">
        <v>42694</v>
      </c>
      <c r="B511">
        <v>2007</v>
      </c>
      <c r="C511">
        <v>1296</v>
      </c>
      <c r="D511">
        <v>510</v>
      </c>
      <c r="E511">
        <v>8000</v>
      </c>
      <c r="F511" t="s">
        <v>59</v>
      </c>
      <c r="G511">
        <v>4.5</v>
      </c>
      <c r="H511" t="s">
        <v>133</v>
      </c>
      <c r="I511">
        <v>12</v>
      </c>
      <c r="J511" s="54">
        <f t="shared" si="7"/>
        <v>4.5</v>
      </c>
    </row>
    <row r="512" spans="1:10">
      <c r="A512" s="43">
        <v>42667</v>
      </c>
      <c r="B512">
        <v>2008</v>
      </c>
      <c r="C512">
        <v>1296</v>
      </c>
      <c r="D512">
        <v>511</v>
      </c>
      <c r="E512">
        <v>7250</v>
      </c>
      <c r="F512" t="s">
        <v>59</v>
      </c>
      <c r="G512">
        <v>5</v>
      </c>
      <c r="H512" t="s">
        <v>133</v>
      </c>
      <c r="I512">
        <v>11</v>
      </c>
      <c r="J512" s="54">
        <f t="shared" si="7"/>
        <v>5</v>
      </c>
    </row>
    <row r="513" spans="1:10">
      <c r="A513" s="43">
        <v>42658</v>
      </c>
      <c r="B513">
        <v>2007</v>
      </c>
      <c r="C513">
        <v>1296</v>
      </c>
      <c r="D513">
        <v>512</v>
      </c>
      <c r="E513">
        <v>8250</v>
      </c>
      <c r="F513" t="s">
        <v>59</v>
      </c>
      <c r="G513">
        <v>4</v>
      </c>
      <c r="H513" t="s">
        <v>133</v>
      </c>
      <c r="I513">
        <v>12</v>
      </c>
      <c r="J513" s="54">
        <f t="shared" si="7"/>
        <v>4</v>
      </c>
    </row>
    <row r="514" spans="1:10">
      <c r="A514" s="43">
        <v>42618</v>
      </c>
      <c r="B514">
        <v>2007</v>
      </c>
      <c r="C514">
        <v>1296</v>
      </c>
      <c r="D514">
        <v>513</v>
      </c>
      <c r="E514">
        <v>8100</v>
      </c>
      <c r="F514" t="s">
        <v>59</v>
      </c>
      <c r="G514">
        <v>9</v>
      </c>
      <c r="H514" t="s">
        <v>133</v>
      </c>
      <c r="I514">
        <v>12</v>
      </c>
      <c r="J514" s="54">
        <f t="shared" ref="J514:J577" si="8">IF(H514="days",ROUND(G514/30,0),IF(H514="years",G514*12,G514))</f>
        <v>9</v>
      </c>
    </row>
    <row r="515" spans="1:10">
      <c r="A515" s="43">
        <v>42614</v>
      </c>
      <c r="B515">
        <v>2007</v>
      </c>
      <c r="C515">
        <v>1296</v>
      </c>
      <c r="D515">
        <v>514</v>
      </c>
      <c r="E515">
        <v>9150</v>
      </c>
      <c r="F515" t="s">
        <v>59</v>
      </c>
      <c r="G515">
        <v>6</v>
      </c>
      <c r="H515" t="s">
        <v>133</v>
      </c>
      <c r="I515">
        <v>12</v>
      </c>
      <c r="J515" s="54">
        <f t="shared" si="8"/>
        <v>6</v>
      </c>
    </row>
    <row r="516" spans="1:10">
      <c r="A516" s="43">
        <v>42612</v>
      </c>
      <c r="B516">
        <v>2008</v>
      </c>
      <c r="C516">
        <v>1296</v>
      </c>
      <c r="D516">
        <v>515</v>
      </c>
      <c r="E516">
        <v>7650</v>
      </c>
      <c r="F516" t="s">
        <v>59</v>
      </c>
      <c r="G516">
        <v>6</v>
      </c>
      <c r="H516" t="s">
        <v>133</v>
      </c>
      <c r="I516">
        <v>11</v>
      </c>
      <c r="J516" s="54">
        <f t="shared" si="8"/>
        <v>6</v>
      </c>
    </row>
    <row r="517" spans="1:10">
      <c r="A517" s="43">
        <v>42597</v>
      </c>
      <c r="B517">
        <v>2007</v>
      </c>
      <c r="C517">
        <v>1296</v>
      </c>
      <c r="D517">
        <v>516</v>
      </c>
      <c r="E517">
        <v>8100</v>
      </c>
      <c r="F517" t="s">
        <v>59</v>
      </c>
      <c r="G517">
        <v>6</v>
      </c>
      <c r="H517" t="s">
        <v>133</v>
      </c>
      <c r="I517">
        <v>12</v>
      </c>
      <c r="J517" s="54">
        <f t="shared" si="8"/>
        <v>6</v>
      </c>
    </row>
    <row r="518" spans="1:10">
      <c r="A518" s="43">
        <v>42594</v>
      </c>
      <c r="B518">
        <v>2007</v>
      </c>
      <c r="C518">
        <v>1296</v>
      </c>
      <c r="D518">
        <v>517</v>
      </c>
      <c r="E518">
        <v>8100</v>
      </c>
      <c r="F518" t="s">
        <v>59</v>
      </c>
      <c r="G518">
        <v>6</v>
      </c>
      <c r="H518" t="s">
        <v>133</v>
      </c>
      <c r="I518">
        <v>12</v>
      </c>
      <c r="J518" s="54">
        <f t="shared" si="8"/>
        <v>6</v>
      </c>
    </row>
    <row r="519" spans="1:10">
      <c r="A519" s="43">
        <v>42592</v>
      </c>
      <c r="B519">
        <v>2008</v>
      </c>
      <c r="C519">
        <v>1296</v>
      </c>
      <c r="D519">
        <v>518</v>
      </c>
      <c r="E519">
        <v>6800</v>
      </c>
      <c r="F519" t="s">
        <v>59</v>
      </c>
      <c r="G519">
        <v>7</v>
      </c>
      <c r="H519" t="s">
        <v>133</v>
      </c>
      <c r="I519">
        <v>11</v>
      </c>
      <c r="J519" s="54">
        <f t="shared" si="8"/>
        <v>7</v>
      </c>
    </row>
    <row r="520" spans="1:10">
      <c r="A520" s="43">
        <v>42564</v>
      </c>
      <c r="B520">
        <v>2007</v>
      </c>
      <c r="C520">
        <v>1296</v>
      </c>
      <c r="D520">
        <v>519</v>
      </c>
      <c r="E520">
        <v>8000</v>
      </c>
      <c r="F520" t="s">
        <v>59</v>
      </c>
      <c r="G520">
        <v>12</v>
      </c>
      <c r="H520" t="s">
        <v>133</v>
      </c>
      <c r="I520">
        <v>12</v>
      </c>
      <c r="J520" s="54">
        <f t="shared" si="8"/>
        <v>12</v>
      </c>
    </row>
    <row r="521" spans="1:10">
      <c r="A521" s="43">
        <v>42552</v>
      </c>
      <c r="B521">
        <v>2007</v>
      </c>
      <c r="C521">
        <v>1296</v>
      </c>
      <c r="D521">
        <v>520</v>
      </c>
      <c r="E521">
        <v>8000</v>
      </c>
      <c r="F521" t="s">
        <v>59</v>
      </c>
      <c r="G521">
        <v>7</v>
      </c>
      <c r="H521" t="s">
        <v>133</v>
      </c>
      <c r="I521">
        <v>12</v>
      </c>
      <c r="J521" s="54">
        <f t="shared" si="8"/>
        <v>7</v>
      </c>
    </row>
    <row r="522" spans="1:10">
      <c r="A522" s="43">
        <v>42534</v>
      </c>
      <c r="B522">
        <v>2007</v>
      </c>
      <c r="C522">
        <v>1296</v>
      </c>
      <c r="D522">
        <v>521</v>
      </c>
      <c r="E522">
        <v>7900</v>
      </c>
      <c r="F522" t="s">
        <v>59</v>
      </c>
      <c r="G522">
        <v>9</v>
      </c>
      <c r="H522" t="s">
        <v>133</v>
      </c>
      <c r="I522">
        <v>12</v>
      </c>
      <c r="J522" s="54">
        <f t="shared" si="8"/>
        <v>9</v>
      </c>
    </row>
    <row r="523" spans="1:10">
      <c r="A523" s="43">
        <v>42530</v>
      </c>
      <c r="B523">
        <v>2008</v>
      </c>
      <c r="C523">
        <v>1296</v>
      </c>
      <c r="D523">
        <v>522</v>
      </c>
      <c r="E523">
        <v>7900</v>
      </c>
      <c r="F523" t="s">
        <v>59</v>
      </c>
      <c r="G523">
        <v>5</v>
      </c>
      <c r="H523" t="s">
        <v>133</v>
      </c>
      <c r="I523">
        <v>11</v>
      </c>
      <c r="J523" s="54">
        <f t="shared" si="8"/>
        <v>5</v>
      </c>
    </row>
    <row r="524" spans="1:10">
      <c r="A524" s="43">
        <v>42510</v>
      </c>
      <c r="B524">
        <v>2007</v>
      </c>
      <c r="C524">
        <v>1296</v>
      </c>
      <c r="D524">
        <v>523</v>
      </c>
      <c r="E524">
        <v>8500</v>
      </c>
      <c r="F524" t="s">
        <v>59</v>
      </c>
      <c r="G524">
        <v>6</v>
      </c>
      <c r="H524" t="s">
        <v>133</v>
      </c>
      <c r="I524">
        <v>12</v>
      </c>
      <c r="J524" s="54">
        <f t="shared" si="8"/>
        <v>6</v>
      </c>
    </row>
    <row r="525" spans="1:10">
      <c r="A525" s="43">
        <v>42502</v>
      </c>
      <c r="B525">
        <v>2008</v>
      </c>
      <c r="C525">
        <v>1296</v>
      </c>
      <c r="D525">
        <v>524</v>
      </c>
      <c r="E525">
        <v>8350</v>
      </c>
      <c r="F525" t="s">
        <v>59</v>
      </c>
      <c r="G525">
        <v>42</v>
      </c>
      <c r="H525" t="s">
        <v>60</v>
      </c>
      <c r="I525">
        <v>11</v>
      </c>
      <c r="J525" s="54">
        <f t="shared" si="8"/>
        <v>1</v>
      </c>
    </row>
    <row r="526" spans="1:10">
      <c r="A526" s="43">
        <v>42480</v>
      </c>
      <c r="B526">
        <v>2007</v>
      </c>
      <c r="C526">
        <v>1296</v>
      </c>
      <c r="D526">
        <v>525</v>
      </c>
      <c r="E526">
        <v>7900</v>
      </c>
      <c r="F526" t="s">
        <v>59</v>
      </c>
      <c r="G526">
        <v>4</v>
      </c>
      <c r="H526" t="s">
        <v>133</v>
      </c>
      <c r="I526">
        <v>12</v>
      </c>
      <c r="J526" s="54">
        <f t="shared" si="8"/>
        <v>4</v>
      </c>
    </row>
    <row r="527" spans="1:10">
      <c r="A527" s="43">
        <v>42461</v>
      </c>
      <c r="B527">
        <v>2008</v>
      </c>
      <c r="C527">
        <v>1296</v>
      </c>
      <c r="D527">
        <v>526</v>
      </c>
      <c r="E527">
        <v>8250</v>
      </c>
      <c r="F527" t="s">
        <v>59</v>
      </c>
      <c r="G527">
        <v>6</v>
      </c>
      <c r="H527" t="s">
        <v>133</v>
      </c>
      <c r="I527">
        <v>11</v>
      </c>
      <c r="J527" s="54">
        <f t="shared" si="8"/>
        <v>6</v>
      </c>
    </row>
    <row r="528" spans="1:10">
      <c r="A528" s="43">
        <v>42430</v>
      </c>
      <c r="B528">
        <v>2007</v>
      </c>
      <c r="C528">
        <v>1296</v>
      </c>
      <c r="D528">
        <v>527</v>
      </c>
      <c r="E528">
        <v>8200</v>
      </c>
      <c r="F528" t="s">
        <v>59</v>
      </c>
      <c r="G528">
        <v>9</v>
      </c>
      <c r="H528" t="s">
        <v>133</v>
      </c>
      <c r="I528">
        <v>12</v>
      </c>
      <c r="J528" s="54">
        <f t="shared" si="8"/>
        <v>9</v>
      </c>
    </row>
    <row r="529" spans="1:10">
      <c r="A529" s="43">
        <v>42430</v>
      </c>
      <c r="B529">
        <v>2006</v>
      </c>
      <c r="C529">
        <v>1296</v>
      </c>
      <c r="D529">
        <v>528</v>
      </c>
      <c r="E529">
        <v>8500</v>
      </c>
      <c r="F529" t="s">
        <v>59</v>
      </c>
      <c r="G529">
        <v>8</v>
      </c>
      <c r="H529" t="s">
        <v>133</v>
      </c>
      <c r="I529">
        <v>13</v>
      </c>
      <c r="J529" s="54">
        <f t="shared" si="8"/>
        <v>8</v>
      </c>
    </row>
    <row r="530" spans="1:10">
      <c r="A530" s="43">
        <v>42415</v>
      </c>
      <c r="B530">
        <v>2007</v>
      </c>
      <c r="C530">
        <v>1296</v>
      </c>
      <c r="D530">
        <v>529</v>
      </c>
      <c r="E530">
        <v>10650</v>
      </c>
      <c r="F530" t="s">
        <v>59</v>
      </c>
      <c r="G530">
        <v>1.5</v>
      </c>
      <c r="H530" t="s">
        <v>133</v>
      </c>
      <c r="I530">
        <v>12</v>
      </c>
      <c r="J530" s="54">
        <f t="shared" si="8"/>
        <v>1.5</v>
      </c>
    </row>
    <row r="531" spans="1:10">
      <c r="A531" s="43">
        <v>42411</v>
      </c>
      <c r="B531">
        <v>2008</v>
      </c>
      <c r="C531">
        <v>1296</v>
      </c>
      <c r="D531">
        <v>530</v>
      </c>
      <c r="E531">
        <v>7700</v>
      </c>
      <c r="F531" t="s">
        <v>59</v>
      </c>
      <c r="G531">
        <v>4</v>
      </c>
      <c r="H531" t="s">
        <v>133</v>
      </c>
      <c r="I531">
        <v>11</v>
      </c>
      <c r="J531" s="54">
        <f t="shared" si="8"/>
        <v>4</v>
      </c>
    </row>
    <row r="532" spans="1:10">
      <c r="A532" s="43">
        <v>42404</v>
      </c>
      <c r="B532">
        <v>2007</v>
      </c>
      <c r="C532">
        <v>1296</v>
      </c>
      <c r="D532">
        <v>531</v>
      </c>
      <c r="E532">
        <v>7950</v>
      </c>
      <c r="F532" t="s">
        <v>59</v>
      </c>
      <c r="G532">
        <v>7</v>
      </c>
      <c r="H532" t="s">
        <v>133</v>
      </c>
      <c r="I532">
        <v>12</v>
      </c>
      <c r="J532" s="54">
        <f t="shared" si="8"/>
        <v>7</v>
      </c>
    </row>
    <row r="533" spans="1:10">
      <c r="A533" s="43">
        <v>42403</v>
      </c>
      <c r="B533">
        <v>2007</v>
      </c>
      <c r="C533">
        <v>1296</v>
      </c>
      <c r="D533">
        <v>532</v>
      </c>
      <c r="E533">
        <v>9600</v>
      </c>
      <c r="F533" t="s">
        <v>59</v>
      </c>
      <c r="G533">
        <v>9</v>
      </c>
      <c r="H533" t="s">
        <v>133</v>
      </c>
      <c r="I533">
        <v>12</v>
      </c>
      <c r="J533" s="54">
        <f t="shared" si="8"/>
        <v>9</v>
      </c>
    </row>
    <row r="534" spans="1:10">
      <c r="A534" s="43">
        <v>42401</v>
      </c>
      <c r="B534">
        <v>2008</v>
      </c>
      <c r="C534">
        <v>1296</v>
      </c>
      <c r="D534">
        <v>533</v>
      </c>
      <c r="E534">
        <v>7600</v>
      </c>
      <c r="F534" t="s">
        <v>59</v>
      </c>
      <c r="G534">
        <v>3</v>
      </c>
      <c r="H534" t="s">
        <v>133</v>
      </c>
      <c r="I534">
        <v>11</v>
      </c>
      <c r="J534" s="54">
        <f t="shared" si="8"/>
        <v>3</v>
      </c>
    </row>
    <row r="535" spans="1:10">
      <c r="A535" s="43">
        <v>42398</v>
      </c>
      <c r="B535">
        <v>2008</v>
      </c>
      <c r="C535">
        <v>1296</v>
      </c>
      <c r="D535">
        <v>534</v>
      </c>
      <c r="E535">
        <v>6500</v>
      </c>
      <c r="F535" t="s">
        <v>59</v>
      </c>
      <c r="G535">
        <v>7</v>
      </c>
      <c r="H535" t="s">
        <v>133</v>
      </c>
      <c r="I535">
        <v>11</v>
      </c>
      <c r="J535" s="54">
        <f t="shared" si="8"/>
        <v>7</v>
      </c>
    </row>
    <row r="536" spans="1:10">
      <c r="A536" s="43">
        <v>43523</v>
      </c>
      <c r="B536">
        <v>2010</v>
      </c>
      <c r="C536">
        <v>1304</v>
      </c>
      <c r="D536">
        <v>535</v>
      </c>
      <c r="E536">
        <v>7400</v>
      </c>
      <c r="F536" t="s">
        <v>59</v>
      </c>
      <c r="G536">
        <v>14</v>
      </c>
      <c r="H536" t="s">
        <v>133</v>
      </c>
      <c r="I536">
        <v>9</v>
      </c>
      <c r="J536" s="54">
        <f t="shared" si="8"/>
        <v>14</v>
      </c>
    </row>
    <row r="537" spans="1:10">
      <c r="A537" s="43">
        <v>43501</v>
      </c>
      <c r="B537">
        <v>2009</v>
      </c>
      <c r="C537">
        <v>1304</v>
      </c>
      <c r="D537">
        <v>536</v>
      </c>
      <c r="E537">
        <v>6700</v>
      </c>
      <c r="F537" t="s">
        <v>59</v>
      </c>
      <c r="G537">
        <v>7</v>
      </c>
      <c r="H537" t="s">
        <v>133</v>
      </c>
      <c r="I537">
        <v>10</v>
      </c>
      <c r="J537" s="54">
        <f t="shared" si="8"/>
        <v>7</v>
      </c>
    </row>
    <row r="538" spans="1:10">
      <c r="A538" s="43">
        <v>43395</v>
      </c>
      <c r="B538">
        <v>2010</v>
      </c>
      <c r="C538">
        <v>1304</v>
      </c>
      <c r="D538">
        <v>537</v>
      </c>
      <c r="E538">
        <v>6550</v>
      </c>
      <c r="F538" t="s">
        <v>59</v>
      </c>
      <c r="G538">
        <v>10</v>
      </c>
      <c r="H538" t="s">
        <v>133</v>
      </c>
      <c r="I538">
        <v>9</v>
      </c>
      <c r="J538" s="54">
        <f t="shared" si="8"/>
        <v>10</v>
      </c>
    </row>
    <row r="539" spans="1:10">
      <c r="A539" s="43">
        <v>43388</v>
      </c>
      <c r="B539">
        <v>2009</v>
      </c>
      <c r="C539">
        <v>1304</v>
      </c>
      <c r="D539">
        <v>538</v>
      </c>
      <c r="E539">
        <v>7300</v>
      </c>
      <c r="F539" t="s">
        <v>59</v>
      </c>
      <c r="G539">
        <v>10</v>
      </c>
      <c r="H539" t="s">
        <v>133</v>
      </c>
      <c r="I539">
        <v>10</v>
      </c>
      <c r="J539" s="54">
        <f t="shared" si="8"/>
        <v>10</v>
      </c>
    </row>
    <row r="540" spans="1:10">
      <c r="A540" s="43">
        <v>43378</v>
      </c>
      <c r="B540">
        <v>2007</v>
      </c>
      <c r="C540">
        <v>1304</v>
      </c>
      <c r="D540">
        <v>539</v>
      </c>
      <c r="E540">
        <v>7500</v>
      </c>
      <c r="F540" t="s">
        <v>59</v>
      </c>
      <c r="G540">
        <v>12</v>
      </c>
      <c r="H540" t="s">
        <v>133</v>
      </c>
      <c r="I540">
        <v>12</v>
      </c>
      <c r="J540" s="54">
        <f t="shared" si="8"/>
        <v>12</v>
      </c>
    </row>
    <row r="541" spans="1:10">
      <c r="A541" s="43">
        <v>43255</v>
      </c>
      <c r="B541">
        <v>2009</v>
      </c>
      <c r="C541">
        <v>1304</v>
      </c>
      <c r="D541">
        <v>540</v>
      </c>
      <c r="E541">
        <v>9250</v>
      </c>
      <c r="F541" t="s">
        <v>59</v>
      </c>
      <c r="G541">
        <v>4</v>
      </c>
      <c r="H541" t="s">
        <v>133</v>
      </c>
      <c r="I541">
        <v>10</v>
      </c>
      <c r="J541" s="54">
        <f t="shared" si="8"/>
        <v>4</v>
      </c>
    </row>
    <row r="542" spans="1:10">
      <c r="A542" s="43">
        <v>43083</v>
      </c>
      <c r="B542">
        <v>2010</v>
      </c>
      <c r="C542">
        <v>1304</v>
      </c>
      <c r="D542">
        <v>541</v>
      </c>
      <c r="E542">
        <v>7700</v>
      </c>
      <c r="F542" t="s">
        <v>59</v>
      </c>
      <c r="G542">
        <v>10</v>
      </c>
      <c r="H542" t="s">
        <v>133</v>
      </c>
      <c r="I542">
        <v>9</v>
      </c>
      <c r="J542" s="54">
        <f t="shared" si="8"/>
        <v>10</v>
      </c>
    </row>
    <row r="543" spans="1:10">
      <c r="A543" s="43">
        <v>42977</v>
      </c>
      <c r="B543">
        <v>2007</v>
      </c>
      <c r="C543">
        <v>1304</v>
      </c>
      <c r="D543">
        <v>542</v>
      </c>
      <c r="E543">
        <v>7900</v>
      </c>
      <c r="F543" t="s">
        <v>59</v>
      </c>
      <c r="G543">
        <v>12</v>
      </c>
      <c r="H543" t="s">
        <v>133</v>
      </c>
      <c r="I543">
        <v>12</v>
      </c>
      <c r="J543" s="54">
        <f t="shared" si="8"/>
        <v>12</v>
      </c>
    </row>
    <row r="544" spans="1:10">
      <c r="A544" s="43">
        <v>42948</v>
      </c>
      <c r="B544">
        <v>2009</v>
      </c>
      <c r="C544">
        <v>1304</v>
      </c>
      <c r="D544">
        <v>543</v>
      </c>
      <c r="E544">
        <v>6800</v>
      </c>
      <c r="F544" t="s">
        <v>59</v>
      </c>
      <c r="G544">
        <v>10</v>
      </c>
      <c r="H544" t="s">
        <v>133</v>
      </c>
      <c r="I544">
        <v>10</v>
      </c>
      <c r="J544" s="54">
        <f t="shared" si="8"/>
        <v>10</v>
      </c>
    </row>
    <row r="545" spans="1:10">
      <c r="A545" s="43">
        <v>42936</v>
      </c>
      <c r="B545">
        <v>2010</v>
      </c>
      <c r="C545">
        <v>1304</v>
      </c>
      <c r="D545">
        <v>544</v>
      </c>
      <c r="E545">
        <v>6600</v>
      </c>
      <c r="F545" t="s">
        <v>59</v>
      </c>
      <c r="G545">
        <v>5</v>
      </c>
      <c r="H545" t="s">
        <v>133</v>
      </c>
      <c r="I545">
        <v>9</v>
      </c>
      <c r="J545" s="54">
        <f t="shared" si="8"/>
        <v>5</v>
      </c>
    </row>
    <row r="546" spans="1:10">
      <c r="A546" s="43">
        <v>42781</v>
      </c>
      <c r="B546">
        <v>2010</v>
      </c>
      <c r="C546">
        <v>1304</v>
      </c>
      <c r="D546">
        <v>545</v>
      </c>
      <c r="E546">
        <v>6300</v>
      </c>
      <c r="F546" t="s">
        <v>59</v>
      </c>
      <c r="G546">
        <v>6</v>
      </c>
      <c r="H546" t="s">
        <v>133</v>
      </c>
      <c r="I546">
        <v>9</v>
      </c>
      <c r="J546" s="54">
        <f t="shared" si="8"/>
        <v>6</v>
      </c>
    </row>
    <row r="547" spans="1:10">
      <c r="A547" s="43">
        <v>42643</v>
      </c>
      <c r="B547">
        <v>2009</v>
      </c>
      <c r="C547">
        <v>1304</v>
      </c>
      <c r="D547">
        <v>546</v>
      </c>
      <c r="E547">
        <v>7600</v>
      </c>
      <c r="F547" t="s">
        <v>59</v>
      </c>
      <c r="G547">
        <v>6</v>
      </c>
      <c r="H547" t="s">
        <v>133</v>
      </c>
      <c r="I547">
        <v>10</v>
      </c>
      <c r="J547" s="54">
        <f t="shared" si="8"/>
        <v>6</v>
      </c>
    </row>
    <row r="548" spans="1:10">
      <c r="A548" s="43">
        <v>42590</v>
      </c>
      <c r="B548">
        <v>2010</v>
      </c>
      <c r="C548">
        <v>1304</v>
      </c>
      <c r="D548">
        <v>547</v>
      </c>
      <c r="E548">
        <v>6800</v>
      </c>
      <c r="F548" t="s">
        <v>59</v>
      </c>
      <c r="G548">
        <v>6</v>
      </c>
      <c r="H548" t="s">
        <v>133</v>
      </c>
      <c r="I548">
        <v>9</v>
      </c>
      <c r="J548" s="54">
        <f t="shared" si="8"/>
        <v>6</v>
      </c>
    </row>
    <row r="549" spans="1:10">
      <c r="A549" s="43">
        <v>42394</v>
      </c>
      <c r="B549">
        <v>2010</v>
      </c>
      <c r="C549">
        <v>1304</v>
      </c>
      <c r="D549">
        <v>548</v>
      </c>
      <c r="E549">
        <v>6500</v>
      </c>
      <c r="F549" t="s">
        <v>59</v>
      </c>
      <c r="G549">
        <v>7</v>
      </c>
      <c r="H549" t="s">
        <v>133</v>
      </c>
      <c r="I549">
        <v>9</v>
      </c>
      <c r="J549" s="54">
        <f t="shared" si="8"/>
        <v>7</v>
      </c>
    </row>
    <row r="550" spans="1:10">
      <c r="A550" s="43">
        <v>43623</v>
      </c>
      <c r="B550">
        <v>2010</v>
      </c>
      <c r="C550">
        <v>1338</v>
      </c>
      <c r="D550">
        <v>549</v>
      </c>
      <c r="E550">
        <v>8600</v>
      </c>
      <c r="F550" t="s">
        <v>59</v>
      </c>
      <c r="G550">
        <v>3</v>
      </c>
      <c r="H550" t="s">
        <v>133</v>
      </c>
      <c r="I550">
        <v>9</v>
      </c>
      <c r="J550" s="54">
        <f t="shared" si="8"/>
        <v>3</v>
      </c>
    </row>
    <row r="551" spans="1:10">
      <c r="A551" s="43">
        <v>43510</v>
      </c>
      <c r="B551">
        <v>2008</v>
      </c>
      <c r="C551">
        <v>1338</v>
      </c>
      <c r="D551">
        <v>550</v>
      </c>
      <c r="E551">
        <v>8500</v>
      </c>
      <c r="F551" t="s">
        <v>59</v>
      </c>
      <c r="G551">
        <v>10</v>
      </c>
      <c r="H551" t="s">
        <v>133</v>
      </c>
      <c r="I551">
        <v>11</v>
      </c>
      <c r="J551" s="54">
        <f t="shared" si="8"/>
        <v>10</v>
      </c>
    </row>
    <row r="552" spans="1:10">
      <c r="A552" s="43">
        <v>43417</v>
      </c>
      <c r="B552">
        <v>2007</v>
      </c>
      <c r="C552">
        <v>1338</v>
      </c>
      <c r="D552">
        <v>551</v>
      </c>
      <c r="E552">
        <v>7500</v>
      </c>
      <c r="F552" t="s">
        <v>59</v>
      </c>
      <c r="G552">
        <v>35</v>
      </c>
      <c r="H552" t="s">
        <v>60</v>
      </c>
      <c r="I552">
        <v>12</v>
      </c>
      <c r="J552" s="54">
        <f t="shared" si="8"/>
        <v>1</v>
      </c>
    </row>
    <row r="553" spans="1:10">
      <c r="A553" s="43">
        <v>43312</v>
      </c>
      <c r="B553">
        <v>2010</v>
      </c>
      <c r="C553">
        <v>1338</v>
      </c>
      <c r="D553">
        <v>552</v>
      </c>
      <c r="E553">
        <v>9700</v>
      </c>
      <c r="F553" t="s">
        <v>59</v>
      </c>
      <c r="G553">
        <v>13</v>
      </c>
      <c r="H553" t="s">
        <v>133</v>
      </c>
      <c r="I553">
        <v>9</v>
      </c>
      <c r="J553" s="54">
        <f t="shared" si="8"/>
        <v>13</v>
      </c>
    </row>
    <row r="554" spans="1:10">
      <c r="A554" s="43">
        <v>43311</v>
      </c>
      <c r="B554">
        <v>2007</v>
      </c>
      <c r="C554">
        <v>1338</v>
      </c>
      <c r="D554">
        <v>553</v>
      </c>
      <c r="E554">
        <v>9350</v>
      </c>
      <c r="F554" t="s">
        <v>59</v>
      </c>
      <c r="G554">
        <v>35</v>
      </c>
      <c r="H554" t="s">
        <v>60</v>
      </c>
      <c r="I554">
        <v>12</v>
      </c>
      <c r="J554" s="54">
        <f t="shared" si="8"/>
        <v>1</v>
      </c>
    </row>
    <row r="555" spans="1:10">
      <c r="A555" s="43">
        <v>43195</v>
      </c>
      <c r="B555">
        <v>2010</v>
      </c>
      <c r="C555">
        <v>1338</v>
      </c>
      <c r="D555">
        <v>554</v>
      </c>
      <c r="E555">
        <v>11000</v>
      </c>
      <c r="F555" t="s">
        <v>59</v>
      </c>
      <c r="G555">
        <v>12</v>
      </c>
      <c r="H555" t="s">
        <v>133</v>
      </c>
      <c r="I555">
        <v>9</v>
      </c>
      <c r="J555" s="54">
        <f t="shared" si="8"/>
        <v>12</v>
      </c>
    </row>
    <row r="556" spans="1:10">
      <c r="A556" s="43">
        <v>43185</v>
      </c>
      <c r="B556">
        <v>2008</v>
      </c>
      <c r="C556">
        <v>1338</v>
      </c>
      <c r="D556">
        <v>555</v>
      </c>
      <c r="E556">
        <v>10200</v>
      </c>
      <c r="F556" t="s">
        <v>59</v>
      </c>
      <c r="G556">
        <v>6</v>
      </c>
      <c r="H556" t="s">
        <v>133</v>
      </c>
      <c r="I556">
        <v>11</v>
      </c>
      <c r="J556" s="54">
        <f t="shared" si="8"/>
        <v>6</v>
      </c>
    </row>
    <row r="557" spans="1:10">
      <c r="A557" s="43">
        <v>43131</v>
      </c>
      <c r="B557">
        <v>2010</v>
      </c>
      <c r="C557">
        <v>1338</v>
      </c>
      <c r="D557">
        <v>556</v>
      </c>
      <c r="E557">
        <v>9425</v>
      </c>
      <c r="F557" t="s">
        <v>59</v>
      </c>
      <c r="G557">
        <v>4</v>
      </c>
      <c r="H557" t="s">
        <v>133</v>
      </c>
      <c r="I557">
        <v>9</v>
      </c>
      <c r="J557" s="54">
        <f t="shared" si="8"/>
        <v>4</v>
      </c>
    </row>
    <row r="558" spans="1:10">
      <c r="A558" s="43">
        <v>43103</v>
      </c>
      <c r="B558">
        <v>2007</v>
      </c>
      <c r="C558">
        <v>1338</v>
      </c>
      <c r="D558">
        <v>557</v>
      </c>
      <c r="E558">
        <v>7700</v>
      </c>
      <c r="F558" t="s">
        <v>59</v>
      </c>
      <c r="G558">
        <v>6</v>
      </c>
      <c r="H558" t="s">
        <v>133</v>
      </c>
      <c r="I558">
        <v>12</v>
      </c>
      <c r="J558" s="54">
        <f t="shared" si="8"/>
        <v>6</v>
      </c>
    </row>
    <row r="559" spans="1:10">
      <c r="A559" s="43">
        <v>43045</v>
      </c>
      <c r="B559">
        <v>2010</v>
      </c>
      <c r="C559">
        <v>1338</v>
      </c>
      <c r="D559">
        <v>558</v>
      </c>
      <c r="E559">
        <v>7300</v>
      </c>
      <c r="F559" t="s">
        <v>59</v>
      </c>
      <c r="G559">
        <v>6</v>
      </c>
      <c r="H559" t="s">
        <v>133</v>
      </c>
      <c r="I559">
        <v>9</v>
      </c>
      <c r="J559" s="54">
        <f t="shared" si="8"/>
        <v>6</v>
      </c>
    </row>
    <row r="560" spans="1:10">
      <c r="A560" s="43">
        <v>42954</v>
      </c>
      <c r="B560">
        <v>2007</v>
      </c>
      <c r="C560">
        <v>1338</v>
      </c>
      <c r="D560">
        <v>559</v>
      </c>
      <c r="E560">
        <v>6750</v>
      </c>
      <c r="F560" t="s">
        <v>59</v>
      </c>
      <c r="G560">
        <v>90</v>
      </c>
      <c r="H560" t="s">
        <v>60</v>
      </c>
      <c r="I560">
        <v>12</v>
      </c>
      <c r="J560" s="54">
        <f t="shared" si="8"/>
        <v>3</v>
      </c>
    </row>
    <row r="561" spans="1:10">
      <c r="A561" s="43">
        <v>42898</v>
      </c>
      <c r="B561">
        <v>2010</v>
      </c>
      <c r="C561">
        <v>1338</v>
      </c>
      <c r="D561">
        <v>560</v>
      </c>
      <c r="E561">
        <v>7000</v>
      </c>
      <c r="F561" t="s">
        <v>59</v>
      </c>
      <c r="G561">
        <v>6</v>
      </c>
      <c r="H561" t="s">
        <v>133</v>
      </c>
      <c r="I561">
        <v>9</v>
      </c>
      <c r="J561" s="54">
        <f t="shared" si="8"/>
        <v>6</v>
      </c>
    </row>
    <row r="562" spans="1:10">
      <c r="A562" s="43">
        <v>42852</v>
      </c>
      <c r="B562">
        <v>2010</v>
      </c>
      <c r="C562">
        <v>1338</v>
      </c>
      <c r="D562">
        <v>561</v>
      </c>
      <c r="E562">
        <v>8000</v>
      </c>
      <c r="F562" t="s">
        <v>59</v>
      </c>
      <c r="G562">
        <v>7</v>
      </c>
      <c r="H562" t="s">
        <v>133</v>
      </c>
      <c r="I562">
        <v>9</v>
      </c>
      <c r="J562" s="54">
        <f t="shared" si="8"/>
        <v>7</v>
      </c>
    </row>
    <row r="563" spans="1:10">
      <c r="A563" s="43">
        <v>42773</v>
      </c>
      <c r="B563">
        <v>2008</v>
      </c>
      <c r="C563">
        <v>1338</v>
      </c>
      <c r="D563">
        <v>562</v>
      </c>
      <c r="E563">
        <v>7250</v>
      </c>
      <c r="F563" t="s">
        <v>59</v>
      </c>
      <c r="G563">
        <v>6</v>
      </c>
      <c r="H563" t="s">
        <v>133</v>
      </c>
      <c r="I563">
        <v>11</v>
      </c>
      <c r="J563" s="54">
        <f t="shared" si="8"/>
        <v>6</v>
      </c>
    </row>
    <row r="564" spans="1:10">
      <c r="A564" s="43">
        <v>42739</v>
      </c>
      <c r="B564">
        <v>2010</v>
      </c>
      <c r="C564">
        <v>1338</v>
      </c>
      <c r="D564">
        <v>563</v>
      </c>
      <c r="E564">
        <v>7250</v>
      </c>
      <c r="F564" t="s">
        <v>59</v>
      </c>
      <c r="G564">
        <v>4</v>
      </c>
      <c r="H564" t="s">
        <v>133</v>
      </c>
      <c r="I564">
        <v>9</v>
      </c>
      <c r="J564" s="54">
        <f t="shared" si="8"/>
        <v>4</v>
      </c>
    </row>
    <row r="565" spans="1:10">
      <c r="A565" s="43">
        <v>42704</v>
      </c>
      <c r="B565">
        <v>2008</v>
      </c>
      <c r="C565">
        <v>1338</v>
      </c>
      <c r="D565">
        <v>564</v>
      </c>
      <c r="E565">
        <v>7500</v>
      </c>
      <c r="F565" t="s">
        <v>59</v>
      </c>
      <c r="G565">
        <v>7</v>
      </c>
      <c r="H565" t="s">
        <v>133</v>
      </c>
      <c r="I565">
        <v>11</v>
      </c>
      <c r="J565" s="54">
        <f t="shared" si="8"/>
        <v>7</v>
      </c>
    </row>
    <row r="566" spans="1:10">
      <c r="A566" s="43">
        <v>42664</v>
      </c>
      <c r="B566">
        <v>2007</v>
      </c>
      <c r="C566">
        <v>1338</v>
      </c>
      <c r="D566">
        <v>565</v>
      </c>
      <c r="E566">
        <v>6000</v>
      </c>
      <c r="F566" t="s">
        <v>59</v>
      </c>
      <c r="G566">
        <v>6</v>
      </c>
      <c r="H566" t="s">
        <v>133</v>
      </c>
      <c r="I566">
        <v>12</v>
      </c>
      <c r="J566" s="54">
        <f t="shared" si="8"/>
        <v>6</v>
      </c>
    </row>
    <row r="567" spans="1:10">
      <c r="A567" s="43">
        <v>42614</v>
      </c>
      <c r="B567">
        <v>2010</v>
      </c>
      <c r="C567">
        <v>1338</v>
      </c>
      <c r="D567">
        <v>566</v>
      </c>
      <c r="E567">
        <v>7200</v>
      </c>
      <c r="F567" t="s">
        <v>59</v>
      </c>
      <c r="G567">
        <v>90</v>
      </c>
      <c r="H567" t="s">
        <v>60</v>
      </c>
      <c r="I567">
        <v>9</v>
      </c>
      <c r="J567" s="54">
        <f t="shared" si="8"/>
        <v>3</v>
      </c>
    </row>
    <row r="568" spans="1:10">
      <c r="A568" s="43">
        <v>42587</v>
      </c>
      <c r="B568">
        <v>2008</v>
      </c>
      <c r="C568">
        <v>1338</v>
      </c>
      <c r="D568">
        <v>567</v>
      </c>
      <c r="E568">
        <v>7950</v>
      </c>
      <c r="F568" t="s">
        <v>59</v>
      </c>
      <c r="G568">
        <v>4</v>
      </c>
      <c r="H568" t="s">
        <v>133</v>
      </c>
      <c r="I568">
        <v>11</v>
      </c>
      <c r="J568" s="54">
        <f t="shared" si="8"/>
        <v>4</v>
      </c>
    </row>
    <row r="569" spans="1:10">
      <c r="A569" s="43">
        <v>42478</v>
      </c>
      <c r="B569">
        <v>2008</v>
      </c>
      <c r="C569">
        <v>1338</v>
      </c>
      <c r="D569">
        <v>568</v>
      </c>
      <c r="E569">
        <v>8500</v>
      </c>
      <c r="F569" t="s">
        <v>59</v>
      </c>
      <c r="G569">
        <v>6</v>
      </c>
      <c r="H569" t="s">
        <v>133</v>
      </c>
      <c r="I569">
        <v>11</v>
      </c>
      <c r="J569" s="54">
        <f t="shared" si="8"/>
        <v>6</v>
      </c>
    </row>
    <row r="570" spans="1:10">
      <c r="A570" s="43">
        <v>42468</v>
      </c>
      <c r="B570">
        <v>2010</v>
      </c>
      <c r="C570">
        <v>1338</v>
      </c>
      <c r="D570">
        <v>569</v>
      </c>
      <c r="E570">
        <v>7300</v>
      </c>
      <c r="F570" t="s">
        <v>59</v>
      </c>
      <c r="G570">
        <v>6</v>
      </c>
      <c r="H570" t="s">
        <v>133</v>
      </c>
      <c r="I570">
        <v>9</v>
      </c>
      <c r="J570" s="54">
        <f t="shared" si="8"/>
        <v>6</v>
      </c>
    </row>
    <row r="571" spans="1:10">
      <c r="A571" s="43">
        <v>42452</v>
      </c>
      <c r="B571">
        <v>2010</v>
      </c>
      <c r="C571">
        <v>1338</v>
      </c>
      <c r="D571">
        <v>570</v>
      </c>
      <c r="E571">
        <v>7200</v>
      </c>
      <c r="F571" t="s">
        <v>59</v>
      </c>
      <c r="G571">
        <v>4</v>
      </c>
      <c r="H571" t="s">
        <v>133</v>
      </c>
      <c r="I571">
        <v>9</v>
      </c>
      <c r="J571" s="54">
        <f t="shared" si="8"/>
        <v>4</v>
      </c>
    </row>
    <row r="572" spans="1:10">
      <c r="A572" s="43">
        <v>42429</v>
      </c>
      <c r="B572">
        <v>2007</v>
      </c>
      <c r="C572">
        <v>1338</v>
      </c>
      <c r="D572">
        <v>571</v>
      </c>
      <c r="E572">
        <v>6300</v>
      </c>
      <c r="F572" t="s">
        <v>59</v>
      </c>
      <c r="G572">
        <v>6</v>
      </c>
      <c r="H572" t="s">
        <v>133</v>
      </c>
      <c r="I572">
        <v>12</v>
      </c>
      <c r="J572" s="54">
        <f t="shared" si="8"/>
        <v>6</v>
      </c>
    </row>
    <row r="573" spans="1:10">
      <c r="A573" s="43">
        <v>43551</v>
      </c>
      <c r="B573">
        <v>2008</v>
      </c>
      <c r="C573">
        <v>1341</v>
      </c>
      <c r="D573">
        <v>572</v>
      </c>
      <c r="E573">
        <v>7750</v>
      </c>
      <c r="F573" t="s">
        <v>59</v>
      </c>
      <c r="G573">
        <v>11</v>
      </c>
      <c r="H573" t="s">
        <v>133</v>
      </c>
      <c r="I573">
        <v>11</v>
      </c>
      <c r="J573" s="54">
        <f t="shared" si="8"/>
        <v>11</v>
      </c>
    </row>
    <row r="574" spans="1:10">
      <c r="A574" s="43">
        <v>43497</v>
      </c>
      <c r="B574">
        <v>2008</v>
      </c>
      <c r="C574">
        <v>1341</v>
      </c>
      <c r="D574">
        <v>573</v>
      </c>
      <c r="E574">
        <v>8650</v>
      </c>
      <c r="F574" t="s">
        <v>59</v>
      </c>
      <c r="G574">
        <v>8</v>
      </c>
      <c r="H574" t="s">
        <v>133</v>
      </c>
      <c r="I574">
        <v>11</v>
      </c>
      <c r="J574" s="54">
        <f t="shared" si="8"/>
        <v>8</v>
      </c>
    </row>
    <row r="575" spans="1:10">
      <c r="A575" s="43">
        <v>43417</v>
      </c>
      <c r="B575">
        <v>2008</v>
      </c>
      <c r="C575">
        <v>1341</v>
      </c>
      <c r="D575">
        <v>574</v>
      </c>
      <c r="E575">
        <v>7500</v>
      </c>
      <c r="F575" t="s">
        <v>59</v>
      </c>
      <c r="G575">
        <v>10</v>
      </c>
      <c r="H575" t="s">
        <v>133</v>
      </c>
      <c r="I575">
        <v>11</v>
      </c>
      <c r="J575" s="54">
        <f t="shared" si="8"/>
        <v>10</v>
      </c>
    </row>
    <row r="576" spans="1:10">
      <c r="A576" s="43">
        <v>43283</v>
      </c>
      <c r="B576">
        <v>2006</v>
      </c>
      <c r="C576">
        <v>1341</v>
      </c>
      <c r="D576">
        <v>575</v>
      </c>
      <c r="E576">
        <v>9700</v>
      </c>
      <c r="F576" t="s">
        <v>59</v>
      </c>
      <c r="G576">
        <v>12</v>
      </c>
      <c r="H576" t="s">
        <v>133</v>
      </c>
      <c r="I576">
        <v>13</v>
      </c>
      <c r="J576" s="54">
        <f t="shared" si="8"/>
        <v>12</v>
      </c>
    </row>
    <row r="577" spans="1:10">
      <c r="A577" s="43">
        <v>43264</v>
      </c>
      <c r="B577">
        <v>2008</v>
      </c>
      <c r="C577">
        <v>1341</v>
      </c>
      <c r="D577">
        <v>576</v>
      </c>
      <c r="E577">
        <v>9950</v>
      </c>
      <c r="F577" t="s">
        <v>59</v>
      </c>
      <c r="G577">
        <v>10</v>
      </c>
      <c r="H577" t="s">
        <v>133</v>
      </c>
      <c r="I577">
        <v>11</v>
      </c>
      <c r="J577" s="54">
        <f t="shared" si="8"/>
        <v>10</v>
      </c>
    </row>
    <row r="578" spans="1:10">
      <c r="A578" s="43">
        <v>43257</v>
      </c>
      <c r="B578">
        <v>2006</v>
      </c>
      <c r="C578">
        <v>1341</v>
      </c>
      <c r="D578">
        <v>577</v>
      </c>
      <c r="E578">
        <v>10250</v>
      </c>
      <c r="F578" t="s">
        <v>59</v>
      </c>
      <c r="G578">
        <v>10</v>
      </c>
      <c r="H578" t="s">
        <v>133</v>
      </c>
      <c r="I578">
        <v>13</v>
      </c>
      <c r="J578" s="54">
        <f t="shared" ref="J578:J641" si="9">IF(H578="days",ROUND(G578/30,0),IF(H578="years",G578*12,G578))</f>
        <v>10</v>
      </c>
    </row>
    <row r="579" spans="1:10">
      <c r="A579" s="43">
        <v>43171</v>
      </c>
      <c r="B579">
        <v>2009</v>
      </c>
      <c r="C579">
        <v>1341</v>
      </c>
      <c r="D579">
        <v>578</v>
      </c>
      <c r="E579">
        <v>10500</v>
      </c>
      <c r="F579" t="s">
        <v>59</v>
      </c>
      <c r="G579">
        <v>6</v>
      </c>
      <c r="H579" t="s">
        <v>133</v>
      </c>
      <c r="I579">
        <v>10</v>
      </c>
      <c r="J579" s="54">
        <f t="shared" si="9"/>
        <v>6</v>
      </c>
    </row>
    <row r="580" spans="1:10">
      <c r="A580" s="43">
        <v>43160</v>
      </c>
      <c r="B580">
        <v>2009</v>
      </c>
      <c r="C580">
        <v>1341</v>
      </c>
      <c r="D580">
        <v>579</v>
      </c>
      <c r="E580">
        <v>10500</v>
      </c>
      <c r="F580" t="s">
        <v>59</v>
      </c>
      <c r="G580">
        <v>6</v>
      </c>
      <c r="H580" t="s">
        <v>133</v>
      </c>
      <c r="I580">
        <v>10</v>
      </c>
      <c r="J580" s="54">
        <f t="shared" si="9"/>
        <v>6</v>
      </c>
    </row>
    <row r="581" spans="1:10">
      <c r="A581" s="43">
        <v>43159</v>
      </c>
      <c r="B581">
        <v>2008</v>
      </c>
      <c r="C581">
        <v>1341</v>
      </c>
      <c r="D581">
        <v>580</v>
      </c>
      <c r="E581">
        <v>8250</v>
      </c>
      <c r="F581" t="s">
        <v>59</v>
      </c>
      <c r="G581">
        <v>2</v>
      </c>
      <c r="H581" t="s">
        <v>133</v>
      </c>
      <c r="I581">
        <v>11</v>
      </c>
      <c r="J581" s="54">
        <f t="shared" si="9"/>
        <v>2</v>
      </c>
    </row>
    <row r="582" spans="1:10">
      <c r="A582" s="43">
        <v>43136</v>
      </c>
      <c r="B582">
        <v>2008</v>
      </c>
      <c r="C582">
        <v>1341</v>
      </c>
      <c r="D582">
        <v>581</v>
      </c>
      <c r="E582">
        <v>8800</v>
      </c>
      <c r="F582" t="s">
        <v>59</v>
      </c>
      <c r="G582">
        <v>5</v>
      </c>
      <c r="H582" t="s">
        <v>133</v>
      </c>
      <c r="I582">
        <v>11</v>
      </c>
      <c r="J582" s="54">
        <f t="shared" si="9"/>
        <v>5</v>
      </c>
    </row>
    <row r="583" spans="1:10">
      <c r="A583" s="43">
        <v>43060</v>
      </c>
      <c r="B583">
        <v>2007</v>
      </c>
      <c r="C583">
        <v>1341</v>
      </c>
      <c r="D583">
        <v>582</v>
      </c>
      <c r="E583">
        <v>7400</v>
      </c>
      <c r="F583" t="s">
        <v>59</v>
      </c>
      <c r="G583">
        <v>4</v>
      </c>
      <c r="H583" t="s">
        <v>133</v>
      </c>
      <c r="I583">
        <v>12</v>
      </c>
      <c r="J583" s="54">
        <f t="shared" si="9"/>
        <v>4</v>
      </c>
    </row>
    <row r="584" spans="1:10">
      <c r="A584" s="43">
        <v>43054</v>
      </c>
      <c r="B584">
        <v>2006</v>
      </c>
      <c r="C584">
        <v>1341</v>
      </c>
      <c r="D584">
        <v>583</v>
      </c>
      <c r="E584">
        <v>8750</v>
      </c>
      <c r="F584" t="s">
        <v>59</v>
      </c>
      <c r="G584">
        <v>6</v>
      </c>
      <c r="H584" t="s">
        <v>133</v>
      </c>
      <c r="I584">
        <v>13</v>
      </c>
      <c r="J584" s="54">
        <f t="shared" si="9"/>
        <v>6</v>
      </c>
    </row>
    <row r="585" spans="1:10">
      <c r="A585" s="43">
        <v>42948</v>
      </c>
      <c r="B585">
        <v>2007</v>
      </c>
      <c r="C585">
        <v>1341</v>
      </c>
      <c r="D585">
        <v>584</v>
      </c>
      <c r="E585">
        <v>7000</v>
      </c>
      <c r="F585" t="s">
        <v>59</v>
      </c>
      <c r="G585">
        <v>35</v>
      </c>
      <c r="H585" t="s">
        <v>60</v>
      </c>
      <c r="I585">
        <v>12</v>
      </c>
      <c r="J585" s="54">
        <f t="shared" si="9"/>
        <v>1</v>
      </c>
    </row>
    <row r="586" spans="1:10">
      <c r="A586" s="43">
        <v>42940</v>
      </c>
      <c r="B586">
        <v>2008</v>
      </c>
      <c r="C586">
        <v>1341</v>
      </c>
      <c r="D586">
        <v>585</v>
      </c>
      <c r="E586">
        <v>7000</v>
      </c>
      <c r="F586" t="s">
        <v>59</v>
      </c>
      <c r="G586">
        <v>7</v>
      </c>
      <c r="H586" t="s">
        <v>133</v>
      </c>
      <c r="I586">
        <v>11</v>
      </c>
      <c r="J586" s="54">
        <f t="shared" si="9"/>
        <v>7</v>
      </c>
    </row>
    <row r="587" spans="1:10">
      <c r="A587" s="43">
        <v>42940</v>
      </c>
      <c r="B587">
        <v>2009</v>
      </c>
      <c r="C587">
        <v>1341</v>
      </c>
      <c r="D587">
        <v>586</v>
      </c>
      <c r="E587">
        <v>7250</v>
      </c>
      <c r="F587" t="s">
        <v>59</v>
      </c>
      <c r="G587">
        <v>7</v>
      </c>
      <c r="H587" t="s">
        <v>133</v>
      </c>
      <c r="I587">
        <v>10</v>
      </c>
      <c r="J587" s="54">
        <f t="shared" si="9"/>
        <v>7</v>
      </c>
    </row>
    <row r="588" spans="1:10">
      <c r="A588" s="43">
        <v>42885</v>
      </c>
      <c r="B588">
        <v>2006</v>
      </c>
      <c r="C588">
        <v>1341</v>
      </c>
      <c r="D588">
        <v>587</v>
      </c>
      <c r="E588">
        <v>7800</v>
      </c>
      <c r="F588" t="s">
        <v>59</v>
      </c>
      <c r="G588">
        <v>6</v>
      </c>
      <c r="H588" t="s">
        <v>133</v>
      </c>
      <c r="I588">
        <v>13</v>
      </c>
      <c r="J588" s="54">
        <f t="shared" si="9"/>
        <v>6</v>
      </c>
    </row>
    <row r="589" spans="1:10">
      <c r="A589" s="43">
        <v>42870</v>
      </c>
      <c r="B589">
        <v>2008</v>
      </c>
      <c r="C589">
        <v>1341</v>
      </c>
      <c r="D589">
        <v>588</v>
      </c>
      <c r="E589">
        <v>6450</v>
      </c>
      <c r="F589" t="s">
        <v>59</v>
      </c>
      <c r="G589">
        <v>7</v>
      </c>
      <c r="H589" t="s">
        <v>133</v>
      </c>
      <c r="I589">
        <v>11</v>
      </c>
      <c r="J589" s="54">
        <f t="shared" si="9"/>
        <v>7</v>
      </c>
    </row>
    <row r="590" spans="1:10">
      <c r="A590" s="43">
        <v>42760</v>
      </c>
      <c r="B590">
        <v>2007</v>
      </c>
      <c r="C590">
        <v>1341</v>
      </c>
      <c r="D590">
        <v>589</v>
      </c>
      <c r="E590">
        <v>6850</v>
      </c>
      <c r="F590" t="s">
        <v>59</v>
      </c>
      <c r="G590">
        <v>6</v>
      </c>
      <c r="H590" t="s">
        <v>133</v>
      </c>
      <c r="I590">
        <v>12</v>
      </c>
      <c r="J590" s="54">
        <f t="shared" si="9"/>
        <v>6</v>
      </c>
    </row>
    <row r="591" spans="1:10">
      <c r="A591" s="43">
        <v>42758</v>
      </c>
      <c r="B591">
        <v>2006</v>
      </c>
      <c r="C591">
        <v>1341</v>
      </c>
      <c r="D591">
        <v>590</v>
      </c>
      <c r="E591">
        <v>7800</v>
      </c>
      <c r="F591" t="s">
        <v>59</v>
      </c>
      <c r="G591">
        <v>5</v>
      </c>
      <c r="H591" t="s">
        <v>133</v>
      </c>
      <c r="I591">
        <v>13</v>
      </c>
      <c r="J591" s="54">
        <f t="shared" si="9"/>
        <v>5</v>
      </c>
    </row>
    <row r="592" spans="1:10">
      <c r="A592" s="43">
        <v>42723</v>
      </c>
      <c r="B592">
        <v>2008</v>
      </c>
      <c r="C592">
        <v>1341</v>
      </c>
      <c r="D592">
        <v>591</v>
      </c>
      <c r="E592">
        <v>7450</v>
      </c>
      <c r="F592" t="s">
        <v>59</v>
      </c>
      <c r="G592">
        <v>7</v>
      </c>
      <c r="H592" t="s">
        <v>133</v>
      </c>
      <c r="I592">
        <v>11</v>
      </c>
      <c r="J592" s="54">
        <f t="shared" si="9"/>
        <v>7</v>
      </c>
    </row>
    <row r="593" spans="1:10">
      <c r="A593" s="43">
        <v>42694</v>
      </c>
      <c r="B593">
        <v>2006</v>
      </c>
      <c r="C593">
        <v>1341</v>
      </c>
      <c r="D593">
        <v>592</v>
      </c>
      <c r="E593">
        <v>7500</v>
      </c>
      <c r="F593" t="s">
        <v>59</v>
      </c>
      <c r="G593">
        <v>6</v>
      </c>
      <c r="H593" t="s">
        <v>133</v>
      </c>
      <c r="I593">
        <v>13</v>
      </c>
      <c r="J593" s="54">
        <f t="shared" si="9"/>
        <v>6</v>
      </c>
    </row>
    <row r="594" spans="1:10">
      <c r="A594" s="43">
        <v>42663</v>
      </c>
      <c r="B594">
        <v>2007</v>
      </c>
      <c r="C594">
        <v>1341</v>
      </c>
      <c r="D594">
        <v>593</v>
      </c>
      <c r="E594">
        <v>8100</v>
      </c>
      <c r="F594" t="s">
        <v>59</v>
      </c>
      <c r="G594">
        <v>6</v>
      </c>
      <c r="H594" t="s">
        <v>133</v>
      </c>
      <c r="I594">
        <v>12</v>
      </c>
      <c r="J594" s="54">
        <f t="shared" si="9"/>
        <v>6</v>
      </c>
    </row>
    <row r="595" spans="1:10">
      <c r="A595" s="43">
        <v>42626</v>
      </c>
      <c r="B595">
        <v>2006</v>
      </c>
      <c r="C595">
        <v>1341</v>
      </c>
      <c r="D595">
        <v>594</v>
      </c>
      <c r="E595">
        <v>7850</v>
      </c>
      <c r="F595" t="s">
        <v>59</v>
      </c>
      <c r="G595">
        <v>7</v>
      </c>
      <c r="H595" t="s">
        <v>133</v>
      </c>
      <c r="I595">
        <v>13</v>
      </c>
      <c r="J595" s="54">
        <f t="shared" si="9"/>
        <v>7</v>
      </c>
    </row>
    <row r="596" spans="1:10">
      <c r="A596" s="43">
        <v>42607</v>
      </c>
      <c r="B596">
        <v>2006</v>
      </c>
      <c r="C596">
        <v>1341</v>
      </c>
      <c r="D596">
        <v>595</v>
      </c>
      <c r="E596">
        <v>8100</v>
      </c>
      <c r="F596" t="s">
        <v>59</v>
      </c>
      <c r="G596">
        <v>7</v>
      </c>
      <c r="H596" t="s">
        <v>133</v>
      </c>
      <c r="I596">
        <v>13</v>
      </c>
      <c r="J596" s="54">
        <f t="shared" si="9"/>
        <v>7</v>
      </c>
    </row>
    <row r="597" spans="1:10">
      <c r="A597" s="43">
        <v>42592</v>
      </c>
      <c r="B597">
        <v>2008</v>
      </c>
      <c r="C597">
        <v>1341</v>
      </c>
      <c r="D597">
        <v>596</v>
      </c>
      <c r="E597">
        <v>7950</v>
      </c>
      <c r="F597" t="s">
        <v>59</v>
      </c>
      <c r="G597">
        <v>6</v>
      </c>
      <c r="H597" t="s">
        <v>133</v>
      </c>
      <c r="I597">
        <v>11</v>
      </c>
      <c r="J597" s="54">
        <f t="shared" si="9"/>
        <v>6</v>
      </c>
    </row>
    <row r="598" spans="1:10">
      <c r="A598" s="43">
        <v>42570</v>
      </c>
      <c r="B598">
        <v>2007</v>
      </c>
      <c r="C598">
        <v>1341</v>
      </c>
      <c r="D598">
        <v>597</v>
      </c>
      <c r="E598">
        <v>8250</v>
      </c>
      <c r="F598" t="s">
        <v>59</v>
      </c>
      <c r="G598">
        <v>7</v>
      </c>
      <c r="H598" t="s">
        <v>133</v>
      </c>
      <c r="I598">
        <v>12</v>
      </c>
      <c r="J598" s="54">
        <f t="shared" si="9"/>
        <v>7</v>
      </c>
    </row>
    <row r="599" spans="1:10">
      <c r="A599" s="43">
        <v>42502</v>
      </c>
      <c r="B599">
        <v>2006</v>
      </c>
      <c r="C599">
        <v>1341</v>
      </c>
      <c r="D599">
        <v>598</v>
      </c>
      <c r="E599">
        <v>8500</v>
      </c>
      <c r="F599" t="s">
        <v>59</v>
      </c>
      <c r="G599">
        <v>5</v>
      </c>
      <c r="H599" t="s">
        <v>133</v>
      </c>
      <c r="I599">
        <v>13</v>
      </c>
      <c r="J599" s="54">
        <f t="shared" si="9"/>
        <v>5</v>
      </c>
    </row>
    <row r="600" spans="1:10">
      <c r="A600" s="43">
        <v>42461</v>
      </c>
      <c r="B600">
        <v>2006</v>
      </c>
      <c r="C600">
        <v>1341</v>
      </c>
      <c r="D600">
        <v>599</v>
      </c>
      <c r="E600">
        <v>9100</v>
      </c>
      <c r="F600" t="s">
        <v>59</v>
      </c>
      <c r="G600">
        <v>7</v>
      </c>
      <c r="H600" t="s">
        <v>133</v>
      </c>
      <c r="I600">
        <v>13</v>
      </c>
      <c r="J600" s="54">
        <f t="shared" si="9"/>
        <v>7</v>
      </c>
    </row>
    <row r="601" spans="1:10">
      <c r="A601" s="43">
        <v>42452</v>
      </c>
      <c r="B601">
        <v>2008</v>
      </c>
      <c r="C601">
        <v>1341</v>
      </c>
      <c r="D601">
        <v>600</v>
      </c>
      <c r="E601">
        <v>7500</v>
      </c>
      <c r="F601" t="s">
        <v>59</v>
      </c>
      <c r="G601">
        <v>12</v>
      </c>
      <c r="H601" t="s">
        <v>133</v>
      </c>
      <c r="I601">
        <v>11</v>
      </c>
      <c r="J601" s="54">
        <f t="shared" si="9"/>
        <v>12</v>
      </c>
    </row>
    <row r="602" spans="1:10">
      <c r="A602" s="43">
        <v>42375</v>
      </c>
      <c r="B602">
        <v>2008</v>
      </c>
      <c r="C602">
        <v>1341</v>
      </c>
      <c r="D602">
        <v>601</v>
      </c>
      <c r="E602">
        <v>7900</v>
      </c>
      <c r="F602" t="s">
        <v>59</v>
      </c>
      <c r="G602">
        <v>6</v>
      </c>
      <c r="H602" t="s">
        <v>133</v>
      </c>
      <c r="I602">
        <v>11</v>
      </c>
      <c r="J602" s="54">
        <f t="shared" si="9"/>
        <v>6</v>
      </c>
    </row>
    <row r="603" spans="1:10">
      <c r="A603" s="43">
        <v>43635</v>
      </c>
      <c r="B603">
        <v>2009</v>
      </c>
      <c r="C603">
        <v>1347</v>
      </c>
      <c r="D603">
        <v>602</v>
      </c>
      <c r="E603">
        <v>7500</v>
      </c>
      <c r="F603" t="s">
        <v>59</v>
      </c>
      <c r="G603">
        <v>7</v>
      </c>
      <c r="H603" t="s">
        <v>133</v>
      </c>
      <c r="I603">
        <v>10</v>
      </c>
      <c r="J603" s="54">
        <f t="shared" si="9"/>
        <v>7</v>
      </c>
    </row>
    <row r="604" spans="1:10">
      <c r="A604" s="43">
        <v>43511</v>
      </c>
      <c r="B604">
        <v>2009</v>
      </c>
      <c r="C604">
        <v>1347</v>
      </c>
      <c r="D604">
        <v>603</v>
      </c>
      <c r="E604">
        <v>8500</v>
      </c>
      <c r="F604" t="s">
        <v>59</v>
      </c>
      <c r="G604">
        <v>12</v>
      </c>
      <c r="H604" t="s">
        <v>133</v>
      </c>
      <c r="I604">
        <v>10</v>
      </c>
      <c r="J604" s="54">
        <f t="shared" si="9"/>
        <v>12</v>
      </c>
    </row>
    <row r="605" spans="1:10">
      <c r="A605" s="43">
        <v>43439</v>
      </c>
      <c r="B605">
        <v>2010</v>
      </c>
      <c r="C605">
        <v>1347</v>
      </c>
      <c r="D605">
        <v>604</v>
      </c>
      <c r="E605">
        <v>8800</v>
      </c>
      <c r="F605" t="s">
        <v>59</v>
      </c>
      <c r="G605">
        <v>5</v>
      </c>
      <c r="H605" t="s">
        <v>133</v>
      </c>
      <c r="I605">
        <v>9</v>
      </c>
      <c r="J605" s="54">
        <f t="shared" si="9"/>
        <v>5</v>
      </c>
    </row>
    <row r="606" spans="1:10">
      <c r="A606" s="43">
        <v>43417</v>
      </c>
      <c r="B606">
        <v>2009</v>
      </c>
      <c r="C606">
        <v>1347</v>
      </c>
      <c r="D606">
        <v>605</v>
      </c>
      <c r="E606">
        <v>7500</v>
      </c>
      <c r="F606" t="s">
        <v>59</v>
      </c>
      <c r="G606">
        <v>7</v>
      </c>
      <c r="H606" t="s">
        <v>133</v>
      </c>
      <c r="I606">
        <v>10</v>
      </c>
      <c r="J606" s="54">
        <f t="shared" si="9"/>
        <v>7</v>
      </c>
    </row>
    <row r="607" spans="1:10">
      <c r="A607" s="43">
        <v>43397</v>
      </c>
      <c r="B607">
        <v>2009</v>
      </c>
      <c r="C607">
        <v>1347</v>
      </c>
      <c r="D607">
        <v>606</v>
      </c>
      <c r="E607">
        <v>9400</v>
      </c>
      <c r="F607" t="s">
        <v>59</v>
      </c>
      <c r="G607">
        <v>6</v>
      </c>
      <c r="H607" t="s">
        <v>133</v>
      </c>
      <c r="I607">
        <v>10</v>
      </c>
      <c r="J607" s="54">
        <f t="shared" si="9"/>
        <v>6</v>
      </c>
    </row>
    <row r="608" spans="1:10">
      <c r="A608" s="43">
        <v>43374</v>
      </c>
      <c r="B608">
        <v>2010</v>
      </c>
      <c r="C608">
        <v>1347</v>
      </c>
      <c r="D608">
        <v>607</v>
      </c>
      <c r="E608">
        <v>9600</v>
      </c>
      <c r="F608" t="s">
        <v>59</v>
      </c>
      <c r="G608">
        <v>6</v>
      </c>
      <c r="H608" t="s">
        <v>133</v>
      </c>
      <c r="I608">
        <v>9</v>
      </c>
      <c r="J608" s="54">
        <f t="shared" si="9"/>
        <v>6</v>
      </c>
    </row>
    <row r="609" spans="1:10">
      <c r="A609" s="43">
        <v>43367</v>
      </c>
      <c r="B609">
        <v>2010</v>
      </c>
      <c r="C609">
        <v>1347</v>
      </c>
      <c r="D609">
        <v>608</v>
      </c>
      <c r="E609">
        <v>10500</v>
      </c>
      <c r="F609" t="s">
        <v>59</v>
      </c>
      <c r="G609">
        <v>60</v>
      </c>
      <c r="H609" t="s">
        <v>60</v>
      </c>
      <c r="I609">
        <v>9</v>
      </c>
      <c r="J609" s="54">
        <f t="shared" si="9"/>
        <v>2</v>
      </c>
    </row>
    <row r="610" spans="1:10">
      <c r="A610" s="43">
        <v>43206</v>
      </c>
      <c r="B610">
        <v>2010</v>
      </c>
      <c r="C610">
        <v>1347</v>
      </c>
      <c r="D610">
        <v>609</v>
      </c>
      <c r="E610">
        <v>9950</v>
      </c>
      <c r="F610" t="s">
        <v>59</v>
      </c>
      <c r="G610">
        <v>5</v>
      </c>
      <c r="H610" t="s">
        <v>133</v>
      </c>
      <c r="I610">
        <v>9</v>
      </c>
      <c r="J610" s="54">
        <f t="shared" si="9"/>
        <v>5</v>
      </c>
    </row>
    <row r="611" spans="1:10">
      <c r="A611" s="43">
        <v>43054</v>
      </c>
      <c r="B611">
        <v>2010</v>
      </c>
      <c r="C611">
        <v>1347</v>
      </c>
      <c r="D611">
        <v>610</v>
      </c>
      <c r="E611">
        <v>8500</v>
      </c>
      <c r="F611" t="s">
        <v>59</v>
      </c>
      <c r="G611">
        <v>6</v>
      </c>
      <c r="H611" t="s">
        <v>133</v>
      </c>
      <c r="I611">
        <v>9</v>
      </c>
      <c r="J611" s="54">
        <f t="shared" si="9"/>
        <v>6</v>
      </c>
    </row>
    <row r="612" spans="1:10">
      <c r="A612" s="43">
        <v>43028</v>
      </c>
      <c r="B612">
        <v>2009</v>
      </c>
      <c r="C612">
        <v>1347</v>
      </c>
      <c r="D612">
        <v>611</v>
      </c>
      <c r="E612">
        <v>8500</v>
      </c>
      <c r="F612" t="s">
        <v>59</v>
      </c>
      <c r="G612">
        <v>6</v>
      </c>
      <c r="H612" t="s">
        <v>133</v>
      </c>
      <c r="I612">
        <v>10</v>
      </c>
      <c r="J612" s="54">
        <f t="shared" si="9"/>
        <v>6</v>
      </c>
    </row>
    <row r="613" spans="1:10">
      <c r="A613" s="43">
        <v>43017</v>
      </c>
      <c r="B613">
        <v>2010</v>
      </c>
      <c r="C613">
        <v>1347</v>
      </c>
      <c r="D613">
        <v>612</v>
      </c>
      <c r="E613">
        <v>8500</v>
      </c>
      <c r="F613" t="s">
        <v>59</v>
      </c>
      <c r="G613">
        <v>5</v>
      </c>
      <c r="H613" t="s">
        <v>133</v>
      </c>
      <c r="I613">
        <v>9</v>
      </c>
      <c r="J613" s="54">
        <f t="shared" si="9"/>
        <v>5</v>
      </c>
    </row>
    <row r="614" spans="1:10">
      <c r="A614" s="43">
        <v>42942</v>
      </c>
      <c r="B614">
        <v>2009</v>
      </c>
      <c r="C614">
        <v>1347</v>
      </c>
      <c r="D614">
        <v>613</v>
      </c>
      <c r="E614">
        <v>7850</v>
      </c>
      <c r="F614" t="s">
        <v>59</v>
      </c>
      <c r="G614">
        <v>1</v>
      </c>
      <c r="H614" t="s">
        <v>133</v>
      </c>
      <c r="I614">
        <v>10</v>
      </c>
      <c r="J614" s="54">
        <f t="shared" si="9"/>
        <v>1</v>
      </c>
    </row>
    <row r="615" spans="1:10">
      <c r="A615" s="43">
        <v>42795</v>
      </c>
      <c r="B615">
        <v>2009</v>
      </c>
      <c r="C615">
        <v>1347</v>
      </c>
      <c r="D615">
        <v>614</v>
      </c>
      <c r="E615">
        <v>7850</v>
      </c>
      <c r="F615" t="s">
        <v>59</v>
      </c>
      <c r="G615">
        <v>5</v>
      </c>
      <c r="H615" t="s">
        <v>133</v>
      </c>
      <c r="I615">
        <v>10</v>
      </c>
      <c r="J615" s="54">
        <f t="shared" si="9"/>
        <v>5</v>
      </c>
    </row>
    <row r="616" spans="1:10">
      <c r="A616" s="43">
        <v>42643</v>
      </c>
      <c r="B616">
        <v>2010</v>
      </c>
      <c r="C616">
        <v>1347</v>
      </c>
      <c r="D616">
        <v>615</v>
      </c>
      <c r="E616">
        <v>8000</v>
      </c>
      <c r="F616" t="s">
        <v>59</v>
      </c>
      <c r="G616">
        <v>12</v>
      </c>
      <c r="H616" t="s">
        <v>133</v>
      </c>
      <c r="I616">
        <v>9</v>
      </c>
      <c r="J616" s="54">
        <f t="shared" si="9"/>
        <v>12</v>
      </c>
    </row>
    <row r="617" spans="1:10">
      <c r="A617" s="43">
        <v>42506</v>
      </c>
      <c r="B617">
        <v>2010</v>
      </c>
      <c r="C617">
        <v>1347</v>
      </c>
      <c r="D617">
        <v>616</v>
      </c>
      <c r="E617">
        <v>8850</v>
      </c>
      <c r="F617" t="s">
        <v>59</v>
      </c>
      <c r="G617">
        <v>11</v>
      </c>
      <c r="H617" t="s">
        <v>133</v>
      </c>
      <c r="I617">
        <v>9</v>
      </c>
      <c r="J617" s="54">
        <f t="shared" si="9"/>
        <v>11</v>
      </c>
    </row>
    <row r="618" spans="1:10">
      <c r="A618" s="43">
        <v>42478</v>
      </c>
      <c r="B618">
        <v>2009</v>
      </c>
      <c r="C618">
        <v>1347</v>
      </c>
      <c r="D618">
        <v>617</v>
      </c>
      <c r="E618">
        <v>8800</v>
      </c>
      <c r="F618" t="s">
        <v>59</v>
      </c>
      <c r="G618">
        <v>12</v>
      </c>
      <c r="H618" t="s">
        <v>133</v>
      </c>
      <c r="I618">
        <v>10</v>
      </c>
      <c r="J618" s="54">
        <f t="shared" si="9"/>
        <v>12</v>
      </c>
    </row>
    <row r="619" spans="1:10">
      <c r="A619" s="43">
        <v>42452</v>
      </c>
      <c r="B619">
        <v>2010</v>
      </c>
      <c r="C619">
        <v>1347</v>
      </c>
      <c r="D619">
        <v>618</v>
      </c>
      <c r="E619">
        <v>7200</v>
      </c>
      <c r="F619" t="s">
        <v>59</v>
      </c>
      <c r="G619">
        <v>4</v>
      </c>
      <c r="H619" t="s">
        <v>133</v>
      </c>
      <c r="I619">
        <v>9</v>
      </c>
      <c r="J619" s="54">
        <f t="shared" si="9"/>
        <v>4</v>
      </c>
    </row>
    <row r="620" spans="1:10">
      <c r="A620" s="43">
        <v>43579</v>
      </c>
      <c r="B620">
        <v>2007</v>
      </c>
      <c r="C620">
        <v>1350</v>
      </c>
      <c r="D620">
        <v>619</v>
      </c>
      <c r="E620">
        <v>7700</v>
      </c>
      <c r="F620" t="s">
        <v>59</v>
      </c>
      <c r="G620">
        <v>7</v>
      </c>
      <c r="H620" t="s">
        <v>133</v>
      </c>
      <c r="I620">
        <v>12</v>
      </c>
      <c r="J620" s="54">
        <f t="shared" si="9"/>
        <v>7</v>
      </c>
    </row>
    <row r="621" spans="1:10">
      <c r="A621" s="43">
        <v>43298</v>
      </c>
      <c r="B621">
        <v>2007</v>
      </c>
      <c r="C621">
        <v>1350</v>
      </c>
      <c r="D621">
        <v>620</v>
      </c>
      <c r="E621">
        <v>9950</v>
      </c>
      <c r="F621" t="s">
        <v>59</v>
      </c>
      <c r="G621">
        <v>12</v>
      </c>
      <c r="H621" t="s">
        <v>133</v>
      </c>
      <c r="I621">
        <v>12</v>
      </c>
      <c r="J621" s="54">
        <f t="shared" si="9"/>
        <v>12</v>
      </c>
    </row>
    <row r="622" spans="1:10">
      <c r="A622" s="43">
        <v>43144</v>
      </c>
      <c r="B622">
        <v>2007</v>
      </c>
      <c r="C622">
        <v>1350</v>
      </c>
      <c r="D622">
        <v>621</v>
      </c>
      <c r="E622">
        <v>9100</v>
      </c>
      <c r="F622" t="s">
        <v>59</v>
      </c>
      <c r="G622">
        <v>5</v>
      </c>
      <c r="H622" t="s">
        <v>133</v>
      </c>
      <c r="I622">
        <v>12</v>
      </c>
      <c r="J622" s="54">
        <f t="shared" si="9"/>
        <v>5</v>
      </c>
    </row>
    <row r="623" spans="1:10">
      <c r="A623" s="43">
        <v>43077</v>
      </c>
      <c r="B623">
        <v>2007</v>
      </c>
      <c r="C623">
        <v>1350</v>
      </c>
      <c r="D623">
        <v>622</v>
      </c>
      <c r="E623">
        <v>8850</v>
      </c>
      <c r="F623" t="s">
        <v>59</v>
      </c>
      <c r="G623">
        <v>8</v>
      </c>
      <c r="H623" t="s">
        <v>133</v>
      </c>
      <c r="I623">
        <v>12</v>
      </c>
      <c r="J623" s="54">
        <f t="shared" si="9"/>
        <v>8</v>
      </c>
    </row>
    <row r="624" spans="1:10">
      <c r="A624" s="43">
        <v>42951</v>
      </c>
      <c r="B624">
        <v>2007</v>
      </c>
      <c r="C624">
        <v>1350</v>
      </c>
      <c r="D624">
        <v>623</v>
      </c>
      <c r="E624">
        <v>7400</v>
      </c>
      <c r="F624" t="s">
        <v>59</v>
      </c>
      <c r="G624">
        <v>4</v>
      </c>
      <c r="H624" t="s">
        <v>133</v>
      </c>
      <c r="I624">
        <v>12</v>
      </c>
      <c r="J624" s="54">
        <f t="shared" si="9"/>
        <v>4</v>
      </c>
    </row>
    <row r="625" spans="1:10">
      <c r="A625" s="43">
        <v>42649</v>
      </c>
      <c r="B625">
        <v>2007</v>
      </c>
      <c r="C625">
        <v>1350</v>
      </c>
      <c r="D625">
        <v>624</v>
      </c>
      <c r="E625">
        <v>8000</v>
      </c>
      <c r="F625" t="s">
        <v>59</v>
      </c>
      <c r="G625">
        <v>8</v>
      </c>
      <c r="H625" t="s">
        <v>133</v>
      </c>
      <c r="I625">
        <v>12</v>
      </c>
      <c r="J625" s="54">
        <f t="shared" si="9"/>
        <v>8</v>
      </c>
    </row>
    <row r="626" spans="1:10">
      <c r="A626" s="43">
        <v>42569</v>
      </c>
      <c r="B626">
        <v>2007</v>
      </c>
      <c r="C626">
        <v>1350</v>
      </c>
      <c r="D626">
        <v>625</v>
      </c>
      <c r="E626">
        <v>8000</v>
      </c>
      <c r="F626" t="s">
        <v>59</v>
      </c>
      <c r="G626">
        <v>4</v>
      </c>
      <c r="H626" t="s">
        <v>133</v>
      </c>
      <c r="I626">
        <v>12</v>
      </c>
      <c r="J626" s="54">
        <f t="shared" si="9"/>
        <v>4</v>
      </c>
    </row>
    <row r="627" spans="1:10">
      <c r="A627" s="43">
        <v>43469</v>
      </c>
      <c r="B627">
        <v>2006</v>
      </c>
      <c r="C627">
        <v>1368</v>
      </c>
      <c r="D627">
        <v>626</v>
      </c>
      <c r="E627">
        <v>6700</v>
      </c>
      <c r="F627" t="s">
        <v>59</v>
      </c>
      <c r="G627">
        <v>6</v>
      </c>
      <c r="H627" t="s">
        <v>133</v>
      </c>
      <c r="I627">
        <v>13</v>
      </c>
      <c r="J627" s="54">
        <f t="shared" si="9"/>
        <v>6</v>
      </c>
    </row>
    <row r="628" spans="1:10">
      <c r="A628" s="43">
        <v>43358</v>
      </c>
      <c r="B628">
        <v>2006</v>
      </c>
      <c r="C628">
        <v>1368</v>
      </c>
      <c r="D628">
        <v>627</v>
      </c>
      <c r="E628">
        <v>7800</v>
      </c>
      <c r="F628" t="s">
        <v>59</v>
      </c>
      <c r="G628">
        <v>5</v>
      </c>
      <c r="H628" t="s">
        <v>133</v>
      </c>
      <c r="I628">
        <v>13</v>
      </c>
      <c r="J628" s="54">
        <f t="shared" si="9"/>
        <v>5</v>
      </c>
    </row>
    <row r="629" spans="1:10">
      <c r="A629" s="43">
        <v>43185</v>
      </c>
      <c r="B629">
        <v>2006</v>
      </c>
      <c r="C629">
        <v>1368</v>
      </c>
      <c r="D629">
        <v>628</v>
      </c>
      <c r="E629">
        <v>10500</v>
      </c>
      <c r="F629" t="s">
        <v>59</v>
      </c>
      <c r="G629">
        <v>3</v>
      </c>
      <c r="H629" t="s">
        <v>133</v>
      </c>
      <c r="I629">
        <v>13</v>
      </c>
      <c r="J629" s="54">
        <f t="shared" si="9"/>
        <v>3</v>
      </c>
    </row>
    <row r="630" spans="1:10">
      <c r="A630" s="43">
        <v>43137</v>
      </c>
      <c r="B630">
        <v>2006</v>
      </c>
      <c r="C630">
        <v>1368</v>
      </c>
      <c r="D630">
        <v>629</v>
      </c>
      <c r="E630">
        <v>9500</v>
      </c>
      <c r="F630" t="s">
        <v>59</v>
      </c>
      <c r="G630">
        <v>45</v>
      </c>
      <c r="H630" t="s">
        <v>60</v>
      </c>
      <c r="I630">
        <v>13</v>
      </c>
      <c r="J630" s="54">
        <f t="shared" si="9"/>
        <v>2</v>
      </c>
    </row>
    <row r="631" spans="1:10">
      <c r="A631" s="43">
        <v>42948</v>
      </c>
      <c r="B631">
        <v>2006</v>
      </c>
      <c r="C631">
        <v>1368</v>
      </c>
      <c r="D631">
        <v>630</v>
      </c>
      <c r="E631">
        <v>7600</v>
      </c>
      <c r="F631" t="s">
        <v>59</v>
      </c>
      <c r="G631">
        <v>6</v>
      </c>
      <c r="H631" t="s">
        <v>133</v>
      </c>
      <c r="I631">
        <v>13</v>
      </c>
      <c r="J631" s="54">
        <f t="shared" si="9"/>
        <v>6</v>
      </c>
    </row>
    <row r="632" spans="1:10">
      <c r="A632" s="43">
        <v>42522</v>
      </c>
      <c r="B632">
        <v>2006</v>
      </c>
      <c r="C632">
        <v>1368</v>
      </c>
      <c r="D632">
        <v>631</v>
      </c>
      <c r="E632">
        <v>9150</v>
      </c>
      <c r="F632" t="s">
        <v>59</v>
      </c>
      <c r="G632">
        <v>12</v>
      </c>
      <c r="H632" t="s">
        <v>133</v>
      </c>
      <c r="I632">
        <v>13</v>
      </c>
      <c r="J632" s="54">
        <f t="shared" si="9"/>
        <v>12</v>
      </c>
    </row>
    <row r="633" spans="1:10">
      <c r="A633" s="43">
        <v>43523</v>
      </c>
      <c r="B633">
        <v>2007</v>
      </c>
      <c r="C633">
        <v>1402</v>
      </c>
      <c r="D633">
        <v>632</v>
      </c>
      <c r="E633">
        <v>7300</v>
      </c>
      <c r="F633" t="s">
        <v>59</v>
      </c>
      <c r="G633">
        <v>12</v>
      </c>
      <c r="H633" t="s">
        <v>133</v>
      </c>
      <c r="I633">
        <v>12</v>
      </c>
      <c r="J633" s="54">
        <f t="shared" si="9"/>
        <v>12</v>
      </c>
    </row>
    <row r="634" spans="1:10">
      <c r="A634" s="43">
        <v>43388</v>
      </c>
      <c r="B634">
        <v>2006</v>
      </c>
      <c r="C634">
        <v>1402</v>
      </c>
      <c r="D634">
        <v>633</v>
      </c>
      <c r="E634">
        <v>7500</v>
      </c>
      <c r="F634" t="s">
        <v>59</v>
      </c>
      <c r="G634">
        <v>40</v>
      </c>
      <c r="H634" t="s">
        <v>60</v>
      </c>
      <c r="I634">
        <v>13</v>
      </c>
      <c r="J634" s="54">
        <f t="shared" si="9"/>
        <v>1</v>
      </c>
    </row>
    <row r="635" spans="1:10">
      <c r="A635" s="43">
        <v>43358</v>
      </c>
      <c r="B635">
        <v>2008</v>
      </c>
      <c r="C635">
        <v>1402</v>
      </c>
      <c r="D635">
        <v>634</v>
      </c>
      <c r="E635">
        <v>7800</v>
      </c>
      <c r="F635" t="s">
        <v>59</v>
      </c>
      <c r="G635">
        <v>5</v>
      </c>
      <c r="H635" t="s">
        <v>133</v>
      </c>
      <c r="I635">
        <v>11</v>
      </c>
      <c r="J635" s="54">
        <f t="shared" si="9"/>
        <v>5</v>
      </c>
    </row>
    <row r="636" spans="1:10">
      <c r="A636" s="43">
        <v>43358</v>
      </c>
      <c r="B636">
        <v>2008</v>
      </c>
      <c r="C636">
        <v>1402</v>
      </c>
      <c r="D636">
        <v>635</v>
      </c>
      <c r="E636">
        <v>8100</v>
      </c>
      <c r="F636" t="s">
        <v>59</v>
      </c>
      <c r="G636">
        <v>5</v>
      </c>
      <c r="H636" t="s">
        <v>133</v>
      </c>
      <c r="I636">
        <v>11</v>
      </c>
      <c r="J636" s="54">
        <f t="shared" si="9"/>
        <v>5</v>
      </c>
    </row>
    <row r="637" spans="1:10">
      <c r="A637" s="43">
        <v>43313</v>
      </c>
      <c r="B637">
        <v>2006</v>
      </c>
      <c r="C637">
        <v>1402</v>
      </c>
      <c r="D637">
        <v>636</v>
      </c>
      <c r="E637">
        <v>8500</v>
      </c>
      <c r="F637" t="s">
        <v>59</v>
      </c>
      <c r="G637">
        <v>50</v>
      </c>
      <c r="H637" t="s">
        <v>60</v>
      </c>
      <c r="I637">
        <v>13</v>
      </c>
      <c r="J637" s="54">
        <f t="shared" si="9"/>
        <v>2</v>
      </c>
    </row>
    <row r="638" spans="1:10">
      <c r="A638" s="43">
        <v>42948</v>
      </c>
      <c r="B638">
        <v>2008</v>
      </c>
      <c r="C638">
        <v>1402</v>
      </c>
      <c r="D638">
        <v>637</v>
      </c>
      <c r="E638">
        <v>7600</v>
      </c>
      <c r="F638" t="s">
        <v>59</v>
      </c>
      <c r="G638">
        <v>6</v>
      </c>
      <c r="H638" t="s">
        <v>133</v>
      </c>
      <c r="I638">
        <v>11</v>
      </c>
      <c r="J638" s="54">
        <f t="shared" si="9"/>
        <v>6</v>
      </c>
    </row>
    <row r="639" spans="1:10">
      <c r="A639" s="43">
        <v>42795</v>
      </c>
      <c r="B639">
        <v>2008</v>
      </c>
      <c r="C639">
        <v>1402</v>
      </c>
      <c r="D639">
        <v>638</v>
      </c>
      <c r="E639">
        <v>7750</v>
      </c>
      <c r="F639" t="s">
        <v>59</v>
      </c>
      <c r="G639">
        <v>6</v>
      </c>
      <c r="H639" t="s">
        <v>133</v>
      </c>
      <c r="I639">
        <v>11</v>
      </c>
      <c r="J639" s="54">
        <f t="shared" si="9"/>
        <v>6</v>
      </c>
    </row>
    <row r="640" spans="1:10">
      <c r="A640" s="43">
        <v>42740</v>
      </c>
      <c r="B640">
        <v>2008</v>
      </c>
      <c r="C640">
        <v>1402</v>
      </c>
      <c r="D640">
        <v>639</v>
      </c>
      <c r="E640">
        <v>7300</v>
      </c>
      <c r="F640" t="s">
        <v>59</v>
      </c>
      <c r="G640">
        <v>6</v>
      </c>
      <c r="H640" t="s">
        <v>133</v>
      </c>
      <c r="I640">
        <v>11</v>
      </c>
      <c r="J640" s="54">
        <f t="shared" si="9"/>
        <v>6</v>
      </c>
    </row>
    <row r="641" spans="1:10">
      <c r="A641" s="43">
        <v>42740</v>
      </c>
      <c r="B641">
        <v>2006</v>
      </c>
      <c r="C641">
        <v>1402</v>
      </c>
      <c r="D641">
        <v>640</v>
      </c>
      <c r="E641">
        <v>7300</v>
      </c>
      <c r="F641" t="s">
        <v>59</v>
      </c>
      <c r="G641">
        <v>6</v>
      </c>
      <c r="H641" t="s">
        <v>133</v>
      </c>
      <c r="I641">
        <v>13</v>
      </c>
      <c r="J641" s="54">
        <f t="shared" si="9"/>
        <v>6</v>
      </c>
    </row>
    <row r="642" spans="1:10">
      <c r="A642" s="43">
        <v>42606</v>
      </c>
      <c r="B642">
        <v>2008</v>
      </c>
      <c r="C642">
        <v>1402</v>
      </c>
      <c r="D642">
        <v>641</v>
      </c>
      <c r="E642">
        <v>9000</v>
      </c>
      <c r="F642" t="s">
        <v>59</v>
      </c>
      <c r="G642">
        <v>7</v>
      </c>
      <c r="H642" t="s">
        <v>133</v>
      </c>
      <c r="I642">
        <v>11</v>
      </c>
      <c r="J642" s="54">
        <f t="shared" ref="J642:J705" si="10">IF(H642="days",ROUND(G642/30,0),IF(H642="years",G642*12,G642))</f>
        <v>7</v>
      </c>
    </row>
    <row r="643" spans="1:10">
      <c r="A643" s="43">
        <v>42522</v>
      </c>
      <c r="B643">
        <v>2006</v>
      </c>
      <c r="C643">
        <v>1402</v>
      </c>
      <c r="D643">
        <v>642</v>
      </c>
      <c r="E643">
        <v>8200</v>
      </c>
      <c r="F643" t="s">
        <v>59</v>
      </c>
      <c r="G643">
        <v>8</v>
      </c>
      <c r="H643" t="s">
        <v>133</v>
      </c>
      <c r="I643">
        <v>13</v>
      </c>
      <c r="J643" s="54">
        <f t="shared" si="10"/>
        <v>8</v>
      </c>
    </row>
    <row r="644" spans="1:10">
      <c r="A644" s="43">
        <v>42379</v>
      </c>
      <c r="B644">
        <v>2007</v>
      </c>
      <c r="C644">
        <v>1402</v>
      </c>
      <c r="D644">
        <v>643</v>
      </c>
      <c r="E644">
        <v>7500</v>
      </c>
      <c r="F644" t="s">
        <v>59</v>
      </c>
      <c r="G644">
        <v>12</v>
      </c>
      <c r="H644" t="s">
        <v>133</v>
      </c>
      <c r="I644">
        <v>12</v>
      </c>
      <c r="J644" s="54">
        <f t="shared" si="10"/>
        <v>12</v>
      </c>
    </row>
    <row r="645" spans="1:10">
      <c r="A645" s="43">
        <v>43539</v>
      </c>
      <c r="B645">
        <v>2009</v>
      </c>
      <c r="C645">
        <v>1404</v>
      </c>
      <c r="D645">
        <v>644</v>
      </c>
      <c r="E645">
        <v>11000</v>
      </c>
      <c r="F645" t="s">
        <v>59</v>
      </c>
      <c r="G645">
        <v>12</v>
      </c>
      <c r="H645" t="s">
        <v>133</v>
      </c>
      <c r="I645">
        <v>10</v>
      </c>
      <c r="J645" s="54">
        <f t="shared" si="10"/>
        <v>12</v>
      </c>
    </row>
    <row r="646" spans="1:10">
      <c r="A646" s="43">
        <v>43313</v>
      </c>
      <c r="B646">
        <v>2009</v>
      </c>
      <c r="C646">
        <v>1404</v>
      </c>
      <c r="D646">
        <v>645</v>
      </c>
      <c r="E646">
        <v>10300</v>
      </c>
      <c r="F646" t="s">
        <v>59</v>
      </c>
      <c r="G646">
        <v>13</v>
      </c>
      <c r="H646" t="s">
        <v>133</v>
      </c>
      <c r="I646">
        <v>10</v>
      </c>
      <c r="J646" s="54">
        <f t="shared" si="10"/>
        <v>13</v>
      </c>
    </row>
    <row r="647" spans="1:10">
      <c r="A647" s="43">
        <v>43301</v>
      </c>
      <c r="B647">
        <v>2009</v>
      </c>
      <c r="C647">
        <v>1404</v>
      </c>
      <c r="D647">
        <v>646</v>
      </c>
      <c r="E647">
        <v>13000</v>
      </c>
      <c r="F647" t="s">
        <v>59</v>
      </c>
      <c r="G647">
        <v>13</v>
      </c>
      <c r="H647" t="s">
        <v>133</v>
      </c>
      <c r="I647">
        <v>10</v>
      </c>
      <c r="J647" s="54">
        <f t="shared" si="10"/>
        <v>13</v>
      </c>
    </row>
    <row r="648" spans="1:10">
      <c r="A648" s="43">
        <v>43257</v>
      </c>
      <c r="B648">
        <v>2009</v>
      </c>
      <c r="C648">
        <v>1404</v>
      </c>
      <c r="D648">
        <v>647</v>
      </c>
      <c r="E648">
        <v>13000</v>
      </c>
      <c r="F648" t="s">
        <v>59</v>
      </c>
      <c r="G648">
        <v>12</v>
      </c>
      <c r="H648" t="s">
        <v>133</v>
      </c>
      <c r="I648">
        <v>10</v>
      </c>
      <c r="J648" s="54">
        <f t="shared" si="10"/>
        <v>12</v>
      </c>
    </row>
    <row r="649" spans="1:10">
      <c r="A649" s="43">
        <v>43201</v>
      </c>
      <c r="B649">
        <v>2008</v>
      </c>
      <c r="C649">
        <v>1404</v>
      </c>
      <c r="D649">
        <v>648</v>
      </c>
      <c r="E649">
        <v>9500</v>
      </c>
      <c r="F649" t="s">
        <v>59</v>
      </c>
      <c r="G649">
        <v>12</v>
      </c>
      <c r="H649" t="s">
        <v>133</v>
      </c>
      <c r="I649">
        <v>11</v>
      </c>
      <c r="J649" s="54">
        <f t="shared" si="10"/>
        <v>12</v>
      </c>
    </row>
    <row r="650" spans="1:10">
      <c r="A650" s="43">
        <v>42948</v>
      </c>
      <c r="B650">
        <v>2009</v>
      </c>
      <c r="C650">
        <v>1404</v>
      </c>
      <c r="D650">
        <v>649</v>
      </c>
      <c r="E650">
        <v>8800</v>
      </c>
      <c r="F650" t="s">
        <v>59</v>
      </c>
      <c r="G650">
        <v>12</v>
      </c>
      <c r="H650" t="s">
        <v>133</v>
      </c>
      <c r="I650">
        <v>10</v>
      </c>
      <c r="J650" s="54">
        <f t="shared" si="10"/>
        <v>12</v>
      </c>
    </row>
    <row r="651" spans="1:10">
      <c r="A651" s="43">
        <v>42835</v>
      </c>
      <c r="B651">
        <v>2008</v>
      </c>
      <c r="C651">
        <v>1404</v>
      </c>
      <c r="D651">
        <v>650</v>
      </c>
      <c r="E651">
        <v>9250</v>
      </c>
      <c r="F651" t="s">
        <v>59</v>
      </c>
      <c r="G651">
        <v>13</v>
      </c>
      <c r="H651" t="s">
        <v>133</v>
      </c>
      <c r="I651">
        <v>11</v>
      </c>
      <c r="J651" s="54">
        <f t="shared" si="10"/>
        <v>13</v>
      </c>
    </row>
    <row r="652" spans="1:10">
      <c r="A652" s="43">
        <v>42796</v>
      </c>
      <c r="B652">
        <v>2009</v>
      </c>
      <c r="C652">
        <v>1404</v>
      </c>
      <c r="D652">
        <v>651</v>
      </c>
      <c r="E652">
        <v>8300</v>
      </c>
      <c r="F652" t="s">
        <v>59</v>
      </c>
      <c r="G652">
        <v>7</v>
      </c>
      <c r="H652" t="s">
        <v>133</v>
      </c>
      <c r="I652">
        <v>10</v>
      </c>
      <c r="J652" s="54">
        <f t="shared" si="10"/>
        <v>7</v>
      </c>
    </row>
    <row r="653" spans="1:10">
      <c r="A653" s="43">
        <v>42795</v>
      </c>
      <c r="B653">
        <v>2009</v>
      </c>
      <c r="C653">
        <v>1404</v>
      </c>
      <c r="D653">
        <v>652</v>
      </c>
      <c r="E653">
        <v>9500</v>
      </c>
      <c r="F653" t="s">
        <v>59</v>
      </c>
      <c r="G653">
        <v>12</v>
      </c>
      <c r="H653" t="s">
        <v>133</v>
      </c>
      <c r="I653">
        <v>10</v>
      </c>
      <c r="J653" s="54">
        <f t="shared" si="10"/>
        <v>12</v>
      </c>
    </row>
    <row r="654" spans="1:10">
      <c r="A654" s="43">
        <v>42795</v>
      </c>
      <c r="B654">
        <v>2009</v>
      </c>
      <c r="C654">
        <v>1404</v>
      </c>
      <c r="D654">
        <v>653</v>
      </c>
      <c r="E654">
        <v>9500</v>
      </c>
      <c r="F654" t="s">
        <v>59</v>
      </c>
      <c r="G654">
        <v>12</v>
      </c>
      <c r="H654" t="s">
        <v>133</v>
      </c>
      <c r="I654">
        <v>10</v>
      </c>
      <c r="J654" s="54">
        <f t="shared" si="10"/>
        <v>12</v>
      </c>
    </row>
    <row r="655" spans="1:10">
      <c r="A655" s="43">
        <v>42769</v>
      </c>
      <c r="B655">
        <v>2008</v>
      </c>
      <c r="C655">
        <v>1404</v>
      </c>
      <c r="D655">
        <v>654</v>
      </c>
      <c r="E655">
        <v>7900</v>
      </c>
      <c r="F655" t="s">
        <v>59</v>
      </c>
      <c r="G655">
        <v>56</v>
      </c>
      <c r="H655" t="s">
        <v>60</v>
      </c>
      <c r="I655">
        <v>11</v>
      </c>
      <c r="J655" s="54">
        <f t="shared" si="10"/>
        <v>2</v>
      </c>
    </row>
    <row r="656" spans="1:10">
      <c r="A656" s="43">
        <v>42705</v>
      </c>
      <c r="B656">
        <v>2008</v>
      </c>
      <c r="C656">
        <v>1404</v>
      </c>
      <c r="D656">
        <v>655</v>
      </c>
      <c r="E656">
        <v>9200</v>
      </c>
      <c r="F656" t="s">
        <v>59</v>
      </c>
      <c r="G656">
        <v>30</v>
      </c>
      <c r="H656" t="s">
        <v>60</v>
      </c>
      <c r="I656">
        <v>11</v>
      </c>
      <c r="J656" s="54">
        <f t="shared" si="10"/>
        <v>1</v>
      </c>
    </row>
    <row r="657" spans="1:10">
      <c r="A657" s="43">
        <v>42571</v>
      </c>
      <c r="B657">
        <v>2009</v>
      </c>
      <c r="C657">
        <v>1404</v>
      </c>
      <c r="D657">
        <v>656</v>
      </c>
      <c r="E657">
        <v>9500</v>
      </c>
      <c r="F657" t="s">
        <v>59</v>
      </c>
      <c r="G657">
        <v>6</v>
      </c>
      <c r="H657" t="s">
        <v>133</v>
      </c>
      <c r="I657">
        <v>10</v>
      </c>
      <c r="J657" s="54">
        <f t="shared" si="10"/>
        <v>6</v>
      </c>
    </row>
    <row r="658" spans="1:10">
      <c r="A658" s="43">
        <v>42486</v>
      </c>
      <c r="B658">
        <v>2009</v>
      </c>
      <c r="C658">
        <v>1404</v>
      </c>
      <c r="D658">
        <v>657</v>
      </c>
      <c r="E658">
        <v>13000</v>
      </c>
      <c r="F658" t="s">
        <v>59</v>
      </c>
      <c r="G658">
        <v>12</v>
      </c>
      <c r="H658" t="s">
        <v>133</v>
      </c>
      <c r="I658">
        <v>10</v>
      </c>
      <c r="J658" s="54">
        <f t="shared" si="10"/>
        <v>12</v>
      </c>
    </row>
    <row r="659" spans="1:10">
      <c r="A659" s="43">
        <v>42486</v>
      </c>
      <c r="B659">
        <v>2009</v>
      </c>
      <c r="C659">
        <v>1404</v>
      </c>
      <c r="D659">
        <v>658</v>
      </c>
      <c r="E659">
        <v>13000</v>
      </c>
      <c r="F659" t="s">
        <v>59</v>
      </c>
      <c r="G659">
        <v>12</v>
      </c>
      <c r="H659" t="s">
        <v>133</v>
      </c>
      <c r="I659">
        <v>10</v>
      </c>
      <c r="J659" s="54">
        <f t="shared" si="10"/>
        <v>12</v>
      </c>
    </row>
    <row r="660" spans="1:10">
      <c r="A660" s="43">
        <v>43566</v>
      </c>
      <c r="B660">
        <v>2008</v>
      </c>
      <c r="C660">
        <v>1421</v>
      </c>
      <c r="D660">
        <v>659</v>
      </c>
      <c r="E660">
        <v>9500</v>
      </c>
      <c r="F660" t="s">
        <v>59</v>
      </c>
      <c r="G660">
        <v>12</v>
      </c>
      <c r="H660" t="s">
        <v>133</v>
      </c>
      <c r="I660">
        <v>11</v>
      </c>
      <c r="J660" s="54">
        <f t="shared" si="10"/>
        <v>12</v>
      </c>
    </row>
    <row r="661" spans="1:10">
      <c r="A661" s="43">
        <v>43221</v>
      </c>
      <c r="B661">
        <v>2008</v>
      </c>
      <c r="C661">
        <v>1421</v>
      </c>
      <c r="D661">
        <v>660</v>
      </c>
      <c r="E661">
        <v>10500</v>
      </c>
      <c r="F661" t="s">
        <v>59</v>
      </c>
      <c r="G661">
        <v>12</v>
      </c>
      <c r="H661" t="s">
        <v>133</v>
      </c>
      <c r="I661">
        <v>11</v>
      </c>
      <c r="J661" s="54">
        <f t="shared" si="10"/>
        <v>12</v>
      </c>
    </row>
    <row r="662" spans="1:10">
      <c r="A662" s="43">
        <v>42849</v>
      </c>
      <c r="B662">
        <v>2008</v>
      </c>
      <c r="C662">
        <v>1421</v>
      </c>
      <c r="D662">
        <v>661</v>
      </c>
      <c r="E662">
        <v>9150</v>
      </c>
      <c r="F662" t="s">
        <v>59</v>
      </c>
      <c r="G662">
        <v>12</v>
      </c>
      <c r="H662" t="s">
        <v>133</v>
      </c>
      <c r="I662">
        <v>11</v>
      </c>
      <c r="J662" s="54">
        <f t="shared" si="10"/>
        <v>12</v>
      </c>
    </row>
    <row r="663" spans="1:10">
      <c r="A663" s="43">
        <v>43593</v>
      </c>
      <c r="B663">
        <v>2007</v>
      </c>
      <c r="C663">
        <v>1440</v>
      </c>
      <c r="D663">
        <v>662</v>
      </c>
      <c r="E663">
        <v>7500</v>
      </c>
      <c r="F663" t="s">
        <v>59</v>
      </c>
      <c r="G663">
        <v>5</v>
      </c>
      <c r="H663" t="s">
        <v>133</v>
      </c>
      <c r="I663">
        <v>12</v>
      </c>
      <c r="J663" s="54">
        <f t="shared" si="10"/>
        <v>5</v>
      </c>
    </row>
    <row r="664" spans="1:10">
      <c r="A664" s="43">
        <v>43551</v>
      </c>
      <c r="B664">
        <v>2006</v>
      </c>
      <c r="C664">
        <v>1440</v>
      </c>
      <c r="D664">
        <v>663</v>
      </c>
      <c r="E664">
        <v>7400</v>
      </c>
      <c r="F664" t="s">
        <v>59</v>
      </c>
      <c r="G664">
        <v>4</v>
      </c>
      <c r="H664" t="s">
        <v>133</v>
      </c>
      <c r="I664">
        <v>13</v>
      </c>
      <c r="J664" s="54">
        <f t="shared" si="10"/>
        <v>4</v>
      </c>
    </row>
    <row r="665" spans="1:10">
      <c r="A665" s="43">
        <v>43549</v>
      </c>
      <c r="B665">
        <v>2006</v>
      </c>
      <c r="C665">
        <v>1440</v>
      </c>
      <c r="D665">
        <v>664</v>
      </c>
      <c r="E665">
        <v>7500</v>
      </c>
      <c r="F665" t="s">
        <v>59</v>
      </c>
      <c r="G665">
        <v>7</v>
      </c>
      <c r="H665" t="s">
        <v>133</v>
      </c>
      <c r="I665">
        <v>13</v>
      </c>
      <c r="J665" s="54">
        <f t="shared" si="10"/>
        <v>7</v>
      </c>
    </row>
    <row r="666" spans="1:10">
      <c r="A666" s="43">
        <v>43535</v>
      </c>
      <c r="B666">
        <v>2009</v>
      </c>
      <c r="C666">
        <v>1440</v>
      </c>
      <c r="D666">
        <v>665</v>
      </c>
      <c r="E666">
        <v>10400</v>
      </c>
      <c r="F666" t="s">
        <v>59</v>
      </c>
      <c r="G666">
        <v>12</v>
      </c>
      <c r="H666" t="s">
        <v>133</v>
      </c>
      <c r="I666">
        <v>10</v>
      </c>
      <c r="J666" s="54">
        <f t="shared" si="10"/>
        <v>12</v>
      </c>
    </row>
    <row r="667" spans="1:10">
      <c r="A667" s="43">
        <v>43525</v>
      </c>
      <c r="B667">
        <v>2008</v>
      </c>
      <c r="C667">
        <v>1440</v>
      </c>
      <c r="D667">
        <v>666</v>
      </c>
      <c r="E667">
        <v>10450</v>
      </c>
      <c r="F667" t="s">
        <v>59</v>
      </c>
      <c r="G667">
        <v>12</v>
      </c>
      <c r="H667" t="s">
        <v>133</v>
      </c>
      <c r="I667">
        <v>11</v>
      </c>
      <c r="J667" s="54">
        <f t="shared" si="10"/>
        <v>12</v>
      </c>
    </row>
    <row r="668" spans="1:10">
      <c r="A668" s="43">
        <v>43525</v>
      </c>
      <c r="B668">
        <v>2008</v>
      </c>
      <c r="C668">
        <v>1440</v>
      </c>
      <c r="D668">
        <v>667</v>
      </c>
      <c r="E668">
        <v>10400</v>
      </c>
      <c r="F668" t="s">
        <v>59</v>
      </c>
      <c r="G668">
        <v>12</v>
      </c>
      <c r="H668" t="s">
        <v>133</v>
      </c>
      <c r="I668">
        <v>11</v>
      </c>
      <c r="J668" s="54">
        <f t="shared" si="10"/>
        <v>12</v>
      </c>
    </row>
    <row r="669" spans="1:10">
      <c r="A669" s="43">
        <v>43525</v>
      </c>
      <c r="B669">
        <v>2009</v>
      </c>
      <c r="C669">
        <v>1440</v>
      </c>
      <c r="D669">
        <v>668</v>
      </c>
      <c r="E669">
        <v>10400</v>
      </c>
      <c r="F669" t="s">
        <v>59</v>
      </c>
      <c r="G669">
        <v>12</v>
      </c>
      <c r="H669" t="s">
        <v>133</v>
      </c>
      <c r="I669">
        <v>10</v>
      </c>
      <c r="J669" s="54">
        <f t="shared" si="10"/>
        <v>12</v>
      </c>
    </row>
    <row r="670" spans="1:10">
      <c r="A670" s="43">
        <v>43472</v>
      </c>
      <c r="B670">
        <v>2006</v>
      </c>
      <c r="C670">
        <v>1440</v>
      </c>
      <c r="D670">
        <v>669</v>
      </c>
      <c r="E670">
        <v>7250</v>
      </c>
      <c r="F670" t="s">
        <v>59</v>
      </c>
      <c r="G670">
        <v>6</v>
      </c>
      <c r="H670" t="s">
        <v>133</v>
      </c>
      <c r="I670">
        <v>13</v>
      </c>
      <c r="J670" s="54">
        <f t="shared" si="10"/>
        <v>6</v>
      </c>
    </row>
    <row r="671" spans="1:10">
      <c r="A671" s="43">
        <v>43430</v>
      </c>
      <c r="B671">
        <v>2007</v>
      </c>
      <c r="C671">
        <v>1440</v>
      </c>
      <c r="D671">
        <v>670</v>
      </c>
      <c r="E671">
        <v>7900</v>
      </c>
      <c r="F671" t="s">
        <v>59</v>
      </c>
      <c r="G671">
        <v>6</v>
      </c>
      <c r="H671" t="s">
        <v>133</v>
      </c>
      <c r="I671">
        <v>12</v>
      </c>
      <c r="J671" s="54">
        <f t="shared" si="10"/>
        <v>6</v>
      </c>
    </row>
    <row r="672" spans="1:10">
      <c r="A672" s="43">
        <v>43402</v>
      </c>
      <c r="B672">
        <v>2006</v>
      </c>
      <c r="C672">
        <v>1440</v>
      </c>
      <c r="D672">
        <v>671</v>
      </c>
      <c r="E672">
        <v>9100</v>
      </c>
      <c r="F672" t="s">
        <v>59</v>
      </c>
      <c r="G672">
        <v>5</v>
      </c>
      <c r="H672" t="s">
        <v>133</v>
      </c>
      <c r="I672">
        <v>13</v>
      </c>
      <c r="J672" s="54">
        <f t="shared" si="10"/>
        <v>5</v>
      </c>
    </row>
    <row r="673" spans="1:10">
      <c r="A673" s="43">
        <v>43370</v>
      </c>
      <c r="B673">
        <v>2006</v>
      </c>
      <c r="C673">
        <v>1440</v>
      </c>
      <c r="D673">
        <v>672</v>
      </c>
      <c r="E673">
        <v>10200</v>
      </c>
      <c r="F673" t="s">
        <v>59</v>
      </c>
      <c r="G673">
        <v>4</v>
      </c>
      <c r="H673" t="s">
        <v>133</v>
      </c>
      <c r="I673">
        <v>13</v>
      </c>
      <c r="J673" s="54">
        <f t="shared" si="10"/>
        <v>4</v>
      </c>
    </row>
    <row r="674" spans="1:10">
      <c r="A674" s="43">
        <v>43327</v>
      </c>
      <c r="B674">
        <v>2006</v>
      </c>
      <c r="C674">
        <v>1440</v>
      </c>
      <c r="D674">
        <v>673</v>
      </c>
      <c r="E674">
        <v>10100</v>
      </c>
      <c r="F674" t="s">
        <v>59</v>
      </c>
      <c r="G674">
        <v>80</v>
      </c>
      <c r="H674" t="s">
        <v>60</v>
      </c>
      <c r="I674">
        <v>13</v>
      </c>
      <c r="J674" s="54">
        <f t="shared" si="10"/>
        <v>3</v>
      </c>
    </row>
    <row r="675" spans="1:10">
      <c r="A675" s="43">
        <v>43272</v>
      </c>
      <c r="B675">
        <v>2009</v>
      </c>
      <c r="C675">
        <v>1440</v>
      </c>
      <c r="D675">
        <v>674</v>
      </c>
      <c r="E675">
        <v>12000</v>
      </c>
      <c r="F675" t="s">
        <v>59</v>
      </c>
      <c r="G675">
        <v>12</v>
      </c>
      <c r="H675" t="s">
        <v>133</v>
      </c>
      <c r="I675">
        <v>10</v>
      </c>
      <c r="J675" s="54">
        <f t="shared" si="10"/>
        <v>12</v>
      </c>
    </row>
    <row r="676" spans="1:10">
      <c r="A676" s="43">
        <v>43264</v>
      </c>
      <c r="B676">
        <v>2007</v>
      </c>
      <c r="C676">
        <v>1440</v>
      </c>
      <c r="D676">
        <v>675</v>
      </c>
      <c r="E676">
        <v>10900</v>
      </c>
      <c r="F676" t="s">
        <v>59</v>
      </c>
      <c r="G676">
        <v>4</v>
      </c>
      <c r="H676" t="s">
        <v>133</v>
      </c>
      <c r="I676">
        <v>12</v>
      </c>
      <c r="J676" s="54">
        <f t="shared" si="10"/>
        <v>4</v>
      </c>
    </row>
    <row r="677" spans="1:10">
      <c r="A677" s="43">
        <v>43252</v>
      </c>
      <c r="B677">
        <v>2008</v>
      </c>
      <c r="C677">
        <v>1440</v>
      </c>
      <c r="D677">
        <v>676</v>
      </c>
      <c r="E677">
        <v>12400</v>
      </c>
      <c r="F677" t="s">
        <v>59</v>
      </c>
      <c r="G677">
        <v>12</v>
      </c>
      <c r="H677" t="s">
        <v>133</v>
      </c>
      <c r="I677">
        <v>11</v>
      </c>
      <c r="J677" s="54">
        <f t="shared" si="10"/>
        <v>12</v>
      </c>
    </row>
    <row r="678" spans="1:10">
      <c r="A678" s="43">
        <v>43252</v>
      </c>
      <c r="B678">
        <v>2009</v>
      </c>
      <c r="C678">
        <v>1440</v>
      </c>
      <c r="D678">
        <v>677</v>
      </c>
      <c r="E678">
        <v>12400</v>
      </c>
      <c r="F678" t="s">
        <v>59</v>
      </c>
      <c r="G678">
        <v>12</v>
      </c>
      <c r="H678" t="s">
        <v>133</v>
      </c>
      <c r="I678">
        <v>10</v>
      </c>
      <c r="J678" s="54">
        <f t="shared" si="10"/>
        <v>12</v>
      </c>
    </row>
    <row r="679" spans="1:10">
      <c r="A679" s="43">
        <v>43245</v>
      </c>
      <c r="B679">
        <v>2008</v>
      </c>
      <c r="C679">
        <v>1440</v>
      </c>
      <c r="D679">
        <v>678</v>
      </c>
      <c r="E679">
        <v>11100</v>
      </c>
      <c r="F679" t="s">
        <v>59</v>
      </c>
      <c r="G679">
        <v>6</v>
      </c>
      <c r="H679" t="s">
        <v>133</v>
      </c>
      <c r="I679">
        <v>11</v>
      </c>
      <c r="J679" s="54">
        <f t="shared" si="10"/>
        <v>6</v>
      </c>
    </row>
    <row r="680" spans="1:10">
      <c r="A680" s="43">
        <v>43245</v>
      </c>
      <c r="B680">
        <v>2006</v>
      </c>
      <c r="C680">
        <v>1440</v>
      </c>
      <c r="D680">
        <v>679</v>
      </c>
      <c r="E680">
        <v>11100</v>
      </c>
      <c r="F680" t="s">
        <v>59</v>
      </c>
      <c r="G680">
        <v>2</v>
      </c>
      <c r="H680" t="s">
        <v>133</v>
      </c>
      <c r="I680">
        <v>13</v>
      </c>
      <c r="J680" s="54">
        <f t="shared" si="10"/>
        <v>2</v>
      </c>
    </row>
    <row r="681" spans="1:10">
      <c r="A681" s="43">
        <v>43241</v>
      </c>
      <c r="B681">
        <v>2008</v>
      </c>
      <c r="C681">
        <v>1440</v>
      </c>
      <c r="D681">
        <v>680</v>
      </c>
      <c r="E681">
        <v>11000</v>
      </c>
      <c r="F681" t="s">
        <v>59</v>
      </c>
      <c r="G681">
        <v>5</v>
      </c>
      <c r="H681" t="s">
        <v>133</v>
      </c>
      <c r="I681">
        <v>11</v>
      </c>
      <c r="J681" s="54">
        <f t="shared" si="10"/>
        <v>5</v>
      </c>
    </row>
    <row r="682" spans="1:10">
      <c r="A682" s="43">
        <v>43215</v>
      </c>
      <c r="B682">
        <v>2008</v>
      </c>
      <c r="C682">
        <v>1440</v>
      </c>
      <c r="D682">
        <v>681</v>
      </c>
      <c r="E682">
        <v>10500</v>
      </c>
      <c r="F682" t="s">
        <v>59</v>
      </c>
      <c r="G682">
        <v>12</v>
      </c>
      <c r="H682" t="s">
        <v>133</v>
      </c>
      <c r="I682">
        <v>11</v>
      </c>
      <c r="J682" s="54">
        <f t="shared" si="10"/>
        <v>12</v>
      </c>
    </row>
    <row r="683" spans="1:10">
      <c r="A683" s="43">
        <v>43214</v>
      </c>
      <c r="B683">
        <v>2006</v>
      </c>
      <c r="C683">
        <v>1440</v>
      </c>
      <c r="D683">
        <v>682</v>
      </c>
      <c r="E683">
        <v>11100</v>
      </c>
      <c r="F683" t="s">
        <v>59</v>
      </c>
      <c r="G683">
        <v>6</v>
      </c>
      <c r="H683" t="s">
        <v>133</v>
      </c>
      <c r="I683">
        <v>13</v>
      </c>
      <c r="J683" s="54">
        <f t="shared" si="10"/>
        <v>6</v>
      </c>
    </row>
    <row r="684" spans="1:10">
      <c r="A684" s="43">
        <v>43181</v>
      </c>
      <c r="B684">
        <v>2006</v>
      </c>
      <c r="C684">
        <v>1440</v>
      </c>
      <c r="D684">
        <v>683</v>
      </c>
      <c r="E684">
        <v>10500</v>
      </c>
      <c r="F684" t="s">
        <v>59</v>
      </c>
      <c r="G684">
        <v>6</v>
      </c>
      <c r="H684" t="s">
        <v>133</v>
      </c>
      <c r="I684">
        <v>13</v>
      </c>
      <c r="J684" s="54">
        <f t="shared" si="10"/>
        <v>6</v>
      </c>
    </row>
    <row r="685" spans="1:10">
      <c r="A685" s="43">
        <v>43122</v>
      </c>
      <c r="B685">
        <v>2008</v>
      </c>
      <c r="C685">
        <v>1440</v>
      </c>
      <c r="D685">
        <v>684</v>
      </c>
      <c r="E685">
        <v>9000</v>
      </c>
      <c r="F685" t="s">
        <v>59</v>
      </c>
      <c r="G685">
        <v>4</v>
      </c>
      <c r="H685" t="s">
        <v>133</v>
      </c>
      <c r="I685">
        <v>11</v>
      </c>
      <c r="J685" s="54">
        <f t="shared" si="10"/>
        <v>4</v>
      </c>
    </row>
    <row r="686" spans="1:10">
      <c r="A686" s="43">
        <v>43083</v>
      </c>
      <c r="B686">
        <v>2007</v>
      </c>
      <c r="C686">
        <v>1440</v>
      </c>
      <c r="D686">
        <v>685</v>
      </c>
      <c r="E686">
        <v>7950</v>
      </c>
      <c r="F686" t="s">
        <v>59</v>
      </c>
      <c r="G686">
        <v>6</v>
      </c>
      <c r="H686" t="s">
        <v>133</v>
      </c>
      <c r="I686">
        <v>12</v>
      </c>
      <c r="J686" s="54">
        <f t="shared" si="10"/>
        <v>6</v>
      </c>
    </row>
    <row r="687" spans="1:10">
      <c r="A687" s="43">
        <v>43031</v>
      </c>
      <c r="B687">
        <v>2006</v>
      </c>
      <c r="C687">
        <v>1440</v>
      </c>
      <c r="D687">
        <v>686</v>
      </c>
      <c r="E687">
        <v>7650</v>
      </c>
      <c r="F687" t="s">
        <v>59</v>
      </c>
      <c r="G687">
        <v>6</v>
      </c>
      <c r="H687" t="s">
        <v>133</v>
      </c>
      <c r="I687">
        <v>13</v>
      </c>
      <c r="J687" s="54">
        <f t="shared" si="10"/>
        <v>6</v>
      </c>
    </row>
    <row r="688" spans="1:10">
      <c r="A688" s="43">
        <v>43010</v>
      </c>
      <c r="B688">
        <v>2006</v>
      </c>
      <c r="C688">
        <v>1440</v>
      </c>
      <c r="D688">
        <v>687</v>
      </c>
      <c r="E688">
        <v>7500</v>
      </c>
      <c r="F688" t="s">
        <v>59</v>
      </c>
      <c r="G688">
        <v>7</v>
      </c>
      <c r="H688" t="s">
        <v>133</v>
      </c>
      <c r="I688">
        <v>13</v>
      </c>
      <c r="J688" s="54">
        <f t="shared" si="10"/>
        <v>7</v>
      </c>
    </row>
    <row r="689" spans="1:10">
      <c r="A689" s="43">
        <v>43010</v>
      </c>
      <c r="B689">
        <v>2008</v>
      </c>
      <c r="C689">
        <v>1440</v>
      </c>
      <c r="D689">
        <v>688</v>
      </c>
      <c r="E689">
        <v>7500</v>
      </c>
      <c r="F689" t="s">
        <v>59</v>
      </c>
      <c r="G689">
        <v>7</v>
      </c>
      <c r="H689" t="s">
        <v>133</v>
      </c>
      <c r="I689">
        <v>11</v>
      </c>
      <c r="J689" s="54">
        <f t="shared" si="10"/>
        <v>7</v>
      </c>
    </row>
    <row r="690" spans="1:10">
      <c r="A690" s="43">
        <v>43006</v>
      </c>
      <c r="B690">
        <v>2006</v>
      </c>
      <c r="C690">
        <v>1440</v>
      </c>
      <c r="D690">
        <v>689</v>
      </c>
      <c r="E690">
        <v>7400</v>
      </c>
      <c r="F690" t="s">
        <v>59</v>
      </c>
      <c r="G690">
        <v>70</v>
      </c>
      <c r="H690" t="s">
        <v>60</v>
      </c>
      <c r="I690">
        <v>13</v>
      </c>
      <c r="J690" s="54">
        <f t="shared" si="10"/>
        <v>2</v>
      </c>
    </row>
    <row r="691" spans="1:10">
      <c r="A691" s="43">
        <v>42965</v>
      </c>
      <c r="B691">
        <v>2006</v>
      </c>
      <c r="C691">
        <v>1440</v>
      </c>
      <c r="D691">
        <v>690</v>
      </c>
      <c r="E691">
        <v>7500</v>
      </c>
      <c r="F691" t="s">
        <v>59</v>
      </c>
      <c r="G691">
        <v>2</v>
      </c>
      <c r="H691" t="s">
        <v>133</v>
      </c>
      <c r="I691">
        <v>13</v>
      </c>
      <c r="J691" s="54">
        <f t="shared" si="10"/>
        <v>2</v>
      </c>
    </row>
    <row r="692" spans="1:10">
      <c r="A692" s="43">
        <v>42951</v>
      </c>
      <c r="B692">
        <v>2007</v>
      </c>
      <c r="C692">
        <v>1440</v>
      </c>
      <c r="D692">
        <v>691</v>
      </c>
      <c r="E692">
        <v>7150</v>
      </c>
      <c r="F692" t="s">
        <v>59</v>
      </c>
      <c r="G692">
        <v>10</v>
      </c>
      <c r="H692" t="s">
        <v>133</v>
      </c>
      <c r="I692">
        <v>12</v>
      </c>
      <c r="J692" s="54">
        <f t="shared" si="10"/>
        <v>10</v>
      </c>
    </row>
    <row r="693" spans="1:10">
      <c r="A693" s="43">
        <v>42948</v>
      </c>
      <c r="B693">
        <v>2008</v>
      </c>
      <c r="C693">
        <v>1440</v>
      </c>
      <c r="D693">
        <v>692</v>
      </c>
      <c r="E693">
        <v>10000</v>
      </c>
      <c r="F693" t="s">
        <v>59</v>
      </c>
      <c r="G693">
        <v>8</v>
      </c>
      <c r="H693" t="s">
        <v>133</v>
      </c>
      <c r="I693">
        <v>11</v>
      </c>
      <c r="J693" s="54">
        <f t="shared" si="10"/>
        <v>8</v>
      </c>
    </row>
    <row r="694" spans="1:10">
      <c r="A694" s="43">
        <v>42948</v>
      </c>
      <c r="B694">
        <v>2009</v>
      </c>
      <c r="C694">
        <v>1440</v>
      </c>
      <c r="D694">
        <v>693</v>
      </c>
      <c r="E694">
        <v>10000</v>
      </c>
      <c r="F694" t="s">
        <v>59</v>
      </c>
      <c r="G694">
        <v>8</v>
      </c>
      <c r="H694" t="s">
        <v>133</v>
      </c>
      <c r="I694">
        <v>10</v>
      </c>
      <c r="J694" s="54">
        <f t="shared" si="10"/>
        <v>8</v>
      </c>
    </row>
    <row r="695" spans="1:10">
      <c r="A695" s="43">
        <v>42921</v>
      </c>
      <c r="B695">
        <v>2008</v>
      </c>
      <c r="C695">
        <v>1440</v>
      </c>
      <c r="D695">
        <v>694</v>
      </c>
      <c r="E695">
        <v>9800</v>
      </c>
      <c r="F695" t="s">
        <v>59</v>
      </c>
      <c r="G695">
        <v>4</v>
      </c>
      <c r="H695" t="s">
        <v>133</v>
      </c>
      <c r="I695">
        <v>11</v>
      </c>
      <c r="J695" s="54">
        <f t="shared" si="10"/>
        <v>4</v>
      </c>
    </row>
    <row r="696" spans="1:10">
      <c r="A696" s="43">
        <v>42887</v>
      </c>
      <c r="B696">
        <v>2007</v>
      </c>
      <c r="C696">
        <v>1440</v>
      </c>
      <c r="D696">
        <v>695</v>
      </c>
      <c r="E696">
        <v>7500</v>
      </c>
      <c r="F696" t="s">
        <v>59</v>
      </c>
      <c r="G696">
        <v>1</v>
      </c>
      <c r="H696" t="s">
        <v>133</v>
      </c>
      <c r="I696">
        <v>12</v>
      </c>
      <c r="J696" s="54">
        <f t="shared" si="10"/>
        <v>1</v>
      </c>
    </row>
    <row r="697" spans="1:10">
      <c r="A697" s="43">
        <v>42887</v>
      </c>
      <c r="B697">
        <v>2008</v>
      </c>
      <c r="C697">
        <v>1440</v>
      </c>
      <c r="D697">
        <v>696</v>
      </c>
      <c r="E697">
        <v>7500</v>
      </c>
      <c r="F697" t="s">
        <v>59</v>
      </c>
      <c r="G697">
        <v>7</v>
      </c>
      <c r="H697" t="s">
        <v>133</v>
      </c>
      <c r="I697">
        <v>11</v>
      </c>
      <c r="J697" s="54">
        <f t="shared" si="10"/>
        <v>7</v>
      </c>
    </row>
    <row r="698" spans="1:10">
      <c r="A698" s="43">
        <v>42884</v>
      </c>
      <c r="B698">
        <v>2008</v>
      </c>
      <c r="C698">
        <v>1440</v>
      </c>
      <c r="D698">
        <v>697</v>
      </c>
      <c r="E698">
        <v>7600</v>
      </c>
      <c r="F698" t="s">
        <v>59</v>
      </c>
      <c r="G698">
        <v>5</v>
      </c>
      <c r="H698" t="s">
        <v>133</v>
      </c>
      <c r="I698">
        <v>11</v>
      </c>
      <c r="J698" s="54">
        <f t="shared" si="10"/>
        <v>5</v>
      </c>
    </row>
    <row r="699" spans="1:10">
      <c r="A699" s="43">
        <v>42837</v>
      </c>
      <c r="B699">
        <v>2007</v>
      </c>
      <c r="C699">
        <v>1440</v>
      </c>
      <c r="D699">
        <v>698</v>
      </c>
      <c r="E699">
        <v>6750</v>
      </c>
      <c r="F699" t="s">
        <v>59</v>
      </c>
      <c r="G699">
        <v>6</v>
      </c>
      <c r="H699" t="s">
        <v>133</v>
      </c>
      <c r="I699">
        <v>12</v>
      </c>
      <c r="J699" s="54">
        <f t="shared" si="10"/>
        <v>6</v>
      </c>
    </row>
    <row r="700" spans="1:10">
      <c r="A700" s="43">
        <v>42808</v>
      </c>
      <c r="B700">
        <v>2008</v>
      </c>
      <c r="C700">
        <v>1440</v>
      </c>
      <c r="D700">
        <v>699</v>
      </c>
      <c r="E700">
        <v>8500</v>
      </c>
      <c r="F700" t="s">
        <v>59</v>
      </c>
      <c r="G700">
        <v>8</v>
      </c>
      <c r="H700" t="s">
        <v>133</v>
      </c>
      <c r="I700">
        <v>11</v>
      </c>
      <c r="J700" s="54">
        <f t="shared" si="10"/>
        <v>8</v>
      </c>
    </row>
    <row r="701" spans="1:10">
      <c r="A701" s="43">
        <v>42808</v>
      </c>
      <c r="B701">
        <v>2009</v>
      </c>
      <c r="C701">
        <v>1440</v>
      </c>
      <c r="D701">
        <v>700</v>
      </c>
      <c r="E701">
        <v>8500</v>
      </c>
      <c r="F701" t="s">
        <v>59</v>
      </c>
      <c r="G701">
        <v>8</v>
      </c>
      <c r="H701" t="s">
        <v>133</v>
      </c>
      <c r="I701">
        <v>10</v>
      </c>
      <c r="J701" s="54">
        <f t="shared" si="10"/>
        <v>8</v>
      </c>
    </row>
    <row r="702" spans="1:10">
      <c r="A702" s="43">
        <v>42795</v>
      </c>
      <c r="B702">
        <v>2006</v>
      </c>
      <c r="C702">
        <v>1440</v>
      </c>
      <c r="D702">
        <v>701</v>
      </c>
      <c r="E702">
        <v>7200</v>
      </c>
      <c r="F702" t="s">
        <v>59</v>
      </c>
      <c r="G702">
        <v>6</v>
      </c>
      <c r="H702" t="s">
        <v>133</v>
      </c>
      <c r="I702">
        <v>13</v>
      </c>
      <c r="J702" s="54">
        <f t="shared" si="10"/>
        <v>6</v>
      </c>
    </row>
    <row r="703" spans="1:10">
      <c r="A703" s="43">
        <v>42788</v>
      </c>
      <c r="B703">
        <v>2009</v>
      </c>
      <c r="C703">
        <v>1440</v>
      </c>
      <c r="D703">
        <v>702</v>
      </c>
      <c r="E703">
        <v>9000</v>
      </c>
      <c r="F703" t="s">
        <v>59</v>
      </c>
      <c r="G703">
        <v>6</v>
      </c>
      <c r="H703" t="s">
        <v>133</v>
      </c>
      <c r="I703">
        <v>10</v>
      </c>
      <c r="J703" s="54">
        <f t="shared" si="10"/>
        <v>6</v>
      </c>
    </row>
    <row r="704" spans="1:10">
      <c r="A704" s="43">
        <v>42783</v>
      </c>
      <c r="B704">
        <v>2006</v>
      </c>
      <c r="C704">
        <v>1440</v>
      </c>
      <c r="D704">
        <v>703</v>
      </c>
      <c r="E704">
        <v>7100</v>
      </c>
      <c r="F704" t="s">
        <v>59</v>
      </c>
      <c r="G704">
        <v>3</v>
      </c>
      <c r="H704" t="s">
        <v>133</v>
      </c>
      <c r="I704">
        <v>13</v>
      </c>
      <c r="J704" s="54">
        <f t="shared" si="10"/>
        <v>3</v>
      </c>
    </row>
    <row r="705" spans="1:10">
      <c r="A705" s="43">
        <v>42723</v>
      </c>
      <c r="B705">
        <v>2006</v>
      </c>
      <c r="C705">
        <v>1440</v>
      </c>
      <c r="D705">
        <v>704</v>
      </c>
      <c r="E705">
        <v>7200</v>
      </c>
      <c r="F705" t="s">
        <v>59</v>
      </c>
      <c r="G705">
        <v>3</v>
      </c>
      <c r="H705" t="s">
        <v>133</v>
      </c>
      <c r="I705">
        <v>13</v>
      </c>
      <c r="J705" s="54">
        <f t="shared" si="10"/>
        <v>3</v>
      </c>
    </row>
    <row r="706" spans="1:10">
      <c r="A706" s="43">
        <v>42705</v>
      </c>
      <c r="B706">
        <v>2008</v>
      </c>
      <c r="C706">
        <v>1440</v>
      </c>
      <c r="D706">
        <v>705</v>
      </c>
      <c r="E706">
        <v>7000</v>
      </c>
      <c r="F706" t="s">
        <v>59</v>
      </c>
      <c r="G706">
        <v>5</v>
      </c>
      <c r="H706" t="s">
        <v>133</v>
      </c>
      <c r="I706">
        <v>11</v>
      </c>
      <c r="J706" s="54">
        <f t="shared" ref="J706:J769" si="11">IF(H706="days",ROUND(G706/30,0),IF(H706="years",G706*12,G706))</f>
        <v>5</v>
      </c>
    </row>
    <row r="707" spans="1:10">
      <c r="A707" s="43">
        <v>42705</v>
      </c>
      <c r="B707">
        <v>2007</v>
      </c>
      <c r="C707">
        <v>1440</v>
      </c>
      <c r="D707">
        <v>706</v>
      </c>
      <c r="E707">
        <v>7100</v>
      </c>
      <c r="F707" t="s">
        <v>59</v>
      </c>
      <c r="G707">
        <v>6</v>
      </c>
      <c r="H707" t="s">
        <v>133</v>
      </c>
      <c r="I707">
        <v>12</v>
      </c>
      <c r="J707" s="54">
        <f t="shared" si="11"/>
        <v>6</v>
      </c>
    </row>
    <row r="708" spans="1:10">
      <c r="A708" s="43">
        <v>42705</v>
      </c>
      <c r="B708">
        <v>2008</v>
      </c>
      <c r="C708">
        <v>1440</v>
      </c>
      <c r="D708">
        <v>707</v>
      </c>
      <c r="E708">
        <v>7200</v>
      </c>
      <c r="F708" t="s">
        <v>59</v>
      </c>
      <c r="G708">
        <v>6</v>
      </c>
      <c r="H708" t="s">
        <v>133</v>
      </c>
      <c r="I708">
        <v>11</v>
      </c>
      <c r="J708" s="54">
        <f t="shared" si="11"/>
        <v>6</v>
      </c>
    </row>
    <row r="709" spans="1:10">
      <c r="A709" s="43">
        <v>42697</v>
      </c>
      <c r="B709">
        <v>2006</v>
      </c>
      <c r="C709">
        <v>1440</v>
      </c>
      <c r="D709">
        <v>708</v>
      </c>
      <c r="E709">
        <v>7000</v>
      </c>
      <c r="F709" t="s">
        <v>59</v>
      </c>
      <c r="G709">
        <v>5</v>
      </c>
      <c r="H709" t="s">
        <v>133</v>
      </c>
      <c r="I709">
        <v>13</v>
      </c>
      <c r="J709" s="54">
        <f t="shared" si="11"/>
        <v>5</v>
      </c>
    </row>
    <row r="710" spans="1:10">
      <c r="A710" s="43">
        <v>42681</v>
      </c>
      <c r="B710">
        <v>2007</v>
      </c>
      <c r="C710">
        <v>1440</v>
      </c>
      <c r="D710">
        <v>709</v>
      </c>
      <c r="E710">
        <v>7000</v>
      </c>
      <c r="F710" t="s">
        <v>59</v>
      </c>
      <c r="G710">
        <v>50</v>
      </c>
      <c r="H710" t="s">
        <v>60</v>
      </c>
      <c r="I710">
        <v>12</v>
      </c>
      <c r="J710" s="54">
        <f t="shared" si="11"/>
        <v>2</v>
      </c>
    </row>
    <row r="711" spans="1:10">
      <c r="A711" s="43">
        <v>42674</v>
      </c>
      <c r="B711">
        <v>2008</v>
      </c>
      <c r="C711">
        <v>1440</v>
      </c>
      <c r="D711">
        <v>710</v>
      </c>
      <c r="E711">
        <v>7100</v>
      </c>
      <c r="F711" t="s">
        <v>59</v>
      </c>
      <c r="G711">
        <v>50</v>
      </c>
      <c r="H711" t="s">
        <v>60</v>
      </c>
      <c r="I711">
        <v>11</v>
      </c>
      <c r="J711" s="54">
        <f t="shared" si="11"/>
        <v>2</v>
      </c>
    </row>
    <row r="712" spans="1:10">
      <c r="A712" s="43">
        <v>42614</v>
      </c>
      <c r="B712">
        <v>2008</v>
      </c>
      <c r="C712">
        <v>1440</v>
      </c>
      <c r="D712">
        <v>711</v>
      </c>
      <c r="E712">
        <v>9800</v>
      </c>
      <c r="F712" t="s">
        <v>59</v>
      </c>
      <c r="G712">
        <v>8</v>
      </c>
      <c r="H712" t="s">
        <v>133</v>
      </c>
      <c r="I712">
        <v>11</v>
      </c>
      <c r="J712" s="54">
        <f t="shared" si="11"/>
        <v>8</v>
      </c>
    </row>
    <row r="713" spans="1:10">
      <c r="A713" s="43">
        <v>42614</v>
      </c>
      <c r="B713">
        <v>2009</v>
      </c>
      <c r="C713">
        <v>1440</v>
      </c>
      <c r="D713">
        <v>712</v>
      </c>
      <c r="E713">
        <v>9800</v>
      </c>
      <c r="F713" t="s">
        <v>59</v>
      </c>
      <c r="G713">
        <v>8</v>
      </c>
      <c r="H713" t="s">
        <v>133</v>
      </c>
      <c r="I713">
        <v>10</v>
      </c>
      <c r="J713" s="54">
        <f t="shared" si="11"/>
        <v>8</v>
      </c>
    </row>
    <row r="714" spans="1:10">
      <c r="A714" s="43">
        <v>42578</v>
      </c>
      <c r="B714">
        <v>2006</v>
      </c>
      <c r="C714">
        <v>1440</v>
      </c>
      <c r="D714">
        <v>713</v>
      </c>
      <c r="E714">
        <v>7500</v>
      </c>
      <c r="F714" t="s">
        <v>59</v>
      </c>
      <c r="G714">
        <v>9</v>
      </c>
      <c r="H714" t="s">
        <v>133</v>
      </c>
      <c r="I714">
        <v>13</v>
      </c>
      <c r="J714" s="54">
        <f t="shared" si="11"/>
        <v>9</v>
      </c>
    </row>
    <row r="715" spans="1:10">
      <c r="A715" s="43">
        <v>42578</v>
      </c>
      <c r="B715">
        <v>2007</v>
      </c>
      <c r="C715">
        <v>1440</v>
      </c>
      <c r="D715">
        <v>714</v>
      </c>
      <c r="E715">
        <v>7500</v>
      </c>
      <c r="F715" t="s">
        <v>59</v>
      </c>
      <c r="G715">
        <v>4</v>
      </c>
      <c r="H715" t="s">
        <v>133</v>
      </c>
      <c r="I715">
        <v>12</v>
      </c>
      <c r="J715" s="54">
        <f t="shared" si="11"/>
        <v>4</v>
      </c>
    </row>
    <row r="716" spans="1:10">
      <c r="A716" s="43">
        <v>42577</v>
      </c>
      <c r="B716">
        <v>2007</v>
      </c>
      <c r="C716">
        <v>1440</v>
      </c>
      <c r="D716">
        <v>715</v>
      </c>
      <c r="E716">
        <v>7200</v>
      </c>
      <c r="F716" t="s">
        <v>59</v>
      </c>
      <c r="G716">
        <v>3</v>
      </c>
      <c r="H716" t="s">
        <v>133</v>
      </c>
      <c r="I716">
        <v>12</v>
      </c>
      <c r="J716" s="54">
        <f t="shared" si="11"/>
        <v>3</v>
      </c>
    </row>
    <row r="717" spans="1:10">
      <c r="A717" s="43">
        <v>42563</v>
      </c>
      <c r="B717">
        <v>2008</v>
      </c>
      <c r="C717">
        <v>1440</v>
      </c>
      <c r="D717">
        <v>716</v>
      </c>
      <c r="E717">
        <v>9500</v>
      </c>
      <c r="F717" t="s">
        <v>59</v>
      </c>
      <c r="G717">
        <v>12</v>
      </c>
      <c r="H717" t="s">
        <v>133</v>
      </c>
      <c r="I717">
        <v>11</v>
      </c>
      <c r="J717" s="54">
        <f t="shared" si="11"/>
        <v>12</v>
      </c>
    </row>
    <row r="718" spans="1:10">
      <c r="A718" s="43">
        <v>42481</v>
      </c>
      <c r="B718">
        <v>2006</v>
      </c>
      <c r="C718">
        <v>1440</v>
      </c>
      <c r="D718">
        <v>717</v>
      </c>
      <c r="E718">
        <v>7500</v>
      </c>
      <c r="F718" t="s">
        <v>59</v>
      </c>
      <c r="G718">
        <v>6</v>
      </c>
      <c r="H718" t="s">
        <v>133</v>
      </c>
      <c r="I718">
        <v>13</v>
      </c>
      <c r="J718" s="54">
        <f t="shared" si="11"/>
        <v>6</v>
      </c>
    </row>
    <row r="719" spans="1:10">
      <c r="A719" s="43">
        <v>42468</v>
      </c>
      <c r="B719">
        <v>2006</v>
      </c>
      <c r="C719">
        <v>1440</v>
      </c>
      <c r="D719">
        <v>718</v>
      </c>
      <c r="E719">
        <v>7500</v>
      </c>
      <c r="F719" t="s">
        <v>59</v>
      </c>
      <c r="G719">
        <v>6</v>
      </c>
      <c r="H719" t="s">
        <v>133</v>
      </c>
      <c r="I719">
        <v>13</v>
      </c>
      <c r="J719" s="54">
        <f t="shared" si="11"/>
        <v>6</v>
      </c>
    </row>
    <row r="720" spans="1:10">
      <c r="A720" s="43">
        <v>42468</v>
      </c>
      <c r="B720">
        <v>2008</v>
      </c>
      <c r="C720">
        <v>1440</v>
      </c>
      <c r="D720">
        <v>719</v>
      </c>
      <c r="E720">
        <v>7500</v>
      </c>
      <c r="F720" t="s">
        <v>59</v>
      </c>
      <c r="G720">
        <v>6</v>
      </c>
      <c r="H720" t="s">
        <v>133</v>
      </c>
      <c r="I720">
        <v>11</v>
      </c>
      <c r="J720" s="54">
        <f t="shared" si="11"/>
        <v>6</v>
      </c>
    </row>
    <row r="721" spans="1:10">
      <c r="A721" s="43">
        <v>42426</v>
      </c>
      <c r="B721">
        <v>2008</v>
      </c>
      <c r="C721">
        <v>1440</v>
      </c>
      <c r="D721">
        <v>720</v>
      </c>
      <c r="E721">
        <v>7500</v>
      </c>
      <c r="F721" t="s">
        <v>59</v>
      </c>
      <c r="G721">
        <v>5</v>
      </c>
      <c r="H721" t="s">
        <v>133</v>
      </c>
      <c r="I721">
        <v>11</v>
      </c>
      <c r="J721" s="54">
        <f t="shared" si="11"/>
        <v>5</v>
      </c>
    </row>
    <row r="722" spans="1:10">
      <c r="A722" s="43">
        <v>43598</v>
      </c>
      <c r="B722">
        <v>2009</v>
      </c>
      <c r="C722">
        <v>1496</v>
      </c>
      <c r="D722">
        <v>721</v>
      </c>
      <c r="E722">
        <v>7000</v>
      </c>
      <c r="F722" t="s">
        <v>59</v>
      </c>
      <c r="G722">
        <v>5</v>
      </c>
      <c r="H722" t="s">
        <v>133</v>
      </c>
      <c r="I722">
        <v>10</v>
      </c>
      <c r="J722" s="54">
        <f t="shared" si="11"/>
        <v>5</v>
      </c>
    </row>
    <row r="723" spans="1:10">
      <c r="A723" s="43">
        <v>43557</v>
      </c>
      <c r="B723">
        <v>2009</v>
      </c>
      <c r="C723">
        <v>1496</v>
      </c>
      <c r="D723">
        <v>722</v>
      </c>
      <c r="E723">
        <v>7850</v>
      </c>
      <c r="F723" t="s">
        <v>59</v>
      </c>
      <c r="G723">
        <v>4</v>
      </c>
      <c r="H723" t="s">
        <v>133</v>
      </c>
      <c r="I723">
        <v>10</v>
      </c>
      <c r="J723" s="54">
        <f t="shared" si="11"/>
        <v>4</v>
      </c>
    </row>
    <row r="724" spans="1:10">
      <c r="A724" s="43">
        <v>43514</v>
      </c>
      <c r="B724">
        <v>2010</v>
      </c>
      <c r="C724">
        <v>1496</v>
      </c>
      <c r="D724">
        <v>723</v>
      </c>
      <c r="E724">
        <v>6700</v>
      </c>
      <c r="F724" t="s">
        <v>59</v>
      </c>
      <c r="G724">
        <v>6</v>
      </c>
      <c r="H724" t="s">
        <v>133</v>
      </c>
      <c r="I724">
        <v>9</v>
      </c>
      <c r="J724" s="54">
        <f t="shared" si="11"/>
        <v>6</v>
      </c>
    </row>
    <row r="725" spans="1:10">
      <c r="A725" s="43">
        <v>43423</v>
      </c>
      <c r="B725">
        <v>2009</v>
      </c>
      <c r="C725">
        <v>1496</v>
      </c>
      <c r="D725">
        <v>724</v>
      </c>
      <c r="E725">
        <v>6600</v>
      </c>
      <c r="F725" t="s">
        <v>59</v>
      </c>
      <c r="G725">
        <v>6</v>
      </c>
      <c r="H725" t="s">
        <v>133</v>
      </c>
      <c r="I725">
        <v>10</v>
      </c>
      <c r="J725" s="54">
        <f t="shared" si="11"/>
        <v>6</v>
      </c>
    </row>
    <row r="726" spans="1:10">
      <c r="A726" s="43">
        <v>43383</v>
      </c>
      <c r="B726">
        <v>2009</v>
      </c>
      <c r="C726">
        <v>1496</v>
      </c>
      <c r="D726">
        <v>725</v>
      </c>
      <c r="E726">
        <v>8900</v>
      </c>
      <c r="F726" t="s">
        <v>59</v>
      </c>
      <c r="G726">
        <v>6</v>
      </c>
      <c r="H726" t="s">
        <v>133</v>
      </c>
      <c r="I726">
        <v>10</v>
      </c>
      <c r="J726" s="54">
        <f t="shared" si="11"/>
        <v>6</v>
      </c>
    </row>
    <row r="727" spans="1:10">
      <c r="A727" s="43">
        <v>43368</v>
      </c>
      <c r="B727">
        <v>2009</v>
      </c>
      <c r="C727">
        <v>1496</v>
      </c>
      <c r="D727">
        <v>726</v>
      </c>
      <c r="E727">
        <v>9000</v>
      </c>
      <c r="F727" t="s">
        <v>59</v>
      </c>
      <c r="G727">
        <v>6</v>
      </c>
      <c r="H727" t="s">
        <v>133</v>
      </c>
      <c r="I727">
        <v>10</v>
      </c>
      <c r="J727" s="54">
        <f t="shared" si="11"/>
        <v>6</v>
      </c>
    </row>
    <row r="728" spans="1:10">
      <c r="A728" s="43">
        <v>43350</v>
      </c>
      <c r="B728">
        <v>2010</v>
      </c>
      <c r="C728">
        <v>1496</v>
      </c>
      <c r="D728">
        <v>727</v>
      </c>
      <c r="E728">
        <v>9100</v>
      </c>
      <c r="F728" t="s">
        <v>59</v>
      </c>
      <c r="G728">
        <v>6</v>
      </c>
      <c r="H728" t="s">
        <v>133</v>
      </c>
      <c r="I728">
        <v>9</v>
      </c>
      <c r="J728" s="54">
        <f t="shared" si="11"/>
        <v>6</v>
      </c>
    </row>
    <row r="729" spans="1:10">
      <c r="A729" s="43">
        <v>43225</v>
      </c>
      <c r="B729">
        <v>2009</v>
      </c>
      <c r="C729">
        <v>1496</v>
      </c>
      <c r="D729">
        <v>728</v>
      </c>
      <c r="E729">
        <v>10750</v>
      </c>
      <c r="F729" t="s">
        <v>59</v>
      </c>
      <c r="G729">
        <v>5</v>
      </c>
      <c r="H729" t="s">
        <v>133</v>
      </c>
      <c r="I729">
        <v>10</v>
      </c>
      <c r="J729" s="54">
        <f t="shared" si="11"/>
        <v>5</v>
      </c>
    </row>
    <row r="730" spans="1:10">
      <c r="A730" s="43">
        <v>43203</v>
      </c>
      <c r="B730">
        <v>2010</v>
      </c>
      <c r="C730">
        <v>1496</v>
      </c>
      <c r="D730">
        <v>729</v>
      </c>
      <c r="E730">
        <v>10750</v>
      </c>
      <c r="F730" t="s">
        <v>59</v>
      </c>
      <c r="G730">
        <v>6</v>
      </c>
      <c r="H730" t="s">
        <v>133</v>
      </c>
      <c r="I730">
        <v>9</v>
      </c>
      <c r="J730" s="54">
        <f t="shared" si="11"/>
        <v>6</v>
      </c>
    </row>
    <row r="731" spans="1:10">
      <c r="A731" s="43">
        <v>43168</v>
      </c>
      <c r="B731">
        <v>2009</v>
      </c>
      <c r="C731">
        <v>1496</v>
      </c>
      <c r="D731">
        <v>730</v>
      </c>
      <c r="E731">
        <v>9500</v>
      </c>
      <c r="F731" t="s">
        <v>59</v>
      </c>
      <c r="G731">
        <v>7</v>
      </c>
      <c r="H731" t="s">
        <v>133</v>
      </c>
      <c r="I731">
        <v>10</v>
      </c>
      <c r="J731" s="54">
        <f t="shared" si="11"/>
        <v>7</v>
      </c>
    </row>
    <row r="732" spans="1:10">
      <c r="A732" s="43">
        <v>43161</v>
      </c>
      <c r="B732">
        <v>2009</v>
      </c>
      <c r="C732">
        <v>1496</v>
      </c>
      <c r="D732">
        <v>731</v>
      </c>
      <c r="E732">
        <v>9000</v>
      </c>
      <c r="F732" t="s">
        <v>59</v>
      </c>
      <c r="G732">
        <v>7</v>
      </c>
      <c r="H732" t="s">
        <v>133</v>
      </c>
      <c r="I732">
        <v>10</v>
      </c>
      <c r="J732" s="54">
        <f t="shared" si="11"/>
        <v>7</v>
      </c>
    </row>
    <row r="733" spans="1:10">
      <c r="A733" s="43">
        <v>43052</v>
      </c>
      <c r="B733">
        <v>2009</v>
      </c>
      <c r="C733">
        <v>1496</v>
      </c>
      <c r="D733">
        <v>732</v>
      </c>
      <c r="E733">
        <v>7800</v>
      </c>
      <c r="F733" t="s">
        <v>59</v>
      </c>
      <c r="G733">
        <v>6</v>
      </c>
      <c r="H733" t="s">
        <v>133</v>
      </c>
      <c r="I733">
        <v>10</v>
      </c>
      <c r="J733" s="54">
        <f t="shared" si="11"/>
        <v>6</v>
      </c>
    </row>
    <row r="734" spans="1:10">
      <c r="A734" s="43">
        <v>43003</v>
      </c>
      <c r="B734">
        <v>2010</v>
      </c>
      <c r="C734">
        <v>1496</v>
      </c>
      <c r="D734">
        <v>733</v>
      </c>
      <c r="E734">
        <v>7500</v>
      </c>
      <c r="F734" t="s">
        <v>59</v>
      </c>
      <c r="G734">
        <v>6</v>
      </c>
      <c r="H734" t="s">
        <v>133</v>
      </c>
      <c r="I734">
        <v>9</v>
      </c>
      <c r="J734" s="54">
        <f t="shared" si="11"/>
        <v>6</v>
      </c>
    </row>
    <row r="735" spans="1:10">
      <c r="A735" s="43">
        <v>42948</v>
      </c>
      <c r="B735">
        <v>2009</v>
      </c>
      <c r="C735">
        <v>1496</v>
      </c>
      <c r="D735">
        <v>734</v>
      </c>
      <c r="E735">
        <v>7150</v>
      </c>
      <c r="F735" t="s">
        <v>59</v>
      </c>
      <c r="G735">
        <v>8</v>
      </c>
      <c r="H735" t="s">
        <v>133</v>
      </c>
      <c r="I735">
        <v>10</v>
      </c>
      <c r="J735" s="54">
        <f t="shared" si="11"/>
        <v>8</v>
      </c>
    </row>
    <row r="736" spans="1:10">
      <c r="A736" s="43">
        <v>42940</v>
      </c>
      <c r="B736">
        <v>2009</v>
      </c>
      <c r="C736">
        <v>1496</v>
      </c>
      <c r="D736">
        <v>735</v>
      </c>
      <c r="E736">
        <v>6900</v>
      </c>
      <c r="F736" t="s">
        <v>59</v>
      </c>
      <c r="G736">
        <v>6</v>
      </c>
      <c r="H736" t="s">
        <v>133</v>
      </c>
      <c r="I736">
        <v>10</v>
      </c>
      <c r="J736" s="54">
        <f t="shared" si="11"/>
        <v>6</v>
      </c>
    </row>
    <row r="737" spans="1:10">
      <c r="A737" s="43">
        <v>42887</v>
      </c>
      <c r="B737">
        <v>2009</v>
      </c>
      <c r="C737">
        <v>1496</v>
      </c>
      <c r="D737">
        <v>736</v>
      </c>
      <c r="E737">
        <v>6800</v>
      </c>
      <c r="F737" t="s">
        <v>59</v>
      </c>
      <c r="G737">
        <v>5</v>
      </c>
      <c r="H737" t="s">
        <v>133</v>
      </c>
      <c r="I737">
        <v>10</v>
      </c>
      <c r="J737" s="54">
        <f t="shared" si="11"/>
        <v>5</v>
      </c>
    </row>
    <row r="738" spans="1:10">
      <c r="A738" s="43">
        <v>42871</v>
      </c>
      <c r="B738">
        <v>2009</v>
      </c>
      <c r="C738">
        <v>1496</v>
      </c>
      <c r="D738">
        <v>737</v>
      </c>
      <c r="E738">
        <v>6350</v>
      </c>
      <c r="F738" t="s">
        <v>59</v>
      </c>
      <c r="G738">
        <v>70</v>
      </c>
      <c r="H738" t="s">
        <v>60</v>
      </c>
      <c r="I738">
        <v>10</v>
      </c>
      <c r="J738" s="54">
        <f t="shared" si="11"/>
        <v>2</v>
      </c>
    </row>
    <row r="739" spans="1:10">
      <c r="A739" s="43">
        <v>42853</v>
      </c>
      <c r="B739">
        <v>2009</v>
      </c>
      <c r="C739">
        <v>1496</v>
      </c>
      <c r="D739">
        <v>738</v>
      </c>
      <c r="E739">
        <v>6350</v>
      </c>
      <c r="F739" t="s">
        <v>59</v>
      </c>
      <c r="G739">
        <v>12</v>
      </c>
      <c r="H739" t="s">
        <v>133</v>
      </c>
      <c r="I739">
        <v>10</v>
      </c>
      <c r="J739" s="54">
        <f t="shared" si="11"/>
        <v>12</v>
      </c>
    </row>
    <row r="740" spans="1:10">
      <c r="A740" s="43">
        <v>42705</v>
      </c>
      <c r="B740">
        <v>2009</v>
      </c>
      <c r="C740">
        <v>1496</v>
      </c>
      <c r="D740">
        <v>739</v>
      </c>
      <c r="E740">
        <v>6250</v>
      </c>
      <c r="F740" t="s">
        <v>59</v>
      </c>
      <c r="G740">
        <v>5</v>
      </c>
      <c r="H740" t="s">
        <v>133</v>
      </c>
      <c r="I740">
        <v>10</v>
      </c>
      <c r="J740" s="54">
        <f t="shared" si="11"/>
        <v>5</v>
      </c>
    </row>
    <row r="741" spans="1:10">
      <c r="A741" s="43">
        <v>42688</v>
      </c>
      <c r="B741">
        <v>2009</v>
      </c>
      <c r="C741">
        <v>1496</v>
      </c>
      <c r="D741">
        <v>740</v>
      </c>
      <c r="E741">
        <v>6250</v>
      </c>
      <c r="F741" t="s">
        <v>59</v>
      </c>
      <c r="G741">
        <v>6</v>
      </c>
      <c r="H741" t="s">
        <v>133</v>
      </c>
      <c r="I741">
        <v>10</v>
      </c>
      <c r="J741" s="54">
        <f t="shared" si="11"/>
        <v>6</v>
      </c>
    </row>
    <row r="742" spans="1:10">
      <c r="A742" s="43">
        <v>42658</v>
      </c>
      <c r="B742">
        <v>2009</v>
      </c>
      <c r="C742">
        <v>1496</v>
      </c>
      <c r="D742">
        <v>741</v>
      </c>
      <c r="E742">
        <v>6250</v>
      </c>
      <c r="F742" t="s">
        <v>59</v>
      </c>
      <c r="G742">
        <v>6</v>
      </c>
      <c r="H742" t="s">
        <v>133</v>
      </c>
      <c r="I742">
        <v>10</v>
      </c>
      <c r="J742" s="54">
        <f t="shared" si="11"/>
        <v>6</v>
      </c>
    </row>
    <row r="743" spans="1:10">
      <c r="A743" s="43">
        <v>42612</v>
      </c>
      <c r="B743">
        <v>2010</v>
      </c>
      <c r="C743">
        <v>1496</v>
      </c>
      <c r="D743">
        <v>742</v>
      </c>
      <c r="E743">
        <v>6300</v>
      </c>
      <c r="F743" t="s">
        <v>59</v>
      </c>
      <c r="G743">
        <v>6</v>
      </c>
      <c r="H743" t="s">
        <v>133</v>
      </c>
      <c r="I743">
        <v>9</v>
      </c>
      <c r="J743" s="54">
        <f t="shared" si="11"/>
        <v>6</v>
      </c>
    </row>
    <row r="744" spans="1:10">
      <c r="A744" s="43">
        <v>42578</v>
      </c>
      <c r="B744">
        <v>2009</v>
      </c>
      <c r="C744">
        <v>1496</v>
      </c>
      <c r="D744">
        <v>743</v>
      </c>
      <c r="E744">
        <v>6300</v>
      </c>
      <c r="F744" t="s">
        <v>59</v>
      </c>
      <c r="G744">
        <v>60</v>
      </c>
      <c r="H744" t="s">
        <v>60</v>
      </c>
      <c r="I744">
        <v>10</v>
      </c>
      <c r="J744" s="54">
        <f t="shared" si="11"/>
        <v>2</v>
      </c>
    </row>
    <row r="745" spans="1:10">
      <c r="A745" s="43">
        <v>42546</v>
      </c>
      <c r="B745">
        <v>2009</v>
      </c>
      <c r="C745">
        <v>1496</v>
      </c>
      <c r="D745">
        <v>744</v>
      </c>
      <c r="E745">
        <v>6300</v>
      </c>
      <c r="F745" t="s">
        <v>59</v>
      </c>
      <c r="G745">
        <v>4</v>
      </c>
      <c r="H745" t="s">
        <v>133</v>
      </c>
      <c r="I745">
        <v>10</v>
      </c>
      <c r="J745" s="54">
        <f t="shared" si="11"/>
        <v>4</v>
      </c>
    </row>
    <row r="746" spans="1:10">
      <c r="A746" s="43">
        <v>42521</v>
      </c>
      <c r="B746">
        <v>2009</v>
      </c>
      <c r="C746">
        <v>1496</v>
      </c>
      <c r="D746">
        <v>745</v>
      </c>
      <c r="E746">
        <v>6500</v>
      </c>
      <c r="F746" t="s">
        <v>59</v>
      </c>
      <c r="G746">
        <v>12</v>
      </c>
      <c r="H746" t="s">
        <v>133</v>
      </c>
      <c r="I746">
        <v>10</v>
      </c>
      <c r="J746" s="54">
        <f t="shared" si="11"/>
        <v>12</v>
      </c>
    </row>
    <row r="747" spans="1:10">
      <c r="A747" s="43">
        <v>42502</v>
      </c>
      <c r="B747">
        <v>2009</v>
      </c>
      <c r="C747">
        <v>1496</v>
      </c>
      <c r="D747">
        <v>746</v>
      </c>
      <c r="E747">
        <v>6500</v>
      </c>
      <c r="F747" t="s">
        <v>59</v>
      </c>
      <c r="G747">
        <v>42</v>
      </c>
      <c r="H747" t="s">
        <v>60</v>
      </c>
      <c r="I747">
        <v>10</v>
      </c>
      <c r="J747" s="54">
        <f t="shared" si="11"/>
        <v>1</v>
      </c>
    </row>
    <row r="748" spans="1:10">
      <c r="A748" s="43">
        <v>42461</v>
      </c>
      <c r="B748">
        <v>2009</v>
      </c>
      <c r="C748">
        <v>1496</v>
      </c>
      <c r="D748">
        <v>747</v>
      </c>
      <c r="E748">
        <v>6400</v>
      </c>
      <c r="F748" t="s">
        <v>59</v>
      </c>
      <c r="G748">
        <v>3</v>
      </c>
      <c r="H748" t="s">
        <v>133</v>
      </c>
      <c r="I748">
        <v>10</v>
      </c>
      <c r="J748" s="54">
        <f t="shared" si="11"/>
        <v>3</v>
      </c>
    </row>
    <row r="749" spans="1:10">
      <c r="A749" s="43">
        <v>42460</v>
      </c>
      <c r="B749">
        <v>2009</v>
      </c>
      <c r="C749">
        <v>1496</v>
      </c>
      <c r="D749">
        <v>748</v>
      </c>
      <c r="E749">
        <v>6300</v>
      </c>
      <c r="F749" t="s">
        <v>59</v>
      </c>
      <c r="G749">
        <v>8</v>
      </c>
      <c r="H749" t="s">
        <v>133</v>
      </c>
      <c r="I749">
        <v>10</v>
      </c>
      <c r="J749" s="54">
        <f t="shared" si="11"/>
        <v>8</v>
      </c>
    </row>
    <row r="750" spans="1:10">
      <c r="A750" s="43">
        <v>42376</v>
      </c>
      <c r="B750">
        <v>2009</v>
      </c>
      <c r="C750">
        <v>1496</v>
      </c>
      <c r="D750">
        <v>749</v>
      </c>
      <c r="E750">
        <v>6200</v>
      </c>
      <c r="F750" t="s">
        <v>59</v>
      </c>
      <c r="G750">
        <v>6</v>
      </c>
      <c r="H750" t="s">
        <v>133</v>
      </c>
      <c r="I750">
        <v>10</v>
      </c>
      <c r="J750" s="54">
        <f t="shared" si="11"/>
        <v>6</v>
      </c>
    </row>
    <row r="751" spans="1:10">
      <c r="A751" s="43">
        <v>43509</v>
      </c>
      <c r="B751">
        <v>2006</v>
      </c>
      <c r="C751">
        <v>1530</v>
      </c>
      <c r="D751">
        <v>750</v>
      </c>
      <c r="E751">
        <v>7050</v>
      </c>
      <c r="F751" t="s">
        <v>59</v>
      </c>
      <c r="G751">
        <v>6</v>
      </c>
      <c r="H751" t="s">
        <v>133</v>
      </c>
      <c r="I751">
        <v>13</v>
      </c>
      <c r="J751" s="54">
        <f t="shared" si="11"/>
        <v>6</v>
      </c>
    </row>
    <row r="752" spans="1:10">
      <c r="A752" s="43">
        <v>43431</v>
      </c>
      <c r="B752">
        <v>2006</v>
      </c>
      <c r="C752">
        <v>1530</v>
      </c>
      <c r="D752">
        <v>751</v>
      </c>
      <c r="E752">
        <v>7350</v>
      </c>
      <c r="F752" t="s">
        <v>59</v>
      </c>
      <c r="G752">
        <v>5</v>
      </c>
      <c r="H752" t="s">
        <v>133</v>
      </c>
      <c r="I752">
        <v>13</v>
      </c>
      <c r="J752" s="54">
        <f t="shared" si="11"/>
        <v>5</v>
      </c>
    </row>
    <row r="753" spans="1:10">
      <c r="A753" s="43">
        <v>43187</v>
      </c>
      <c r="B753">
        <v>2006</v>
      </c>
      <c r="C753">
        <v>1530</v>
      </c>
      <c r="D753">
        <v>752</v>
      </c>
      <c r="E753">
        <v>10500</v>
      </c>
      <c r="F753" t="s">
        <v>59</v>
      </c>
      <c r="G753">
        <v>12</v>
      </c>
      <c r="H753" t="s">
        <v>133</v>
      </c>
      <c r="I753">
        <v>13</v>
      </c>
      <c r="J753" s="54">
        <f t="shared" si="11"/>
        <v>12</v>
      </c>
    </row>
    <row r="754" spans="1:10">
      <c r="A754" s="43">
        <v>43109</v>
      </c>
      <c r="B754">
        <v>2006</v>
      </c>
      <c r="C754">
        <v>1530</v>
      </c>
      <c r="D754">
        <v>753</v>
      </c>
      <c r="E754">
        <v>8150</v>
      </c>
      <c r="F754" t="s">
        <v>59</v>
      </c>
      <c r="G754">
        <v>4</v>
      </c>
      <c r="H754" t="s">
        <v>133</v>
      </c>
      <c r="I754">
        <v>13</v>
      </c>
      <c r="J754" s="54">
        <f t="shared" si="11"/>
        <v>4</v>
      </c>
    </row>
    <row r="755" spans="1:10">
      <c r="A755" s="43">
        <v>42598</v>
      </c>
      <c r="B755">
        <v>2006</v>
      </c>
      <c r="C755">
        <v>1530</v>
      </c>
      <c r="D755">
        <v>754</v>
      </c>
      <c r="E755">
        <v>7200</v>
      </c>
      <c r="F755" t="s">
        <v>59</v>
      </c>
      <c r="G755">
        <v>8</v>
      </c>
      <c r="H755" t="s">
        <v>133</v>
      </c>
      <c r="I755">
        <v>13</v>
      </c>
      <c r="J755" s="54">
        <f t="shared" si="11"/>
        <v>8</v>
      </c>
    </row>
    <row r="756" spans="1:10">
      <c r="A756" s="43">
        <v>42459</v>
      </c>
      <c r="B756">
        <v>2006</v>
      </c>
      <c r="C756">
        <v>1530</v>
      </c>
      <c r="D756">
        <v>755</v>
      </c>
      <c r="E756">
        <v>6400</v>
      </c>
      <c r="F756" t="s">
        <v>59</v>
      </c>
      <c r="G756">
        <v>5</v>
      </c>
      <c r="H756" t="s">
        <v>133</v>
      </c>
      <c r="I756">
        <v>13</v>
      </c>
      <c r="J756" s="54">
        <f t="shared" si="11"/>
        <v>5</v>
      </c>
    </row>
    <row r="757" spans="1:10">
      <c r="A757" s="43">
        <v>43455</v>
      </c>
      <c r="B757">
        <v>2006</v>
      </c>
      <c r="C757">
        <v>1570</v>
      </c>
      <c r="D757">
        <v>756</v>
      </c>
      <c r="E757">
        <v>7850</v>
      </c>
      <c r="F757" t="s">
        <v>59</v>
      </c>
      <c r="G757">
        <v>8</v>
      </c>
      <c r="H757" t="s">
        <v>133</v>
      </c>
      <c r="I757">
        <v>13</v>
      </c>
      <c r="J757" s="54">
        <f t="shared" si="11"/>
        <v>8</v>
      </c>
    </row>
    <row r="758" spans="1:10">
      <c r="A758" s="43">
        <v>43144</v>
      </c>
      <c r="B758">
        <v>2006</v>
      </c>
      <c r="C758">
        <v>1570</v>
      </c>
      <c r="D758">
        <v>757</v>
      </c>
      <c r="E758">
        <v>10300</v>
      </c>
      <c r="F758" t="s">
        <v>59</v>
      </c>
      <c r="G758">
        <v>12</v>
      </c>
      <c r="H758" t="s">
        <v>133</v>
      </c>
      <c r="I758">
        <v>13</v>
      </c>
      <c r="J758" s="54">
        <f t="shared" si="11"/>
        <v>12</v>
      </c>
    </row>
    <row r="759" spans="1:10">
      <c r="A759" s="43">
        <v>43012</v>
      </c>
      <c r="B759">
        <v>2006</v>
      </c>
      <c r="C759">
        <v>1570</v>
      </c>
      <c r="D759">
        <v>758</v>
      </c>
      <c r="E759">
        <v>8500</v>
      </c>
      <c r="F759" t="s">
        <v>59</v>
      </c>
      <c r="G759">
        <v>5</v>
      </c>
      <c r="H759" t="s">
        <v>133</v>
      </c>
      <c r="I759">
        <v>13</v>
      </c>
      <c r="J759" s="54">
        <f t="shared" si="11"/>
        <v>5</v>
      </c>
    </row>
    <row r="760" spans="1:10">
      <c r="A760" s="43">
        <v>42814</v>
      </c>
      <c r="B760">
        <v>2006</v>
      </c>
      <c r="C760">
        <v>1570</v>
      </c>
      <c r="D760">
        <v>759</v>
      </c>
      <c r="E760">
        <v>6900</v>
      </c>
      <c r="F760" t="s">
        <v>59</v>
      </c>
      <c r="G760">
        <v>6</v>
      </c>
      <c r="H760" t="s">
        <v>133</v>
      </c>
      <c r="I760">
        <v>13</v>
      </c>
      <c r="J760" s="54">
        <f t="shared" si="11"/>
        <v>6</v>
      </c>
    </row>
    <row r="761" spans="1:10">
      <c r="A761" s="43">
        <v>42646</v>
      </c>
      <c r="B761">
        <v>2006</v>
      </c>
      <c r="C761">
        <v>1570</v>
      </c>
      <c r="D761">
        <v>760</v>
      </c>
      <c r="E761">
        <v>7000</v>
      </c>
      <c r="F761" t="s">
        <v>59</v>
      </c>
      <c r="G761">
        <v>6</v>
      </c>
      <c r="H761" t="s">
        <v>133</v>
      </c>
      <c r="I761">
        <v>13</v>
      </c>
      <c r="J761" s="54">
        <f t="shared" si="11"/>
        <v>6</v>
      </c>
    </row>
    <row r="762" spans="1:10">
      <c r="A762" s="43">
        <v>43346</v>
      </c>
      <c r="B762">
        <v>2007</v>
      </c>
      <c r="C762">
        <v>1574</v>
      </c>
      <c r="D762">
        <v>761</v>
      </c>
      <c r="E762">
        <v>9500</v>
      </c>
      <c r="F762" t="s">
        <v>59</v>
      </c>
      <c r="G762">
        <v>12</v>
      </c>
      <c r="H762" t="s">
        <v>133</v>
      </c>
      <c r="I762">
        <v>12</v>
      </c>
      <c r="J762" s="54">
        <f t="shared" si="11"/>
        <v>12</v>
      </c>
    </row>
    <row r="763" spans="1:10">
      <c r="A763" s="43">
        <v>43238</v>
      </c>
      <c r="B763">
        <v>2007</v>
      </c>
      <c r="C763">
        <v>1574</v>
      </c>
      <c r="D763">
        <v>762</v>
      </c>
      <c r="E763">
        <v>10275</v>
      </c>
      <c r="F763" t="s">
        <v>59</v>
      </c>
      <c r="G763">
        <v>12</v>
      </c>
      <c r="H763" t="s">
        <v>133</v>
      </c>
      <c r="I763">
        <v>12</v>
      </c>
      <c r="J763" s="54">
        <f t="shared" si="11"/>
        <v>12</v>
      </c>
    </row>
    <row r="764" spans="1:10">
      <c r="A764" s="43">
        <v>43059</v>
      </c>
      <c r="B764">
        <v>2007</v>
      </c>
      <c r="C764">
        <v>1574</v>
      </c>
      <c r="D764">
        <v>763</v>
      </c>
      <c r="E764">
        <v>8250</v>
      </c>
      <c r="F764" t="s">
        <v>59</v>
      </c>
      <c r="G764">
        <v>150</v>
      </c>
      <c r="H764" t="s">
        <v>60</v>
      </c>
      <c r="I764">
        <v>12</v>
      </c>
      <c r="J764" s="54">
        <f t="shared" si="11"/>
        <v>5</v>
      </c>
    </row>
    <row r="765" spans="1:10">
      <c r="A765" s="43">
        <v>42999</v>
      </c>
      <c r="B765">
        <v>2007</v>
      </c>
      <c r="C765">
        <v>1574</v>
      </c>
      <c r="D765">
        <v>764</v>
      </c>
      <c r="E765">
        <v>7000</v>
      </c>
      <c r="F765" t="s">
        <v>59</v>
      </c>
      <c r="G765">
        <v>7</v>
      </c>
      <c r="H765" t="s">
        <v>133</v>
      </c>
      <c r="I765">
        <v>12</v>
      </c>
      <c r="J765" s="54">
        <f t="shared" si="11"/>
        <v>7</v>
      </c>
    </row>
    <row r="766" spans="1:10">
      <c r="A766" s="43">
        <v>42948</v>
      </c>
      <c r="B766">
        <v>2007</v>
      </c>
      <c r="C766">
        <v>1574</v>
      </c>
      <c r="D766">
        <v>765</v>
      </c>
      <c r="E766">
        <v>7500</v>
      </c>
      <c r="F766" t="s">
        <v>59</v>
      </c>
      <c r="G766">
        <v>12</v>
      </c>
      <c r="H766" t="s">
        <v>133</v>
      </c>
      <c r="I766">
        <v>12</v>
      </c>
      <c r="J766" s="54">
        <f t="shared" si="11"/>
        <v>12</v>
      </c>
    </row>
    <row r="767" spans="1:10">
      <c r="A767" s="43">
        <v>42941</v>
      </c>
      <c r="B767">
        <v>2007</v>
      </c>
      <c r="C767">
        <v>1574</v>
      </c>
      <c r="D767">
        <v>766</v>
      </c>
      <c r="E767">
        <v>7100</v>
      </c>
      <c r="F767" t="s">
        <v>59</v>
      </c>
      <c r="G767">
        <v>6</v>
      </c>
      <c r="H767" t="s">
        <v>133</v>
      </c>
      <c r="I767">
        <v>12</v>
      </c>
      <c r="J767" s="54">
        <f t="shared" si="11"/>
        <v>6</v>
      </c>
    </row>
    <row r="768" spans="1:10">
      <c r="A768" s="43">
        <v>42877</v>
      </c>
      <c r="B768">
        <v>2007</v>
      </c>
      <c r="C768">
        <v>1574</v>
      </c>
      <c r="D768">
        <v>767</v>
      </c>
      <c r="E768">
        <v>7600</v>
      </c>
      <c r="F768" t="s">
        <v>59</v>
      </c>
      <c r="G768">
        <v>90</v>
      </c>
      <c r="H768" t="s">
        <v>60</v>
      </c>
      <c r="I768">
        <v>12</v>
      </c>
      <c r="J768" s="54">
        <f t="shared" si="11"/>
        <v>3</v>
      </c>
    </row>
    <row r="769" spans="1:10">
      <c r="A769" s="43">
        <v>42875</v>
      </c>
      <c r="B769">
        <v>2007</v>
      </c>
      <c r="C769">
        <v>1574</v>
      </c>
      <c r="D769">
        <v>768</v>
      </c>
      <c r="E769">
        <v>6250</v>
      </c>
      <c r="F769" t="s">
        <v>59</v>
      </c>
      <c r="G769">
        <v>90</v>
      </c>
      <c r="H769" t="s">
        <v>60</v>
      </c>
      <c r="I769">
        <v>12</v>
      </c>
      <c r="J769" s="54">
        <f t="shared" si="11"/>
        <v>3</v>
      </c>
    </row>
    <row r="770" spans="1:10">
      <c r="A770" s="43">
        <v>42844</v>
      </c>
      <c r="B770">
        <v>2007</v>
      </c>
      <c r="C770">
        <v>1574</v>
      </c>
      <c r="D770">
        <v>769</v>
      </c>
      <c r="E770">
        <v>7500</v>
      </c>
      <c r="F770" t="s">
        <v>59</v>
      </c>
      <c r="G770">
        <v>45</v>
      </c>
      <c r="H770" t="s">
        <v>60</v>
      </c>
      <c r="I770">
        <v>12</v>
      </c>
      <c r="J770" s="54">
        <f t="shared" ref="J770:J833" si="12">IF(H770="days",ROUND(G770/30,0),IF(H770="years",G770*12,G770))</f>
        <v>2</v>
      </c>
    </row>
    <row r="771" spans="1:10">
      <c r="A771" s="43">
        <v>42795</v>
      </c>
      <c r="B771">
        <v>2007</v>
      </c>
      <c r="C771">
        <v>1574</v>
      </c>
      <c r="D771">
        <v>770</v>
      </c>
      <c r="E771">
        <v>6650</v>
      </c>
      <c r="F771" t="s">
        <v>59</v>
      </c>
      <c r="G771">
        <v>3</v>
      </c>
      <c r="H771" t="s">
        <v>133</v>
      </c>
      <c r="I771">
        <v>12</v>
      </c>
      <c r="J771" s="54">
        <f t="shared" si="12"/>
        <v>3</v>
      </c>
    </row>
    <row r="772" spans="1:10">
      <c r="A772" s="43">
        <v>42643</v>
      </c>
      <c r="B772">
        <v>2007</v>
      </c>
      <c r="C772">
        <v>1574</v>
      </c>
      <c r="D772">
        <v>771</v>
      </c>
      <c r="E772">
        <v>6700</v>
      </c>
      <c r="F772" t="s">
        <v>59</v>
      </c>
      <c r="G772">
        <v>6</v>
      </c>
      <c r="H772" t="s">
        <v>133</v>
      </c>
      <c r="I772">
        <v>12</v>
      </c>
      <c r="J772" s="54">
        <f t="shared" si="12"/>
        <v>6</v>
      </c>
    </row>
    <row r="773" spans="1:10">
      <c r="A773" s="43">
        <v>42608</v>
      </c>
      <c r="B773">
        <v>2007</v>
      </c>
      <c r="C773">
        <v>1574</v>
      </c>
      <c r="D773">
        <v>772</v>
      </c>
      <c r="E773">
        <v>6500</v>
      </c>
      <c r="F773" t="s">
        <v>59</v>
      </c>
      <c r="G773">
        <v>10</v>
      </c>
      <c r="H773" t="s">
        <v>133</v>
      </c>
      <c r="I773">
        <v>12</v>
      </c>
      <c r="J773" s="54">
        <f t="shared" si="12"/>
        <v>10</v>
      </c>
    </row>
    <row r="774" spans="1:10">
      <c r="A774" s="43">
        <v>42607</v>
      </c>
      <c r="B774">
        <v>2007</v>
      </c>
      <c r="C774">
        <v>1574</v>
      </c>
      <c r="D774">
        <v>773</v>
      </c>
      <c r="E774">
        <v>6250</v>
      </c>
      <c r="F774" t="s">
        <v>59</v>
      </c>
      <c r="G774">
        <v>6</v>
      </c>
      <c r="H774" t="s">
        <v>133</v>
      </c>
      <c r="I774">
        <v>12</v>
      </c>
      <c r="J774" s="54">
        <f t="shared" si="12"/>
        <v>6</v>
      </c>
    </row>
    <row r="775" spans="1:10">
      <c r="A775" s="43">
        <v>42584</v>
      </c>
      <c r="B775">
        <v>2007</v>
      </c>
      <c r="C775">
        <v>1574</v>
      </c>
      <c r="D775">
        <v>774</v>
      </c>
      <c r="E775">
        <v>7650</v>
      </c>
      <c r="F775" t="s">
        <v>59</v>
      </c>
      <c r="G775">
        <v>5</v>
      </c>
      <c r="H775" t="s">
        <v>133</v>
      </c>
      <c r="I775">
        <v>12</v>
      </c>
      <c r="J775" s="54">
        <f t="shared" si="12"/>
        <v>5</v>
      </c>
    </row>
    <row r="776" spans="1:10">
      <c r="A776" s="43">
        <v>42459</v>
      </c>
      <c r="B776">
        <v>2007</v>
      </c>
      <c r="C776">
        <v>1574</v>
      </c>
      <c r="D776">
        <v>775</v>
      </c>
      <c r="E776">
        <v>8000</v>
      </c>
      <c r="F776" t="s">
        <v>59</v>
      </c>
      <c r="G776">
        <v>6</v>
      </c>
      <c r="H776" t="s">
        <v>133</v>
      </c>
      <c r="I776">
        <v>12</v>
      </c>
      <c r="J776" s="54">
        <f t="shared" si="12"/>
        <v>6</v>
      </c>
    </row>
    <row r="777" spans="1:10">
      <c r="A777" s="43">
        <v>42411</v>
      </c>
      <c r="B777">
        <v>2007</v>
      </c>
      <c r="C777">
        <v>1574</v>
      </c>
      <c r="D777">
        <v>776</v>
      </c>
      <c r="E777">
        <v>6450</v>
      </c>
      <c r="F777" t="s">
        <v>59</v>
      </c>
      <c r="G777">
        <v>7</v>
      </c>
      <c r="H777" t="s">
        <v>133</v>
      </c>
      <c r="I777">
        <v>12</v>
      </c>
      <c r="J777" s="54">
        <f t="shared" si="12"/>
        <v>7</v>
      </c>
    </row>
    <row r="778" spans="1:10">
      <c r="A778" s="43">
        <v>43552</v>
      </c>
      <c r="B778">
        <v>2007</v>
      </c>
      <c r="C778">
        <v>1577</v>
      </c>
      <c r="D778">
        <v>777</v>
      </c>
      <c r="E778">
        <v>8000</v>
      </c>
      <c r="F778" t="s">
        <v>59</v>
      </c>
      <c r="G778">
        <v>6</v>
      </c>
      <c r="H778" t="s">
        <v>133</v>
      </c>
      <c r="I778">
        <v>12</v>
      </c>
      <c r="J778" s="54">
        <f t="shared" si="12"/>
        <v>6</v>
      </c>
    </row>
    <row r="779" spans="1:10">
      <c r="A779" s="43">
        <v>43472</v>
      </c>
      <c r="B779">
        <v>2007</v>
      </c>
      <c r="C779">
        <v>1577</v>
      </c>
      <c r="D779">
        <v>778</v>
      </c>
      <c r="E779">
        <v>7250</v>
      </c>
      <c r="F779" t="s">
        <v>59</v>
      </c>
      <c r="G779">
        <v>40</v>
      </c>
      <c r="H779" t="s">
        <v>60</v>
      </c>
      <c r="I779">
        <v>12</v>
      </c>
      <c r="J779" s="54">
        <f t="shared" si="12"/>
        <v>1</v>
      </c>
    </row>
    <row r="780" spans="1:10">
      <c r="A780" s="43">
        <v>43145</v>
      </c>
      <c r="B780">
        <v>2007</v>
      </c>
      <c r="C780">
        <v>1577</v>
      </c>
      <c r="D780">
        <v>779</v>
      </c>
      <c r="E780">
        <v>9900</v>
      </c>
      <c r="F780" t="s">
        <v>59</v>
      </c>
      <c r="G780">
        <v>10</v>
      </c>
      <c r="H780" t="s">
        <v>133</v>
      </c>
      <c r="I780">
        <v>12</v>
      </c>
      <c r="J780" s="54">
        <f t="shared" si="12"/>
        <v>10</v>
      </c>
    </row>
    <row r="781" spans="1:10">
      <c r="A781" s="43">
        <v>42908</v>
      </c>
      <c r="B781">
        <v>2007</v>
      </c>
      <c r="C781">
        <v>1577</v>
      </c>
      <c r="D781">
        <v>780</v>
      </c>
      <c r="E781">
        <v>7000</v>
      </c>
      <c r="F781" t="s">
        <v>59</v>
      </c>
      <c r="G781">
        <v>8</v>
      </c>
      <c r="H781" t="s">
        <v>133</v>
      </c>
      <c r="I781">
        <v>12</v>
      </c>
      <c r="J781" s="54">
        <f t="shared" si="12"/>
        <v>8</v>
      </c>
    </row>
    <row r="782" spans="1:10">
      <c r="A782" s="43">
        <v>42902</v>
      </c>
      <c r="B782">
        <v>2007</v>
      </c>
      <c r="C782">
        <v>1577</v>
      </c>
      <c r="D782">
        <v>781</v>
      </c>
      <c r="E782">
        <v>7100</v>
      </c>
      <c r="F782" t="s">
        <v>59</v>
      </c>
      <c r="G782">
        <v>8</v>
      </c>
      <c r="H782" t="s">
        <v>133</v>
      </c>
      <c r="I782">
        <v>12</v>
      </c>
      <c r="J782" s="54">
        <f t="shared" si="12"/>
        <v>8</v>
      </c>
    </row>
    <row r="783" spans="1:10">
      <c r="A783" s="43">
        <v>42866</v>
      </c>
      <c r="B783">
        <v>2006</v>
      </c>
      <c r="C783">
        <v>1577</v>
      </c>
      <c r="D783">
        <v>782</v>
      </c>
      <c r="E783">
        <v>7000</v>
      </c>
      <c r="F783" t="s">
        <v>59</v>
      </c>
      <c r="G783">
        <v>9</v>
      </c>
      <c r="H783" t="s">
        <v>133</v>
      </c>
      <c r="I783">
        <v>13</v>
      </c>
      <c r="J783" s="54">
        <f t="shared" si="12"/>
        <v>9</v>
      </c>
    </row>
    <row r="784" spans="1:10">
      <c r="A784" s="43">
        <v>42751</v>
      </c>
      <c r="B784">
        <v>2007</v>
      </c>
      <c r="C784">
        <v>1577</v>
      </c>
      <c r="D784">
        <v>783</v>
      </c>
      <c r="E784">
        <v>6850</v>
      </c>
      <c r="F784" t="s">
        <v>59</v>
      </c>
      <c r="G784">
        <v>6</v>
      </c>
      <c r="H784" t="s">
        <v>133</v>
      </c>
      <c r="I784">
        <v>12</v>
      </c>
      <c r="J784" s="54">
        <f t="shared" si="12"/>
        <v>6</v>
      </c>
    </row>
    <row r="785" spans="1:10">
      <c r="A785" s="43">
        <v>42688</v>
      </c>
      <c r="B785">
        <v>2007</v>
      </c>
      <c r="C785">
        <v>1577</v>
      </c>
      <c r="D785">
        <v>784</v>
      </c>
      <c r="E785">
        <v>6500</v>
      </c>
      <c r="F785" t="s">
        <v>59</v>
      </c>
      <c r="G785">
        <v>3</v>
      </c>
      <c r="H785" t="s">
        <v>133</v>
      </c>
      <c r="I785">
        <v>12</v>
      </c>
      <c r="J785" s="54">
        <f t="shared" si="12"/>
        <v>3</v>
      </c>
    </row>
    <row r="786" spans="1:10">
      <c r="A786" s="43">
        <v>42578</v>
      </c>
      <c r="B786">
        <v>2007</v>
      </c>
      <c r="C786">
        <v>1577</v>
      </c>
      <c r="D786">
        <v>785</v>
      </c>
      <c r="E786">
        <v>6400</v>
      </c>
      <c r="F786" t="s">
        <v>59</v>
      </c>
      <c r="G786">
        <v>4</v>
      </c>
      <c r="H786" t="s">
        <v>133</v>
      </c>
      <c r="I786">
        <v>12</v>
      </c>
      <c r="J786" s="54">
        <f t="shared" si="12"/>
        <v>4</v>
      </c>
    </row>
    <row r="787" spans="1:10">
      <c r="A787" s="43">
        <v>42396</v>
      </c>
      <c r="B787">
        <v>2006</v>
      </c>
      <c r="C787">
        <v>1577</v>
      </c>
      <c r="D787">
        <v>786</v>
      </c>
      <c r="E787">
        <v>6400</v>
      </c>
      <c r="F787" t="s">
        <v>59</v>
      </c>
      <c r="G787">
        <v>7</v>
      </c>
      <c r="H787" t="s">
        <v>133</v>
      </c>
      <c r="I787">
        <v>13</v>
      </c>
      <c r="J787" s="54">
        <f t="shared" si="12"/>
        <v>7</v>
      </c>
    </row>
    <row r="788" spans="1:10">
      <c r="A788" s="43">
        <v>43223</v>
      </c>
      <c r="B788">
        <v>2006</v>
      </c>
      <c r="C788">
        <v>1578</v>
      </c>
      <c r="D788">
        <v>787</v>
      </c>
      <c r="E788">
        <v>10350</v>
      </c>
      <c r="F788" t="s">
        <v>59</v>
      </c>
      <c r="G788">
        <v>6</v>
      </c>
      <c r="H788" t="s">
        <v>133</v>
      </c>
      <c r="I788">
        <v>13</v>
      </c>
      <c r="J788" s="54">
        <f t="shared" si="12"/>
        <v>6</v>
      </c>
    </row>
    <row r="789" spans="1:10">
      <c r="A789" s="43">
        <v>42795</v>
      </c>
      <c r="B789">
        <v>2006</v>
      </c>
      <c r="C789">
        <v>1578</v>
      </c>
      <c r="D789">
        <v>788</v>
      </c>
      <c r="E789">
        <v>7700</v>
      </c>
      <c r="F789" t="s">
        <v>59</v>
      </c>
      <c r="G789">
        <v>7</v>
      </c>
      <c r="H789" t="s">
        <v>133</v>
      </c>
      <c r="I789">
        <v>13</v>
      </c>
      <c r="J789" s="54">
        <f t="shared" si="12"/>
        <v>7</v>
      </c>
    </row>
    <row r="790" spans="1:10">
      <c r="A790" s="43">
        <v>42795</v>
      </c>
      <c r="B790">
        <v>2006</v>
      </c>
      <c r="C790">
        <v>1578</v>
      </c>
      <c r="D790">
        <v>789</v>
      </c>
      <c r="E790">
        <v>7700</v>
      </c>
      <c r="F790" t="s">
        <v>59</v>
      </c>
      <c r="G790">
        <v>7</v>
      </c>
      <c r="H790" t="s">
        <v>133</v>
      </c>
      <c r="I790">
        <v>13</v>
      </c>
      <c r="J790" s="54">
        <f t="shared" si="12"/>
        <v>7</v>
      </c>
    </row>
    <row r="791" spans="1:10">
      <c r="A791" s="43">
        <v>42432</v>
      </c>
      <c r="B791">
        <v>2006</v>
      </c>
      <c r="C791">
        <v>1578</v>
      </c>
      <c r="D791">
        <v>790</v>
      </c>
      <c r="E791">
        <v>8400</v>
      </c>
      <c r="F791" t="s">
        <v>59</v>
      </c>
      <c r="G791">
        <v>14</v>
      </c>
      <c r="H791" t="s">
        <v>133</v>
      </c>
      <c r="I791">
        <v>13</v>
      </c>
      <c r="J791" s="54">
        <f t="shared" si="12"/>
        <v>14</v>
      </c>
    </row>
    <row r="792" spans="1:10">
      <c r="A792" s="43">
        <v>43485</v>
      </c>
      <c r="B792">
        <v>2010</v>
      </c>
      <c r="C792">
        <v>1688</v>
      </c>
      <c r="D792">
        <v>791</v>
      </c>
      <c r="E792">
        <v>7500</v>
      </c>
      <c r="F792" t="s">
        <v>59</v>
      </c>
      <c r="G792">
        <v>6</v>
      </c>
      <c r="H792" t="s">
        <v>133</v>
      </c>
      <c r="I792">
        <v>9</v>
      </c>
      <c r="J792" s="54">
        <f t="shared" si="12"/>
        <v>6</v>
      </c>
    </row>
    <row r="793" spans="1:10">
      <c r="A793" s="43">
        <v>43368</v>
      </c>
      <c r="B793">
        <v>2010</v>
      </c>
      <c r="C793">
        <v>1688</v>
      </c>
      <c r="D793">
        <v>792</v>
      </c>
      <c r="E793">
        <v>9500</v>
      </c>
      <c r="F793" t="s">
        <v>59</v>
      </c>
      <c r="G793">
        <v>7</v>
      </c>
      <c r="H793" t="s">
        <v>133</v>
      </c>
      <c r="I793">
        <v>9</v>
      </c>
      <c r="J793" s="54">
        <f t="shared" si="12"/>
        <v>7</v>
      </c>
    </row>
    <row r="794" spans="1:10">
      <c r="A794" s="43">
        <v>43174</v>
      </c>
      <c r="B794">
        <v>2010</v>
      </c>
      <c r="C794">
        <v>1688</v>
      </c>
      <c r="D794">
        <v>793</v>
      </c>
      <c r="E794">
        <v>10650</v>
      </c>
      <c r="F794" t="s">
        <v>59</v>
      </c>
      <c r="G794">
        <v>6</v>
      </c>
      <c r="H794" t="s">
        <v>133</v>
      </c>
      <c r="I794">
        <v>9</v>
      </c>
      <c r="J794" s="54">
        <f t="shared" si="12"/>
        <v>6</v>
      </c>
    </row>
    <row r="795" spans="1:10">
      <c r="A795" s="43">
        <v>42822</v>
      </c>
      <c r="B795">
        <v>2010</v>
      </c>
      <c r="C795">
        <v>1688</v>
      </c>
      <c r="D795">
        <v>794</v>
      </c>
      <c r="E795">
        <v>6850</v>
      </c>
      <c r="F795" t="s">
        <v>59</v>
      </c>
      <c r="G795">
        <v>14</v>
      </c>
      <c r="H795" t="s">
        <v>133</v>
      </c>
      <c r="I795">
        <v>9</v>
      </c>
      <c r="J795" s="54">
        <f t="shared" si="12"/>
        <v>14</v>
      </c>
    </row>
    <row r="796" spans="1:10">
      <c r="A796" s="43">
        <v>42481</v>
      </c>
      <c r="B796">
        <v>2010</v>
      </c>
      <c r="C796">
        <v>1688</v>
      </c>
      <c r="D796">
        <v>795</v>
      </c>
      <c r="E796">
        <v>6900</v>
      </c>
      <c r="F796" t="s">
        <v>59</v>
      </c>
      <c r="G796">
        <v>7</v>
      </c>
      <c r="H796" t="s">
        <v>133</v>
      </c>
      <c r="I796">
        <v>9</v>
      </c>
      <c r="J796" s="54">
        <f t="shared" si="12"/>
        <v>7</v>
      </c>
    </row>
    <row r="797" spans="1:10">
      <c r="A797" s="43">
        <v>43636</v>
      </c>
      <c r="B797">
        <v>2007</v>
      </c>
      <c r="C797">
        <v>1700</v>
      </c>
      <c r="D797">
        <v>796</v>
      </c>
      <c r="E797">
        <v>8500</v>
      </c>
      <c r="F797" t="s">
        <v>59</v>
      </c>
      <c r="G797">
        <v>9</v>
      </c>
      <c r="H797" t="s">
        <v>133</v>
      </c>
      <c r="I797">
        <v>12</v>
      </c>
      <c r="J797" s="54">
        <f t="shared" si="12"/>
        <v>9</v>
      </c>
    </row>
    <row r="798" spans="1:10">
      <c r="A798" s="43">
        <v>43417</v>
      </c>
      <c r="B798">
        <v>2008</v>
      </c>
      <c r="C798">
        <v>1700</v>
      </c>
      <c r="D798">
        <v>797</v>
      </c>
      <c r="E798">
        <v>7950</v>
      </c>
      <c r="F798" t="s">
        <v>59</v>
      </c>
      <c r="G798">
        <v>35</v>
      </c>
      <c r="H798" t="s">
        <v>60</v>
      </c>
      <c r="I798">
        <v>11</v>
      </c>
      <c r="J798" s="54">
        <f t="shared" si="12"/>
        <v>1</v>
      </c>
    </row>
    <row r="799" spans="1:10">
      <c r="A799" s="43">
        <v>43360</v>
      </c>
      <c r="B799">
        <v>2007</v>
      </c>
      <c r="C799">
        <v>1700</v>
      </c>
      <c r="D799">
        <v>798</v>
      </c>
      <c r="E799">
        <v>9975</v>
      </c>
      <c r="F799" t="s">
        <v>59</v>
      </c>
      <c r="G799">
        <v>13</v>
      </c>
      <c r="H799" t="s">
        <v>133</v>
      </c>
      <c r="I799">
        <v>12</v>
      </c>
      <c r="J799" s="54">
        <f t="shared" si="12"/>
        <v>13</v>
      </c>
    </row>
    <row r="800" spans="1:10">
      <c r="A800" s="43">
        <v>43353</v>
      </c>
      <c r="B800">
        <v>2007</v>
      </c>
      <c r="C800">
        <v>1700</v>
      </c>
      <c r="D800">
        <v>799</v>
      </c>
      <c r="E800">
        <v>9800</v>
      </c>
      <c r="F800" t="s">
        <v>59</v>
      </c>
      <c r="G800">
        <v>12</v>
      </c>
      <c r="H800" t="s">
        <v>133</v>
      </c>
      <c r="I800">
        <v>12</v>
      </c>
      <c r="J800" s="54">
        <f t="shared" si="12"/>
        <v>12</v>
      </c>
    </row>
    <row r="801" spans="1:10">
      <c r="A801" s="43">
        <v>43327</v>
      </c>
      <c r="B801">
        <v>2008</v>
      </c>
      <c r="C801">
        <v>1700</v>
      </c>
      <c r="D801">
        <v>800</v>
      </c>
      <c r="E801">
        <v>10900</v>
      </c>
      <c r="F801" t="s">
        <v>59</v>
      </c>
      <c r="G801">
        <v>2</v>
      </c>
      <c r="H801" t="s">
        <v>133</v>
      </c>
      <c r="I801">
        <v>11</v>
      </c>
      <c r="J801" s="54">
        <f t="shared" si="12"/>
        <v>2</v>
      </c>
    </row>
    <row r="802" spans="1:10">
      <c r="A802" s="43">
        <v>43214</v>
      </c>
      <c r="B802">
        <v>2008</v>
      </c>
      <c r="C802">
        <v>1700</v>
      </c>
      <c r="D802">
        <v>801</v>
      </c>
      <c r="E802">
        <v>11100</v>
      </c>
      <c r="F802" t="s">
        <v>59</v>
      </c>
      <c r="G802">
        <v>4</v>
      </c>
      <c r="H802" t="s">
        <v>133</v>
      </c>
      <c r="I802">
        <v>11</v>
      </c>
      <c r="J802" s="54">
        <f t="shared" si="12"/>
        <v>4</v>
      </c>
    </row>
    <row r="803" spans="1:10">
      <c r="A803" s="43">
        <v>43041</v>
      </c>
      <c r="B803">
        <v>2008</v>
      </c>
      <c r="C803">
        <v>1700</v>
      </c>
      <c r="D803">
        <v>802</v>
      </c>
      <c r="E803">
        <v>9000</v>
      </c>
      <c r="F803" t="s">
        <v>59</v>
      </c>
      <c r="G803">
        <v>8</v>
      </c>
      <c r="H803" t="s">
        <v>133</v>
      </c>
      <c r="I803">
        <v>11</v>
      </c>
      <c r="J803" s="54">
        <f t="shared" si="12"/>
        <v>8</v>
      </c>
    </row>
    <row r="804" spans="1:10">
      <c r="A804" s="43">
        <v>42927</v>
      </c>
      <c r="B804">
        <v>2007</v>
      </c>
      <c r="C804">
        <v>1700</v>
      </c>
      <c r="D804">
        <v>803</v>
      </c>
      <c r="E804">
        <v>6900</v>
      </c>
      <c r="F804" t="s">
        <v>59</v>
      </c>
      <c r="G804">
        <v>13</v>
      </c>
      <c r="H804" t="s">
        <v>133</v>
      </c>
      <c r="I804">
        <v>12</v>
      </c>
      <c r="J804" s="54">
        <f t="shared" si="12"/>
        <v>13</v>
      </c>
    </row>
    <row r="805" spans="1:10">
      <c r="A805" s="43">
        <v>42853</v>
      </c>
      <c r="B805">
        <v>2008</v>
      </c>
      <c r="C805">
        <v>1700</v>
      </c>
      <c r="D805">
        <v>804</v>
      </c>
      <c r="E805">
        <v>7450</v>
      </c>
      <c r="F805" t="s">
        <v>59</v>
      </c>
      <c r="G805">
        <v>5</v>
      </c>
      <c r="H805" t="s">
        <v>133</v>
      </c>
      <c r="I805">
        <v>11</v>
      </c>
      <c r="J805" s="54">
        <f t="shared" si="12"/>
        <v>5</v>
      </c>
    </row>
    <row r="806" spans="1:10">
      <c r="A806" s="43">
        <v>42767</v>
      </c>
      <c r="B806">
        <v>2007</v>
      </c>
      <c r="C806">
        <v>1700</v>
      </c>
      <c r="D806">
        <v>805</v>
      </c>
      <c r="E806">
        <v>6500</v>
      </c>
      <c r="F806" t="s">
        <v>59</v>
      </c>
      <c r="G806">
        <v>6</v>
      </c>
      <c r="H806" t="s">
        <v>133</v>
      </c>
      <c r="I806">
        <v>12</v>
      </c>
      <c r="J806" s="54">
        <f t="shared" si="12"/>
        <v>6</v>
      </c>
    </row>
    <row r="807" spans="1:10">
      <c r="A807" s="43">
        <v>42592</v>
      </c>
      <c r="B807">
        <v>2007</v>
      </c>
      <c r="C807">
        <v>1700</v>
      </c>
      <c r="D807">
        <v>806</v>
      </c>
      <c r="E807">
        <v>6000</v>
      </c>
      <c r="F807" t="s">
        <v>59</v>
      </c>
      <c r="G807">
        <v>7</v>
      </c>
      <c r="H807" t="s">
        <v>133</v>
      </c>
      <c r="I807">
        <v>12</v>
      </c>
      <c r="J807" s="54">
        <f t="shared" si="12"/>
        <v>7</v>
      </c>
    </row>
    <row r="808" spans="1:10">
      <c r="A808" s="43">
        <v>43558</v>
      </c>
      <c r="B808">
        <v>2008</v>
      </c>
      <c r="C808">
        <v>1702</v>
      </c>
      <c r="D808">
        <v>807</v>
      </c>
      <c r="E808">
        <v>8500</v>
      </c>
      <c r="F808" t="s">
        <v>59</v>
      </c>
      <c r="G808">
        <v>12</v>
      </c>
      <c r="H808" t="s">
        <v>133</v>
      </c>
      <c r="I808">
        <v>11</v>
      </c>
      <c r="J808" s="54">
        <f t="shared" si="12"/>
        <v>12</v>
      </c>
    </row>
    <row r="809" spans="1:10">
      <c r="A809" s="43">
        <v>43553</v>
      </c>
      <c r="B809">
        <v>2008</v>
      </c>
      <c r="C809">
        <v>1702</v>
      </c>
      <c r="D809">
        <v>808</v>
      </c>
      <c r="E809">
        <v>8600</v>
      </c>
      <c r="F809" t="s">
        <v>59</v>
      </c>
      <c r="G809">
        <v>6</v>
      </c>
      <c r="H809" t="s">
        <v>133</v>
      </c>
      <c r="I809">
        <v>11</v>
      </c>
      <c r="J809" s="54">
        <f t="shared" si="12"/>
        <v>6</v>
      </c>
    </row>
    <row r="810" spans="1:10">
      <c r="A810" s="43">
        <v>43542</v>
      </c>
      <c r="B810">
        <v>2010</v>
      </c>
      <c r="C810">
        <v>1702</v>
      </c>
      <c r="D810">
        <v>809</v>
      </c>
      <c r="E810">
        <v>8100</v>
      </c>
      <c r="F810" t="s">
        <v>59</v>
      </c>
      <c r="G810">
        <v>7</v>
      </c>
      <c r="H810" t="s">
        <v>133</v>
      </c>
      <c r="I810">
        <v>9</v>
      </c>
      <c r="J810" s="54">
        <f t="shared" si="12"/>
        <v>7</v>
      </c>
    </row>
    <row r="811" spans="1:10">
      <c r="A811" s="43">
        <v>43430</v>
      </c>
      <c r="B811">
        <v>2008</v>
      </c>
      <c r="C811">
        <v>1702</v>
      </c>
      <c r="D811">
        <v>810</v>
      </c>
      <c r="E811">
        <v>7950</v>
      </c>
      <c r="F811" t="s">
        <v>59</v>
      </c>
      <c r="G811">
        <v>5</v>
      </c>
      <c r="H811" t="s">
        <v>133</v>
      </c>
      <c r="I811">
        <v>11</v>
      </c>
      <c r="J811" s="54">
        <f t="shared" si="12"/>
        <v>5</v>
      </c>
    </row>
    <row r="812" spans="1:10">
      <c r="A812" s="43">
        <v>43350</v>
      </c>
      <c r="B812">
        <v>2010</v>
      </c>
      <c r="C812">
        <v>1702</v>
      </c>
      <c r="D812">
        <v>811</v>
      </c>
      <c r="E812">
        <v>10000</v>
      </c>
      <c r="F812" t="s">
        <v>59</v>
      </c>
      <c r="G812">
        <v>6</v>
      </c>
      <c r="H812" t="s">
        <v>133</v>
      </c>
      <c r="I812">
        <v>9</v>
      </c>
      <c r="J812" s="54">
        <f t="shared" si="12"/>
        <v>6</v>
      </c>
    </row>
    <row r="813" spans="1:10">
      <c r="A813" s="43">
        <v>43332</v>
      </c>
      <c r="B813">
        <v>2008</v>
      </c>
      <c r="C813">
        <v>1702</v>
      </c>
      <c r="D813">
        <v>812</v>
      </c>
      <c r="E813">
        <v>9950</v>
      </c>
      <c r="F813" t="s">
        <v>59</v>
      </c>
      <c r="G813">
        <v>7</v>
      </c>
      <c r="H813" t="s">
        <v>133</v>
      </c>
      <c r="I813">
        <v>11</v>
      </c>
      <c r="J813" s="54">
        <f t="shared" si="12"/>
        <v>7</v>
      </c>
    </row>
    <row r="814" spans="1:10">
      <c r="A814" s="43">
        <v>43251</v>
      </c>
      <c r="B814">
        <v>2008</v>
      </c>
      <c r="C814">
        <v>1702</v>
      </c>
      <c r="D814">
        <v>813</v>
      </c>
      <c r="E814">
        <v>11450</v>
      </c>
      <c r="F814" t="s">
        <v>59</v>
      </c>
      <c r="G814">
        <v>12</v>
      </c>
      <c r="H814" t="s">
        <v>133</v>
      </c>
      <c r="I814">
        <v>11</v>
      </c>
      <c r="J814" s="54">
        <f t="shared" si="12"/>
        <v>12</v>
      </c>
    </row>
    <row r="815" spans="1:10">
      <c r="A815" s="43">
        <v>43236</v>
      </c>
      <c r="B815">
        <v>2010</v>
      </c>
      <c r="C815">
        <v>1702</v>
      </c>
      <c r="D815">
        <v>814</v>
      </c>
      <c r="E815">
        <v>11500</v>
      </c>
      <c r="F815" t="s">
        <v>59</v>
      </c>
      <c r="G815">
        <v>5</v>
      </c>
      <c r="H815" t="s">
        <v>133</v>
      </c>
      <c r="I815">
        <v>9</v>
      </c>
      <c r="J815" s="54">
        <f t="shared" si="12"/>
        <v>5</v>
      </c>
    </row>
    <row r="816" spans="1:10">
      <c r="A816" s="43">
        <v>43224</v>
      </c>
      <c r="B816">
        <v>2008</v>
      </c>
      <c r="C816">
        <v>1702</v>
      </c>
      <c r="D816">
        <v>815</v>
      </c>
      <c r="E816">
        <v>11250</v>
      </c>
      <c r="F816" t="s">
        <v>59</v>
      </c>
      <c r="G816">
        <v>6</v>
      </c>
      <c r="H816" t="s">
        <v>133</v>
      </c>
      <c r="I816">
        <v>11</v>
      </c>
      <c r="J816" s="54">
        <f t="shared" si="12"/>
        <v>6</v>
      </c>
    </row>
    <row r="817" spans="1:10">
      <c r="A817" s="43">
        <v>43161</v>
      </c>
      <c r="B817">
        <v>2008</v>
      </c>
      <c r="C817">
        <v>1702</v>
      </c>
      <c r="D817">
        <v>816</v>
      </c>
      <c r="E817">
        <v>9750</v>
      </c>
      <c r="F817" t="s">
        <v>59</v>
      </c>
      <c r="G817">
        <v>40</v>
      </c>
      <c r="H817" t="s">
        <v>60</v>
      </c>
      <c r="I817">
        <v>11</v>
      </c>
      <c r="J817" s="54">
        <f t="shared" si="12"/>
        <v>1</v>
      </c>
    </row>
    <row r="818" spans="1:10">
      <c r="A818" s="43">
        <v>43063</v>
      </c>
      <c r="B818">
        <v>2010</v>
      </c>
      <c r="C818">
        <v>1702</v>
      </c>
      <c r="D818">
        <v>817</v>
      </c>
      <c r="E818">
        <v>8350</v>
      </c>
      <c r="F818" t="s">
        <v>59</v>
      </c>
      <c r="G818">
        <v>3</v>
      </c>
      <c r="H818" t="s">
        <v>133</v>
      </c>
      <c r="I818">
        <v>9</v>
      </c>
      <c r="J818" s="54">
        <f t="shared" si="12"/>
        <v>3</v>
      </c>
    </row>
    <row r="819" spans="1:10">
      <c r="A819" s="43">
        <v>43040</v>
      </c>
      <c r="B819">
        <v>2008</v>
      </c>
      <c r="C819">
        <v>1702</v>
      </c>
      <c r="D819">
        <v>818</v>
      </c>
      <c r="E819">
        <v>8000</v>
      </c>
      <c r="F819" t="s">
        <v>59</v>
      </c>
      <c r="G819">
        <v>6</v>
      </c>
      <c r="H819" t="s">
        <v>133</v>
      </c>
      <c r="I819">
        <v>11</v>
      </c>
      <c r="J819" s="54">
        <f t="shared" si="12"/>
        <v>6</v>
      </c>
    </row>
    <row r="820" spans="1:10">
      <c r="A820" s="43">
        <v>42984</v>
      </c>
      <c r="B820">
        <v>2010</v>
      </c>
      <c r="C820">
        <v>1702</v>
      </c>
      <c r="D820">
        <v>819</v>
      </c>
      <c r="E820">
        <v>8000</v>
      </c>
      <c r="F820" t="s">
        <v>59</v>
      </c>
      <c r="G820">
        <v>3</v>
      </c>
      <c r="H820" t="s">
        <v>133</v>
      </c>
      <c r="I820">
        <v>9</v>
      </c>
      <c r="J820" s="54">
        <f t="shared" si="12"/>
        <v>3</v>
      </c>
    </row>
    <row r="821" spans="1:10">
      <c r="A821" s="43">
        <v>42977</v>
      </c>
      <c r="B821">
        <v>2008</v>
      </c>
      <c r="C821">
        <v>1702</v>
      </c>
      <c r="D821">
        <v>820</v>
      </c>
      <c r="E821">
        <v>7900</v>
      </c>
      <c r="F821" t="s">
        <v>59</v>
      </c>
      <c r="G821">
        <v>6</v>
      </c>
      <c r="H821" t="s">
        <v>133</v>
      </c>
      <c r="I821">
        <v>11</v>
      </c>
      <c r="J821" s="54">
        <f t="shared" si="12"/>
        <v>6</v>
      </c>
    </row>
    <row r="822" spans="1:10">
      <c r="A822" s="43">
        <v>42873</v>
      </c>
      <c r="B822">
        <v>2010</v>
      </c>
      <c r="C822">
        <v>1702</v>
      </c>
      <c r="D822">
        <v>821</v>
      </c>
      <c r="E822">
        <v>7450</v>
      </c>
      <c r="F822" t="s">
        <v>59</v>
      </c>
      <c r="G822">
        <v>5</v>
      </c>
      <c r="H822" t="s">
        <v>133</v>
      </c>
      <c r="I822">
        <v>9</v>
      </c>
      <c r="J822" s="54">
        <f t="shared" si="12"/>
        <v>5</v>
      </c>
    </row>
    <row r="823" spans="1:10">
      <c r="A823" s="43">
        <v>42872</v>
      </c>
      <c r="B823">
        <v>2008</v>
      </c>
      <c r="C823">
        <v>1702</v>
      </c>
      <c r="D823">
        <v>822</v>
      </c>
      <c r="E823">
        <v>7900</v>
      </c>
      <c r="F823" t="s">
        <v>59</v>
      </c>
      <c r="G823">
        <v>6</v>
      </c>
      <c r="H823" t="s">
        <v>133</v>
      </c>
      <c r="I823">
        <v>11</v>
      </c>
      <c r="J823" s="54">
        <f t="shared" si="12"/>
        <v>6</v>
      </c>
    </row>
    <row r="824" spans="1:10">
      <c r="A824" s="43">
        <v>42800</v>
      </c>
      <c r="B824">
        <v>2008</v>
      </c>
      <c r="C824">
        <v>1702</v>
      </c>
      <c r="D824">
        <v>823</v>
      </c>
      <c r="E824">
        <v>6800</v>
      </c>
      <c r="F824" t="s">
        <v>59</v>
      </c>
      <c r="G824">
        <v>2</v>
      </c>
      <c r="H824" t="s">
        <v>133</v>
      </c>
      <c r="I824">
        <v>11</v>
      </c>
      <c r="J824" s="54">
        <f t="shared" si="12"/>
        <v>2</v>
      </c>
    </row>
    <row r="825" spans="1:10">
      <c r="A825" s="43">
        <v>42758</v>
      </c>
      <c r="B825">
        <v>2010</v>
      </c>
      <c r="C825">
        <v>1702</v>
      </c>
      <c r="D825">
        <v>824</v>
      </c>
      <c r="E825">
        <v>6500</v>
      </c>
      <c r="F825" t="s">
        <v>59</v>
      </c>
      <c r="G825">
        <v>5</v>
      </c>
      <c r="H825" t="s">
        <v>133</v>
      </c>
      <c r="I825">
        <v>9</v>
      </c>
      <c r="J825" s="54">
        <f t="shared" si="12"/>
        <v>5</v>
      </c>
    </row>
    <row r="826" spans="1:10">
      <c r="A826" s="43">
        <v>42699</v>
      </c>
      <c r="B826">
        <v>2008</v>
      </c>
      <c r="C826">
        <v>1702</v>
      </c>
      <c r="D826">
        <v>825</v>
      </c>
      <c r="E826">
        <v>6750</v>
      </c>
      <c r="F826" t="s">
        <v>59</v>
      </c>
      <c r="G826">
        <v>10</v>
      </c>
      <c r="H826" t="s">
        <v>133</v>
      </c>
      <c r="I826">
        <v>11</v>
      </c>
      <c r="J826" s="54">
        <f t="shared" si="12"/>
        <v>10</v>
      </c>
    </row>
    <row r="827" spans="1:10">
      <c r="A827" s="43">
        <v>42643</v>
      </c>
      <c r="B827">
        <v>2010</v>
      </c>
      <c r="C827">
        <v>1702</v>
      </c>
      <c r="D827">
        <v>826</v>
      </c>
      <c r="E827">
        <v>6750</v>
      </c>
      <c r="F827" t="s">
        <v>59</v>
      </c>
      <c r="G827">
        <v>6</v>
      </c>
      <c r="H827" t="s">
        <v>133</v>
      </c>
      <c r="I827">
        <v>9</v>
      </c>
      <c r="J827" s="54">
        <f t="shared" si="12"/>
        <v>6</v>
      </c>
    </row>
    <row r="828" spans="1:10">
      <c r="A828" s="43">
        <v>42614</v>
      </c>
      <c r="B828">
        <v>2008</v>
      </c>
      <c r="C828">
        <v>1702</v>
      </c>
      <c r="D828">
        <v>827</v>
      </c>
      <c r="E828">
        <v>7000</v>
      </c>
      <c r="F828" t="s">
        <v>59</v>
      </c>
      <c r="G828">
        <v>7</v>
      </c>
      <c r="H828" t="s">
        <v>133</v>
      </c>
      <c r="I828">
        <v>11</v>
      </c>
      <c r="J828" s="54">
        <f t="shared" si="12"/>
        <v>7</v>
      </c>
    </row>
    <row r="829" spans="1:10">
      <c r="A829" s="43">
        <v>42583</v>
      </c>
      <c r="B829">
        <v>2008</v>
      </c>
      <c r="C829">
        <v>1702</v>
      </c>
      <c r="D829">
        <v>828</v>
      </c>
      <c r="E829">
        <v>7100</v>
      </c>
      <c r="F829" t="s">
        <v>59</v>
      </c>
      <c r="G829">
        <v>9</v>
      </c>
      <c r="H829" t="s">
        <v>133</v>
      </c>
      <c r="I829">
        <v>11</v>
      </c>
      <c r="J829" s="54">
        <f t="shared" si="12"/>
        <v>9</v>
      </c>
    </row>
    <row r="830" spans="1:10">
      <c r="A830" s="43">
        <v>42486</v>
      </c>
      <c r="B830">
        <v>2008</v>
      </c>
      <c r="C830">
        <v>1702</v>
      </c>
      <c r="D830">
        <v>829</v>
      </c>
      <c r="E830">
        <v>8000</v>
      </c>
      <c r="F830" t="s">
        <v>59</v>
      </c>
      <c r="G830">
        <v>6</v>
      </c>
      <c r="H830" t="s">
        <v>133</v>
      </c>
      <c r="I830">
        <v>11</v>
      </c>
      <c r="J830" s="54">
        <f t="shared" si="12"/>
        <v>6</v>
      </c>
    </row>
    <row r="831" spans="1:10">
      <c r="A831" s="43">
        <v>42481</v>
      </c>
      <c r="B831">
        <v>2010</v>
      </c>
      <c r="C831">
        <v>1702</v>
      </c>
      <c r="D831">
        <v>830</v>
      </c>
      <c r="E831">
        <v>7150</v>
      </c>
      <c r="F831" t="s">
        <v>59</v>
      </c>
      <c r="G831">
        <v>7</v>
      </c>
      <c r="H831" t="s">
        <v>133</v>
      </c>
      <c r="I831">
        <v>9</v>
      </c>
      <c r="J831" s="54">
        <f t="shared" si="12"/>
        <v>7</v>
      </c>
    </row>
    <row r="832" spans="1:10">
      <c r="A832" s="43">
        <v>42438</v>
      </c>
      <c r="B832">
        <v>2008</v>
      </c>
      <c r="C832">
        <v>1702</v>
      </c>
      <c r="D832">
        <v>831</v>
      </c>
      <c r="E832">
        <v>7300</v>
      </c>
      <c r="F832" t="s">
        <v>59</v>
      </c>
      <c r="G832">
        <v>6</v>
      </c>
      <c r="H832" t="s">
        <v>133</v>
      </c>
      <c r="I832">
        <v>11</v>
      </c>
      <c r="J832" s="54">
        <f t="shared" si="12"/>
        <v>6</v>
      </c>
    </row>
    <row r="833" spans="1:10">
      <c r="A833" s="43">
        <v>42425</v>
      </c>
      <c r="B833">
        <v>2008</v>
      </c>
      <c r="C833">
        <v>1702</v>
      </c>
      <c r="D833">
        <v>832</v>
      </c>
      <c r="E833">
        <v>7200</v>
      </c>
      <c r="F833" t="s">
        <v>59</v>
      </c>
      <c r="G833">
        <v>9</v>
      </c>
      <c r="H833" t="s">
        <v>133</v>
      </c>
      <c r="I833">
        <v>11</v>
      </c>
      <c r="J833" s="54">
        <f t="shared" si="12"/>
        <v>9</v>
      </c>
    </row>
    <row r="834" spans="1:10">
      <c r="A834" s="43">
        <v>43607</v>
      </c>
      <c r="B834">
        <v>2007</v>
      </c>
      <c r="C834">
        <v>1706</v>
      </c>
      <c r="D834">
        <v>833</v>
      </c>
      <c r="E834">
        <v>9400</v>
      </c>
      <c r="F834" t="s">
        <v>59</v>
      </c>
      <c r="G834">
        <v>12</v>
      </c>
      <c r="H834" t="s">
        <v>133</v>
      </c>
      <c r="I834">
        <v>12</v>
      </c>
      <c r="J834" s="54">
        <f t="shared" ref="J834:J897" si="13">IF(H834="days",ROUND(G834/30,0),IF(H834="years",G834*12,G834))</f>
        <v>12</v>
      </c>
    </row>
    <row r="835" spans="1:10">
      <c r="A835" s="43">
        <v>43497</v>
      </c>
      <c r="B835">
        <v>2007</v>
      </c>
      <c r="C835">
        <v>1706</v>
      </c>
      <c r="D835">
        <v>834</v>
      </c>
      <c r="E835">
        <v>7000</v>
      </c>
      <c r="F835" t="s">
        <v>59</v>
      </c>
      <c r="G835">
        <v>6</v>
      </c>
      <c r="H835" t="s">
        <v>133</v>
      </c>
      <c r="I835">
        <v>12</v>
      </c>
      <c r="J835" s="54">
        <f t="shared" si="13"/>
        <v>6</v>
      </c>
    </row>
    <row r="836" spans="1:10">
      <c r="A836" s="43">
        <v>43488</v>
      </c>
      <c r="B836">
        <v>2007</v>
      </c>
      <c r="C836">
        <v>1706</v>
      </c>
      <c r="D836">
        <v>835</v>
      </c>
      <c r="E836">
        <v>8300</v>
      </c>
      <c r="F836" t="s">
        <v>59</v>
      </c>
      <c r="G836">
        <v>3</v>
      </c>
      <c r="H836" t="s">
        <v>133</v>
      </c>
      <c r="I836">
        <v>12</v>
      </c>
      <c r="J836" s="54">
        <f t="shared" si="13"/>
        <v>3</v>
      </c>
    </row>
    <row r="837" spans="1:10">
      <c r="A837" s="43">
        <v>43486</v>
      </c>
      <c r="B837">
        <v>2008</v>
      </c>
      <c r="C837">
        <v>1706</v>
      </c>
      <c r="D837">
        <v>836</v>
      </c>
      <c r="E837">
        <v>7500</v>
      </c>
      <c r="F837" t="s">
        <v>59</v>
      </c>
      <c r="G837">
        <v>6</v>
      </c>
      <c r="H837" t="s">
        <v>133</v>
      </c>
      <c r="I837">
        <v>11</v>
      </c>
      <c r="J837" s="54">
        <f t="shared" si="13"/>
        <v>6</v>
      </c>
    </row>
    <row r="838" spans="1:10">
      <c r="A838" s="43">
        <v>43414</v>
      </c>
      <c r="B838">
        <v>2006</v>
      </c>
      <c r="C838">
        <v>1706</v>
      </c>
      <c r="D838">
        <v>837</v>
      </c>
      <c r="E838">
        <v>7100</v>
      </c>
      <c r="F838" t="s">
        <v>59</v>
      </c>
      <c r="G838">
        <v>12</v>
      </c>
      <c r="H838" t="s">
        <v>133</v>
      </c>
      <c r="I838">
        <v>13</v>
      </c>
      <c r="J838" s="54">
        <f t="shared" si="13"/>
        <v>12</v>
      </c>
    </row>
    <row r="839" spans="1:10">
      <c r="A839" s="43">
        <v>43395</v>
      </c>
      <c r="B839">
        <v>2007</v>
      </c>
      <c r="C839">
        <v>1706</v>
      </c>
      <c r="D839">
        <v>838</v>
      </c>
      <c r="E839">
        <v>8700</v>
      </c>
      <c r="F839" t="s">
        <v>59</v>
      </c>
      <c r="G839">
        <v>5</v>
      </c>
      <c r="H839" t="s">
        <v>133</v>
      </c>
      <c r="I839">
        <v>12</v>
      </c>
      <c r="J839" s="54">
        <f t="shared" si="13"/>
        <v>5</v>
      </c>
    </row>
    <row r="840" spans="1:10">
      <c r="A840" s="43">
        <v>43395</v>
      </c>
      <c r="B840">
        <v>2008</v>
      </c>
      <c r="C840">
        <v>1706</v>
      </c>
      <c r="D840">
        <v>839</v>
      </c>
      <c r="E840">
        <v>8000</v>
      </c>
      <c r="F840" t="s">
        <v>59</v>
      </c>
      <c r="G840">
        <v>6</v>
      </c>
      <c r="H840" t="s">
        <v>133</v>
      </c>
      <c r="I840">
        <v>11</v>
      </c>
      <c r="J840" s="54">
        <f t="shared" si="13"/>
        <v>6</v>
      </c>
    </row>
    <row r="841" spans="1:10">
      <c r="A841" s="43">
        <v>43388</v>
      </c>
      <c r="B841">
        <v>2007</v>
      </c>
      <c r="C841">
        <v>1706</v>
      </c>
      <c r="D841">
        <v>840</v>
      </c>
      <c r="E841">
        <v>8000</v>
      </c>
      <c r="F841" t="s">
        <v>59</v>
      </c>
      <c r="G841">
        <v>5</v>
      </c>
      <c r="H841" t="s">
        <v>133</v>
      </c>
      <c r="I841">
        <v>12</v>
      </c>
      <c r="J841" s="54">
        <f t="shared" si="13"/>
        <v>5</v>
      </c>
    </row>
    <row r="842" spans="1:10">
      <c r="A842" s="43">
        <v>43346</v>
      </c>
      <c r="B842">
        <v>2008</v>
      </c>
      <c r="C842">
        <v>1706</v>
      </c>
      <c r="D842">
        <v>841</v>
      </c>
      <c r="E842">
        <v>9950</v>
      </c>
      <c r="F842" t="s">
        <v>59</v>
      </c>
      <c r="G842">
        <v>5</v>
      </c>
      <c r="H842" t="s">
        <v>133</v>
      </c>
      <c r="I842">
        <v>11</v>
      </c>
      <c r="J842" s="54">
        <f t="shared" si="13"/>
        <v>5</v>
      </c>
    </row>
    <row r="843" spans="1:10">
      <c r="A843" s="43">
        <v>43283</v>
      </c>
      <c r="B843">
        <v>2007</v>
      </c>
      <c r="C843">
        <v>1706</v>
      </c>
      <c r="D843">
        <v>842</v>
      </c>
      <c r="E843">
        <v>11100</v>
      </c>
      <c r="F843" t="s">
        <v>59</v>
      </c>
      <c r="G843">
        <v>2</v>
      </c>
      <c r="H843" t="s">
        <v>133</v>
      </c>
      <c r="I843">
        <v>12</v>
      </c>
      <c r="J843" s="54">
        <f t="shared" si="13"/>
        <v>2</v>
      </c>
    </row>
    <row r="844" spans="1:10">
      <c r="A844" s="43">
        <v>43206</v>
      </c>
      <c r="B844">
        <v>2008</v>
      </c>
      <c r="C844">
        <v>1706</v>
      </c>
      <c r="D844">
        <v>843</v>
      </c>
      <c r="E844">
        <v>10800</v>
      </c>
      <c r="F844" t="s">
        <v>59</v>
      </c>
      <c r="G844">
        <v>13</v>
      </c>
      <c r="H844" t="s">
        <v>133</v>
      </c>
      <c r="I844">
        <v>11</v>
      </c>
      <c r="J844" s="54">
        <f t="shared" si="13"/>
        <v>13</v>
      </c>
    </row>
    <row r="845" spans="1:10">
      <c r="A845" s="43">
        <v>43136</v>
      </c>
      <c r="B845">
        <v>2008</v>
      </c>
      <c r="C845">
        <v>1706</v>
      </c>
      <c r="D845">
        <v>844</v>
      </c>
      <c r="E845">
        <v>7600</v>
      </c>
      <c r="F845" t="s">
        <v>59</v>
      </c>
      <c r="G845">
        <v>7</v>
      </c>
      <c r="H845" t="s">
        <v>133</v>
      </c>
      <c r="I845">
        <v>11</v>
      </c>
      <c r="J845" s="54">
        <f t="shared" si="13"/>
        <v>7</v>
      </c>
    </row>
    <row r="846" spans="1:10">
      <c r="A846" s="43">
        <v>43084</v>
      </c>
      <c r="B846">
        <v>2007</v>
      </c>
      <c r="C846">
        <v>1706</v>
      </c>
      <c r="D846">
        <v>845</v>
      </c>
      <c r="E846">
        <v>8500</v>
      </c>
      <c r="F846" t="s">
        <v>59</v>
      </c>
      <c r="G846">
        <v>9</v>
      </c>
      <c r="H846" t="s">
        <v>133</v>
      </c>
      <c r="I846">
        <v>12</v>
      </c>
      <c r="J846" s="54">
        <f t="shared" si="13"/>
        <v>9</v>
      </c>
    </row>
    <row r="847" spans="1:10">
      <c r="A847" s="43">
        <v>43028</v>
      </c>
      <c r="B847">
        <v>2006</v>
      </c>
      <c r="C847">
        <v>1706</v>
      </c>
      <c r="D847">
        <v>846</v>
      </c>
      <c r="E847">
        <v>7900</v>
      </c>
      <c r="F847" t="s">
        <v>59</v>
      </c>
      <c r="G847">
        <v>6</v>
      </c>
      <c r="H847" t="s">
        <v>133</v>
      </c>
      <c r="I847">
        <v>13</v>
      </c>
      <c r="J847" s="54">
        <f t="shared" si="13"/>
        <v>6</v>
      </c>
    </row>
    <row r="848" spans="1:10">
      <c r="A848" s="43">
        <v>43020</v>
      </c>
      <c r="B848">
        <v>2008</v>
      </c>
      <c r="C848">
        <v>1706</v>
      </c>
      <c r="D848">
        <v>847</v>
      </c>
      <c r="E848">
        <v>7500</v>
      </c>
      <c r="F848" t="s">
        <v>59</v>
      </c>
      <c r="G848">
        <v>6</v>
      </c>
      <c r="H848" t="s">
        <v>133</v>
      </c>
      <c r="I848">
        <v>11</v>
      </c>
      <c r="J848" s="54">
        <f t="shared" si="13"/>
        <v>6</v>
      </c>
    </row>
    <row r="849" spans="1:10">
      <c r="A849" s="43">
        <v>42948</v>
      </c>
      <c r="B849">
        <v>2008</v>
      </c>
      <c r="C849">
        <v>1706</v>
      </c>
      <c r="D849">
        <v>848</v>
      </c>
      <c r="E849">
        <v>7700</v>
      </c>
      <c r="F849" t="s">
        <v>59</v>
      </c>
      <c r="G849">
        <v>5</v>
      </c>
      <c r="H849" t="s">
        <v>133</v>
      </c>
      <c r="I849">
        <v>11</v>
      </c>
      <c r="J849" s="54">
        <f t="shared" si="13"/>
        <v>5</v>
      </c>
    </row>
    <row r="850" spans="1:10">
      <c r="A850" s="43">
        <v>42948</v>
      </c>
      <c r="B850">
        <v>2007</v>
      </c>
      <c r="C850">
        <v>1706</v>
      </c>
      <c r="D850">
        <v>849</v>
      </c>
      <c r="E850">
        <v>7000</v>
      </c>
      <c r="F850" t="s">
        <v>59</v>
      </c>
      <c r="G850">
        <v>3</v>
      </c>
      <c r="H850" t="s">
        <v>133</v>
      </c>
      <c r="I850">
        <v>12</v>
      </c>
      <c r="J850" s="54">
        <f t="shared" si="13"/>
        <v>3</v>
      </c>
    </row>
    <row r="851" spans="1:10">
      <c r="A851" s="43">
        <v>42926</v>
      </c>
      <c r="B851">
        <v>2007</v>
      </c>
      <c r="C851">
        <v>1706</v>
      </c>
      <c r="D851">
        <v>850</v>
      </c>
      <c r="E851">
        <v>8000</v>
      </c>
      <c r="F851" t="s">
        <v>59</v>
      </c>
      <c r="G851">
        <v>4</v>
      </c>
      <c r="H851" t="s">
        <v>133</v>
      </c>
      <c r="I851">
        <v>12</v>
      </c>
      <c r="J851" s="54">
        <f t="shared" si="13"/>
        <v>4</v>
      </c>
    </row>
    <row r="852" spans="1:10">
      <c r="A852" s="43">
        <v>42860</v>
      </c>
      <c r="B852">
        <v>2006</v>
      </c>
      <c r="C852">
        <v>1706</v>
      </c>
      <c r="D852">
        <v>851</v>
      </c>
      <c r="E852">
        <v>7950</v>
      </c>
      <c r="F852" t="s">
        <v>59</v>
      </c>
      <c r="G852">
        <v>6</v>
      </c>
      <c r="H852" t="s">
        <v>133</v>
      </c>
      <c r="I852">
        <v>13</v>
      </c>
      <c r="J852" s="54">
        <f t="shared" si="13"/>
        <v>6</v>
      </c>
    </row>
    <row r="853" spans="1:10">
      <c r="A853" s="43">
        <v>42824</v>
      </c>
      <c r="B853">
        <v>2008</v>
      </c>
      <c r="C853">
        <v>1706</v>
      </c>
      <c r="D853">
        <v>852</v>
      </c>
      <c r="E853">
        <v>7100</v>
      </c>
      <c r="F853" t="s">
        <v>59</v>
      </c>
      <c r="G853">
        <v>7</v>
      </c>
      <c r="H853" t="s">
        <v>133</v>
      </c>
      <c r="I853">
        <v>11</v>
      </c>
      <c r="J853" s="54">
        <f t="shared" si="13"/>
        <v>7</v>
      </c>
    </row>
    <row r="854" spans="1:10">
      <c r="A854" s="43">
        <v>42793</v>
      </c>
      <c r="B854">
        <v>2008</v>
      </c>
      <c r="C854">
        <v>1706</v>
      </c>
      <c r="D854">
        <v>853</v>
      </c>
      <c r="E854">
        <v>6400</v>
      </c>
      <c r="F854" t="s">
        <v>59</v>
      </c>
      <c r="G854">
        <v>7</v>
      </c>
      <c r="H854" t="s">
        <v>133</v>
      </c>
      <c r="I854">
        <v>11</v>
      </c>
      <c r="J854" s="54">
        <f t="shared" si="13"/>
        <v>7</v>
      </c>
    </row>
    <row r="855" spans="1:10">
      <c r="A855" s="43">
        <v>42789</v>
      </c>
      <c r="B855">
        <v>2008</v>
      </c>
      <c r="C855">
        <v>1706</v>
      </c>
      <c r="D855">
        <v>854</v>
      </c>
      <c r="E855">
        <v>6700</v>
      </c>
      <c r="F855" t="s">
        <v>59</v>
      </c>
      <c r="G855">
        <v>6</v>
      </c>
      <c r="H855" t="s">
        <v>133</v>
      </c>
      <c r="I855">
        <v>11</v>
      </c>
      <c r="J855" s="54">
        <f t="shared" si="13"/>
        <v>6</v>
      </c>
    </row>
    <row r="856" spans="1:10">
      <c r="A856" s="43">
        <v>42740</v>
      </c>
      <c r="B856">
        <v>2007</v>
      </c>
      <c r="C856">
        <v>1706</v>
      </c>
      <c r="D856">
        <v>855</v>
      </c>
      <c r="E856">
        <v>6000</v>
      </c>
      <c r="F856" t="s">
        <v>59</v>
      </c>
      <c r="G856">
        <v>6</v>
      </c>
      <c r="H856" t="s">
        <v>133</v>
      </c>
      <c r="I856">
        <v>12</v>
      </c>
      <c r="J856" s="54">
        <f t="shared" si="13"/>
        <v>6</v>
      </c>
    </row>
    <row r="857" spans="1:10">
      <c r="A857" s="43">
        <v>42710</v>
      </c>
      <c r="B857">
        <v>2008</v>
      </c>
      <c r="C857">
        <v>1706</v>
      </c>
      <c r="D857">
        <v>856</v>
      </c>
      <c r="E857">
        <v>6650</v>
      </c>
      <c r="F857" t="s">
        <v>59</v>
      </c>
      <c r="G857">
        <v>12</v>
      </c>
      <c r="H857" t="s">
        <v>133</v>
      </c>
      <c r="I857">
        <v>11</v>
      </c>
      <c r="J857" s="54">
        <f t="shared" si="13"/>
        <v>12</v>
      </c>
    </row>
    <row r="858" spans="1:10">
      <c r="A858" s="43">
        <v>42689</v>
      </c>
      <c r="B858">
        <v>2006</v>
      </c>
      <c r="C858">
        <v>1706</v>
      </c>
      <c r="D858">
        <v>857</v>
      </c>
      <c r="E858">
        <v>6900</v>
      </c>
      <c r="F858" t="s">
        <v>59</v>
      </c>
      <c r="G858">
        <v>6</v>
      </c>
      <c r="H858" t="s">
        <v>133</v>
      </c>
      <c r="I858">
        <v>13</v>
      </c>
      <c r="J858" s="54">
        <f t="shared" si="13"/>
        <v>6</v>
      </c>
    </row>
    <row r="859" spans="1:10">
      <c r="A859" s="43">
        <v>42670</v>
      </c>
      <c r="B859">
        <v>2007</v>
      </c>
      <c r="C859">
        <v>1706</v>
      </c>
      <c r="D859">
        <v>858</v>
      </c>
      <c r="E859">
        <v>6950</v>
      </c>
      <c r="F859" t="s">
        <v>59</v>
      </c>
      <c r="G859">
        <v>7</v>
      </c>
      <c r="H859" t="s">
        <v>133</v>
      </c>
      <c r="I859">
        <v>12</v>
      </c>
      <c r="J859" s="54">
        <f t="shared" si="13"/>
        <v>7</v>
      </c>
    </row>
    <row r="860" spans="1:10">
      <c r="A860" s="43">
        <v>42620</v>
      </c>
      <c r="B860">
        <v>2007</v>
      </c>
      <c r="C860">
        <v>1706</v>
      </c>
      <c r="D860">
        <v>859</v>
      </c>
      <c r="E860">
        <v>6950</v>
      </c>
      <c r="F860" t="s">
        <v>59</v>
      </c>
      <c r="G860">
        <v>5</v>
      </c>
      <c r="H860" t="s">
        <v>133</v>
      </c>
      <c r="I860">
        <v>12</v>
      </c>
      <c r="J860" s="54">
        <f t="shared" si="13"/>
        <v>5</v>
      </c>
    </row>
    <row r="861" spans="1:10">
      <c r="A861" s="43">
        <v>42613</v>
      </c>
      <c r="B861">
        <v>2008</v>
      </c>
      <c r="C861">
        <v>1706</v>
      </c>
      <c r="D861">
        <v>860</v>
      </c>
      <c r="E861">
        <v>6750</v>
      </c>
      <c r="F861" t="s">
        <v>59</v>
      </c>
      <c r="G861">
        <v>7</v>
      </c>
      <c r="H861" t="s">
        <v>133</v>
      </c>
      <c r="I861">
        <v>11</v>
      </c>
      <c r="J861" s="54">
        <f t="shared" si="13"/>
        <v>7</v>
      </c>
    </row>
    <row r="862" spans="1:10">
      <c r="A862" s="43">
        <v>42510</v>
      </c>
      <c r="B862">
        <v>2008</v>
      </c>
      <c r="C862">
        <v>1706</v>
      </c>
      <c r="D862">
        <v>861</v>
      </c>
      <c r="E862">
        <v>7000</v>
      </c>
      <c r="F862" t="s">
        <v>59</v>
      </c>
      <c r="G862">
        <v>5</v>
      </c>
      <c r="H862" t="s">
        <v>133</v>
      </c>
      <c r="I862">
        <v>11</v>
      </c>
      <c r="J862" s="54">
        <f t="shared" si="13"/>
        <v>5</v>
      </c>
    </row>
    <row r="863" spans="1:10">
      <c r="A863" s="43">
        <v>42489</v>
      </c>
      <c r="B863">
        <v>2008</v>
      </c>
      <c r="C863">
        <v>1706</v>
      </c>
      <c r="D863">
        <v>862</v>
      </c>
      <c r="E863">
        <v>8500</v>
      </c>
      <c r="F863" t="s">
        <v>59</v>
      </c>
      <c r="G863">
        <v>9</v>
      </c>
      <c r="H863" t="s">
        <v>133</v>
      </c>
      <c r="I863">
        <v>11</v>
      </c>
      <c r="J863" s="54">
        <f t="shared" si="13"/>
        <v>9</v>
      </c>
    </row>
    <row r="864" spans="1:10">
      <c r="A864" s="43">
        <v>42488</v>
      </c>
      <c r="B864">
        <v>2008</v>
      </c>
      <c r="C864">
        <v>1706</v>
      </c>
      <c r="D864">
        <v>863</v>
      </c>
      <c r="E864">
        <v>8500</v>
      </c>
      <c r="F864" t="s">
        <v>59</v>
      </c>
      <c r="G864">
        <v>9</v>
      </c>
      <c r="H864" t="s">
        <v>133</v>
      </c>
      <c r="I864">
        <v>11</v>
      </c>
      <c r="J864" s="54">
        <f t="shared" si="13"/>
        <v>9</v>
      </c>
    </row>
    <row r="865" spans="1:10">
      <c r="A865" s="43">
        <v>42486</v>
      </c>
      <c r="B865">
        <v>2007</v>
      </c>
      <c r="C865">
        <v>1706</v>
      </c>
      <c r="D865">
        <v>864</v>
      </c>
      <c r="E865">
        <v>8000</v>
      </c>
      <c r="F865" t="s">
        <v>59</v>
      </c>
      <c r="G865">
        <v>6</v>
      </c>
      <c r="H865" t="s">
        <v>133</v>
      </c>
      <c r="I865">
        <v>12</v>
      </c>
      <c r="J865" s="54">
        <f t="shared" si="13"/>
        <v>6</v>
      </c>
    </row>
    <row r="866" spans="1:10">
      <c r="A866" s="43">
        <v>42482</v>
      </c>
      <c r="B866">
        <v>2006</v>
      </c>
      <c r="C866">
        <v>1706</v>
      </c>
      <c r="D866">
        <v>865</v>
      </c>
      <c r="E866">
        <v>7400</v>
      </c>
      <c r="F866" t="s">
        <v>59</v>
      </c>
      <c r="G866">
        <v>7</v>
      </c>
      <c r="H866" t="s">
        <v>133</v>
      </c>
      <c r="I866">
        <v>13</v>
      </c>
      <c r="J866" s="54">
        <f t="shared" si="13"/>
        <v>7</v>
      </c>
    </row>
    <row r="867" spans="1:10">
      <c r="A867" s="43">
        <v>42450</v>
      </c>
      <c r="B867">
        <v>2008</v>
      </c>
      <c r="C867">
        <v>1706</v>
      </c>
      <c r="D867">
        <v>866</v>
      </c>
      <c r="E867">
        <v>7900</v>
      </c>
      <c r="F867" t="s">
        <v>59</v>
      </c>
      <c r="G867">
        <v>6</v>
      </c>
      <c r="H867" t="s">
        <v>133</v>
      </c>
      <c r="I867">
        <v>11</v>
      </c>
      <c r="J867" s="54">
        <f t="shared" si="13"/>
        <v>6</v>
      </c>
    </row>
    <row r="868" spans="1:10">
      <c r="A868" s="43">
        <v>42430</v>
      </c>
      <c r="B868">
        <v>2007</v>
      </c>
      <c r="C868">
        <v>1706</v>
      </c>
      <c r="D868">
        <v>867</v>
      </c>
      <c r="E868">
        <v>7750</v>
      </c>
      <c r="F868" t="s">
        <v>59</v>
      </c>
      <c r="G868">
        <v>6</v>
      </c>
      <c r="H868" t="s">
        <v>133</v>
      </c>
      <c r="I868">
        <v>12</v>
      </c>
      <c r="J868" s="54">
        <f t="shared" si="13"/>
        <v>6</v>
      </c>
    </row>
    <row r="869" spans="1:10">
      <c r="A869" s="43">
        <v>42401</v>
      </c>
      <c r="B869">
        <v>2006</v>
      </c>
      <c r="C869">
        <v>1706</v>
      </c>
      <c r="D869">
        <v>868</v>
      </c>
      <c r="E869">
        <v>7000</v>
      </c>
      <c r="F869" t="s">
        <v>59</v>
      </c>
      <c r="G869">
        <v>3</v>
      </c>
      <c r="H869" t="s">
        <v>133</v>
      </c>
      <c r="I869">
        <v>13</v>
      </c>
      <c r="J869" s="54">
        <f t="shared" si="13"/>
        <v>3</v>
      </c>
    </row>
    <row r="870" spans="1:10">
      <c r="A870" s="43">
        <v>43606</v>
      </c>
      <c r="B870">
        <v>2010</v>
      </c>
      <c r="C870">
        <v>1708</v>
      </c>
      <c r="D870">
        <v>869</v>
      </c>
      <c r="E870">
        <v>7900</v>
      </c>
      <c r="F870" t="s">
        <v>59</v>
      </c>
      <c r="G870">
        <v>9</v>
      </c>
      <c r="H870" t="s">
        <v>133</v>
      </c>
      <c r="I870">
        <v>9</v>
      </c>
      <c r="J870" s="54">
        <f t="shared" si="13"/>
        <v>9</v>
      </c>
    </row>
    <row r="871" spans="1:10">
      <c r="A871" s="43">
        <v>43600</v>
      </c>
      <c r="B871">
        <v>2008</v>
      </c>
      <c r="C871">
        <v>1708</v>
      </c>
      <c r="D871">
        <v>870</v>
      </c>
      <c r="E871">
        <v>8100</v>
      </c>
      <c r="F871" t="s">
        <v>59</v>
      </c>
      <c r="G871">
        <v>5</v>
      </c>
      <c r="H871" t="s">
        <v>133</v>
      </c>
      <c r="I871">
        <v>11</v>
      </c>
      <c r="J871" s="54">
        <f t="shared" si="13"/>
        <v>5</v>
      </c>
    </row>
    <row r="872" spans="1:10">
      <c r="A872" s="43">
        <v>43584</v>
      </c>
      <c r="B872">
        <v>2008</v>
      </c>
      <c r="C872">
        <v>1708</v>
      </c>
      <c r="D872">
        <v>871</v>
      </c>
      <c r="E872">
        <v>8200</v>
      </c>
      <c r="F872" t="s">
        <v>59</v>
      </c>
      <c r="G872">
        <v>12</v>
      </c>
      <c r="H872" t="s">
        <v>133</v>
      </c>
      <c r="I872">
        <v>11</v>
      </c>
      <c r="J872" s="54">
        <f t="shared" si="13"/>
        <v>12</v>
      </c>
    </row>
    <row r="873" spans="1:10">
      <c r="A873" s="43">
        <v>43549</v>
      </c>
      <c r="B873">
        <v>2009</v>
      </c>
      <c r="C873">
        <v>1708</v>
      </c>
      <c r="D873">
        <v>872</v>
      </c>
      <c r="E873">
        <v>8500</v>
      </c>
      <c r="F873" t="s">
        <v>59</v>
      </c>
      <c r="G873">
        <v>5</v>
      </c>
      <c r="H873" t="s">
        <v>133</v>
      </c>
      <c r="I873">
        <v>10</v>
      </c>
      <c r="J873" s="54">
        <f t="shared" si="13"/>
        <v>5</v>
      </c>
    </row>
    <row r="874" spans="1:10">
      <c r="A874" s="43">
        <v>43532</v>
      </c>
      <c r="B874">
        <v>2009</v>
      </c>
      <c r="C874">
        <v>1708</v>
      </c>
      <c r="D874">
        <v>873</v>
      </c>
      <c r="E874">
        <v>8100</v>
      </c>
      <c r="F874" t="s">
        <v>59</v>
      </c>
      <c r="G874">
        <v>5</v>
      </c>
      <c r="H874" t="s">
        <v>133</v>
      </c>
      <c r="I874">
        <v>10</v>
      </c>
      <c r="J874" s="54">
        <f t="shared" si="13"/>
        <v>5</v>
      </c>
    </row>
    <row r="875" spans="1:10">
      <c r="A875" s="43">
        <v>43511</v>
      </c>
      <c r="B875">
        <v>2007</v>
      </c>
      <c r="C875">
        <v>1708</v>
      </c>
      <c r="D875">
        <v>874</v>
      </c>
      <c r="E875">
        <v>8000</v>
      </c>
      <c r="F875" t="s">
        <v>59</v>
      </c>
      <c r="G875">
        <v>5</v>
      </c>
      <c r="H875" t="s">
        <v>133</v>
      </c>
      <c r="I875">
        <v>12</v>
      </c>
      <c r="J875" s="54">
        <f t="shared" si="13"/>
        <v>5</v>
      </c>
    </row>
    <row r="876" spans="1:10">
      <c r="A876" s="43">
        <v>43507</v>
      </c>
      <c r="B876">
        <v>2008</v>
      </c>
      <c r="C876">
        <v>1708</v>
      </c>
      <c r="D876">
        <v>875</v>
      </c>
      <c r="E876">
        <v>7950</v>
      </c>
      <c r="F876" t="s">
        <v>59</v>
      </c>
      <c r="G876">
        <v>5</v>
      </c>
      <c r="H876" t="s">
        <v>133</v>
      </c>
      <c r="I876">
        <v>11</v>
      </c>
      <c r="J876" s="54">
        <f t="shared" si="13"/>
        <v>5</v>
      </c>
    </row>
    <row r="877" spans="1:10">
      <c r="A877" s="43">
        <v>43488</v>
      </c>
      <c r="B877">
        <v>2009</v>
      </c>
      <c r="C877">
        <v>1708</v>
      </c>
      <c r="D877">
        <v>876</v>
      </c>
      <c r="E877">
        <v>7250</v>
      </c>
      <c r="F877" t="s">
        <v>59</v>
      </c>
      <c r="G877">
        <v>9</v>
      </c>
      <c r="H877" t="s">
        <v>133</v>
      </c>
      <c r="I877">
        <v>10</v>
      </c>
      <c r="J877" s="54">
        <f t="shared" si="13"/>
        <v>9</v>
      </c>
    </row>
    <row r="878" spans="1:10">
      <c r="A878" s="43">
        <v>43483</v>
      </c>
      <c r="B878">
        <v>2008</v>
      </c>
      <c r="C878">
        <v>1708</v>
      </c>
      <c r="D878">
        <v>877</v>
      </c>
      <c r="E878">
        <v>7250</v>
      </c>
      <c r="F878" t="s">
        <v>59</v>
      </c>
      <c r="G878">
        <v>5</v>
      </c>
      <c r="H878" t="s">
        <v>133</v>
      </c>
      <c r="I878">
        <v>11</v>
      </c>
      <c r="J878" s="54">
        <f t="shared" si="13"/>
        <v>5</v>
      </c>
    </row>
    <row r="879" spans="1:10">
      <c r="A879" s="43">
        <v>43482</v>
      </c>
      <c r="B879">
        <v>2008</v>
      </c>
      <c r="C879">
        <v>1708</v>
      </c>
      <c r="D879">
        <v>878</v>
      </c>
      <c r="E879">
        <v>8000</v>
      </c>
      <c r="F879" t="s">
        <v>59</v>
      </c>
      <c r="G879">
        <v>6</v>
      </c>
      <c r="H879" t="s">
        <v>133</v>
      </c>
      <c r="I879">
        <v>11</v>
      </c>
      <c r="J879" s="54">
        <f t="shared" si="13"/>
        <v>6</v>
      </c>
    </row>
    <row r="880" spans="1:10">
      <c r="A880" s="43">
        <v>43445</v>
      </c>
      <c r="B880">
        <v>2009</v>
      </c>
      <c r="C880">
        <v>1708</v>
      </c>
      <c r="D880">
        <v>879</v>
      </c>
      <c r="E880">
        <v>8500</v>
      </c>
      <c r="F880" t="s">
        <v>59</v>
      </c>
      <c r="G880">
        <v>9</v>
      </c>
      <c r="H880" t="s">
        <v>133</v>
      </c>
      <c r="I880">
        <v>10</v>
      </c>
      <c r="J880" s="54">
        <f t="shared" si="13"/>
        <v>9</v>
      </c>
    </row>
    <row r="881" spans="1:10">
      <c r="A881" s="43">
        <v>43405</v>
      </c>
      <c r="B881">
        <v>2008</v>
      </c>
      <c r="C881">
        <v>1708</v>
      </c>
      <c r="D881">
        <v>880</v>
      </c>
      <c r="E881">
        <v>9650</v>
      </c>
      <c r="F881" t="s">
        <v>59</v>
      </c>
      <c r="G881">
        <v>6</v>
      </c>
      <c r="H881" t="s">
        <v>133</v>
      </c>
      <c r="I881">
        <v>11</v>
      </c>
      <c r="J881" s="54">
        <f t="shared" si="13"/>
        <v>6</v>
      </c>
    </row>
    <row r="882" spans="1:10">
      <c r="A882" s="43">
        <v>43391</v>
      </c>
      <c r="B882">
        <v>2008</v>
      </c>
      <c r="C882">
        <v>1708</v>
      </c>
      <c r="D882">
        <v>881</v>
      </c>
      <c r="E882">
        <v>10000</v>
      </c>
      <c r="F882" t="s">
        <v>59</v>
      </c>
      <c r="G882">
        <v>12</v>
      </c>
      <c r="H882" t="s">
        <v>133</v>
      </c>
      <c r="I882">
        <v>11</v>
      </c>
      <c r="J882" s="54">
        <f t="shared" si="13"/>
        <v>12</v>
      </c>
    </row>
    <row r="883" spans="1:10">
      <c r="A883" s="43">
        <v>43388</v>
      </c>
      <c r="B883">
        <v>2009</v>
      </c>
      <c r="C883">
        <v>1708</v>
      </c>
      <c r="D883">
        <v>882</v>
      </c>
      <c r="E883">
        <v>9500</v>
      </c>
      <c r="F883" t="s">
        <v>59</v>
      </c>
      <c r="G883">
        <v>2</v>
      </c>
      <c r="H883" t="s">
        <v>133</v>
      </c>
      <c r="I883">
        <v>10</v>
      </c>
      <c r="J883" s="54">
        <f t="shared" si="13"/>
        <v>2</v>
      </c>
    </row>
    <row r="884" spans="1:10">
      <c r="A884" s="43">
        <v>43374</v>
      </c>
      <c r="B884">
        <v>2008</v>
      </c>
      <c r="C884">
        <v>1708</v>
      </c>
      <c r="D884">
        <v>883</v>
      </c>
      <c r="E884">
        <v>10200</v>
      </c>
      <c r="F884" t="s">
        <v>59</v>
      </c>
      <c r="G884">
        <v>4</v>
      </c>
      <c r="H884" t="s">
        <v>133</v>
      </c>
      <c r="I884">
        <v>11</v>
      </c>
      <c r="J884" s="54">
        <f t="shared" si="13"/>
        <v>4</v>
      </c>
    </row>
    <row r="885" spans="1:10">
      <c r="A885" s="43">
        <v>43312</v>
      </c>
      <c r="B885">
        <v>2008</v>
      </c>
      <c r="C885">
        <v>1708</v>
      </c>
      <c r="D885">
        <v>884</v>
      </c>
      <c r="E885">
        <v>10800</v>
      </c>
      <c r="F885" t="s">
        <v>59</v>
      </c>
      <c r="G885">
        <v>7</v>
      </c>
      <c r="H885" t="s">
        <v>133</v>
      </c>
      <c r="I885">
        <v>11</v>
      </c>
      <c r="J885" s="54">
        <f t="shared" si="13"/>
        <v>7</v>
      </c>
    </row>
    <row r="886" spans="1:10">
      <c r="A886" s="43">
        <v>43312</v>
      </c>
      <c r="B886">
        <v>2007</v>
      </c>
      <c r="C886">
        <v>1708</v>
      </c>
      <c r="D886">
        <v>885</v>
      </c>
      <c r="E886">
        <v>10800</v>
      </c>
      <c r="F886" t="s">
        <v>59</v>
      </c>
      <c r="G886">
        <v>6</v>
      </c>
      <c r="H886" t="s">
        <v>133</v>
      </c>
      <c r="I886">
        <v>12</v>
      </c>
      <c r="J886" s="54">
        <f t="shared" si="13"/>
        <v>6</v>
      </c>
    </row>
    <row r="887" spans="1:10">
      <c r="A887" s="43">
        <v>43286</v>
      </c>
      <c r="B887">
        <v>2008</v>
      </c>
      <c r="C887">
        <v>1708</v>
      </c>
      <c r="D887">
        <v>886</v>
      </c>
      <c r="E887">
        <v>11250</v>
      </c>
      <c r="F887" t="s">
        <v>59</v>
      </c>
      <c r="G887">
        <v>9</v>
      </c>
      <c r="H887" t="s">
        <v>133</v>
      </c>
      <c r="I887">
        <v>11</v>
      </c>
      <c r="J887" s="54">
        <f t="shared" si="13"/>
        <v>9</v>
      </c>
    </row>
    <row r="888" spans="1:10">
      <c r="A888" s="43">
        <v>43263</v>
      </c>
      <c r="B888">
        <v>2008</v>
      </c>
      <c r="C888">
        <v>1708</v>
      </c>
      <c r="D888">
        <v>887</v>
      </c>
      <c r="E888">
        <v>11500</v>
      </c>
      <c r="F888" t="s">
        <v>59</v>
      </c>
      <c r="G888">
        <v>60</v>
      </c>
      <c r="H888" t="s">
        <v>60</v>
      </c>
      <c r="I888">
        <v>11</v>
      </c>
      <c r="J888" s="54">
        <f t="shared" si="13"/>
        <v>2</v>
      </c>
    </row>
    <row r="889" spans="1:10">
      <c r="A889" s="43">
        <v>43259</v>
      </c>
      <c r="B889">
        <v>2007</v>
      </c>
      <c r="C889">
        <v>1708</v>
      </c>
      <c r="D889">
        <v>888</v>
      </c>
      <c r="E889">
        <v>11500</v>
      </c>
      <c r="F889" t="s">
        <v>59</v>
      </c>
      <c r="G889">
        <v>60</v>
      </c>
      <c r="H889" t="s">
        <v>60</v>
      </c>
      <c r="I889">
        <v>12</v>
      </c>
      <c r="J889" s="54">
        <f t="shared" si="13"/>
        <v>2</v>
      </c>
    </row>
    <row r="890" spans="1:10">
      <c r="A890" s="43">
        <v>43258</v>
      </c>
      <c r="B890">
        <v>2008</v>
      </c>
      <c r="C890">
        <v>1708</v>
      </c>
      <c r="D890">
        <v>889</v>
      </c>
      <c r="E890">
        <v>11500</v>
      </c>
      <c r="F890" t="s">
        <v>59</v>
      </c>
      <c r="G890">
        <v>5</v>
      </c>
      <c r="H890" t="s">
        <v>133</v>
      </c>
      <c r="I890">
        <v>11</v>
      </c>
      <c r="J890" s="54">
        <f t="shared" si="13"/>
        <v>5</v>
      </c>
    </row>
    <row r="891" spans="1:10">
      <c r="A891" s="43">
        <v>43229</v>
      </c>
      <c r="B891">
        <v>2008</v>
      </c>
      <c r="C891">
        <v>1708</v>
      </c>
      <c r="D891">
        <v>890</v>
      </c>
      <c r="E891">
        <v>11800</v>
      </c>
      <c r="F891" t="s">
        <v>59</v>
      </c>
      <c r="G891">
        <v>7</v>
      </c>
      <c r="H891" t="s">
        <v>133</v>
      </c>
      <c r="I891">
        <v>11</v>
      </c>
      <c r="J891" s="54">
        <f t="shared" si="13"/>
        <v>7</v>
      </c>
    </row>
    <row r="892" spans="1:10">
      <c r="A892" s="43">
        <v>43206</v>
      </c>
      <c r="B892">
        <v>2008</v>
      </c>
      <c r="C892">
        <v>1708</v>
      </c>
      <c r="D892">
        <v>891</v>
      </c>
      <c r="E892">
        <v>10000</v>
      </c>
      <c r="F892" t="s">
        <v>59</v>
      </c>
      <c r="G892">
        <v>14</v>
      </c>
      <c r="H892" t="s">
        <v>133</v>
      </c>
      <c r="I892">
        <v>11</v>
      </c>
      <c r="J892" s="54">
        <f t="shared" si="13"/>
        <v>14</v>
      </c>
    </row>
    <row r="893" spans="1:10">
      <c r="A893" s="43">
        <v>43185</v>
      </c>
      <c r="B893">
        <v>2010</v>
      </c>
      <c r="C893">
        <v>1708</v>
      </c>
      <c r="D893">
        <v>892</v>
      </c>
      <c r="E893">
        <v>10100</v>
      </c>
      <c r="F893" t="s">
        <v>59</v>
      </c>
      <c r="G893">
        <v>3</v>
      </c>
      <c r="H893" t="s">
        <v>133</v>
      </c>
      <c r="I893">
        <v>9</v>
      </c>
      <c r="J893" s="54">
        <f t="shared" si="13"/>
        <v>3</v>
      </c>
    </row>
    <row r="894" spans="1:10">
      <c r="A894" s="43">
        <v>43164</v>
      </c>
      <c r="B894">
        <v>2007</v>
      </c>
      <c r="C894">
        <v>1708</v>
      </c>
      <c r="D894">
        <v>893</v>
      </c>
      <c r="E894">
        <v>10500</v>
      </c>
      <c r="F894" t="s">
        <v>59</v>
      </c>
      <c r="G894">
        <v>6</v>
      </c>
      <c r="H894" t="s">
        <v>133</v>
      </c>
      <c r="I894">
        <v>12</v>
      </c>
      <c r="J894" s="54">
        <f t="shared" si="13"/>
        <v>6</v>
      </c>
    </row>
    <row r="895" spans="1:10">
      <c r="A895" s="43">
        <v>43067</v>
      </c>
      <c r="B895">
        <v>2008</v>
      </c>
      <c r="C895">
        <v>1708</v>
      </c>
      <c r="D895">
        <v>894</v>
      </c>
      <c r="E895">
        <v>8500</v>
      </c>
      <c r="F895" t="s">
        <v>59</v>
      </c>
      <c r="G895">
        <v>7</v>
      </c>
      <c r="H895" t="s">
        <v>133</v>
      </c>
      <c r="I895">
        <v>11</v>
      </c>
      <c r="J895" s="54">
        <f t="shared" si="13"/>
        <v>7</v>
      </c>
    </row>
    <row r="896" spans="1:10">
      <c r="A896" s="43">
        <v>43052</v>
      </c>
      <c r="B896">
        <v>2008</v>
      </c>
      <c r="C896">
        <v>1708</v>
      </c>
      <c r="D896">
        <v>895</v>
      </c>
      <c r="E896">
        <v>9100</v>
      </c>
      <c r="F896" t="s">
        <v>59</v>
      </c>
      <c r="G896">
        <v>6</v>
      </c>
      <c r="H896" t="s">
        <v>133</v>
      </c>
      <c r="I896">
        <v>11</v>
      </c>
      <c r="J896" s="54">
        <f t="shared" si="13"/>
        <v>6</v>
      </c>
    </row>
    <row r="897" spans="1:10">
      <c r="A897" s="43">
        <v>42993</v>
      </c>
      <c r="B897">
        <v>2007</v>
      </c>
      <c r="C897">
        <v>1708</v>
      </c>
      <c r="D897">
        <v>896</v>
      </c>
      <c r="E897">
        <v>7000</v>
      </c>
      <c r="F897" t="s">
        <v>59</v>
      </c>
      <c r="G897">
        <v>6</v>
      </c>
      <c r="H897" t="s">
        <v>133</v>
      </c>
      <c r="I897">
        <v>12</v>
      </c>
      <c r="J897" s="54">
        <f t="shared" si="13"/>
        <v>6</v>
      </c>
    </row>
    <row r="898" spans="1:10">
      <c r="A898" s="43">
        <v>42948</v>
      </c>
      <c r="B898">
        <v>2008</v>
      </c>
      <c r="C898">
        <v>1708</v>
      </c>
      <c r="D898">
        <v>897</v>
      </c>
      <c r="E898">
        <v>7000</v>
      </c>
      <c r="F898" t="s">
        <v>59</v>
      </c>
      <c r="G898">
        <v>11</v>
      </c>
      <c r="H898" t="s">
        <v>133</v>
      </c>
      <c r="I898">
        <v>11</v>
      </c>
      <c r="J898" s="54">
        <f t="shared" ref="J898:J961" si="14">IF(H898="days",ROUND(G898/30,0),IF(H898="years",G898*12,G898))</f>
        <v>11</v>
      </c>
    </row>
    <row r="899" spans="1:10">
      <c r="A899" s="43">
        <v>42948</v>
      </c>
      <c r="B899">
        <v>2008</v>
      </c>
      <c r="C899">
        <v>1708</v>
      </c>
      <c r="D899">
        <v>898</v>
      </c>
      <c r="E899">
        <v>7250</v>
      </c>
      <c r="F899" t="s">
        <v>59</v>
      </c>
      <c r="G899">
        <v>10</v>
      </c>
      <c r="H899" t="s">
        <v>133</v>
      </c>
      <c r="I899">
        <v>11</v>
      </c>
      <c r="J899" s="54">
        <f t="shared" si="14"/>
        <v>10</v>
      </c>
    </row>
    <row r="900" spans="1:10">
      <c r="A900" s="43">
        <v>42920</v>
      </c>
      <c r="B900">
        <v>2007</v>
      </c>
      <c r="C900">
        <v>1708</v>
      </c>
      <c r="D900">
        <v>899</v>
      </c>
      <c r="E900">
        <v>7500</v>
      </c>
      <c r="F900" t="s">
        <v>59</v>
      </c>
      <c r="G900">
        <v>4</v>
      </c>
      <c r="H900" t="s">
        <v>133</v>
      </c>
      <c r="I900">
        <v>12</v>
      </c>
      <c r="J900" s="54">
        <f t="shared" si="14"/>
        <v>4</v>
      </c>
    </row>
    <row r="901" spans="1:10">
      <c r="A901" s="43">
        <v>42898</v>
      </c>
      <c r="B901">
        <v>2008</v>
      </c>
      <c r="C901">
        <v>1708</v>
      </c>
      <c r="D901">
        <v>900</v>
      </c>
      <c r="E901">
        <v>7500</v>
      </c>
      <c r="F901" t="s">
        <v>59</v>
      </c>
      <c r="G901">
        <v>6</v>
      </c>
      <c r="H901" t="s">
        <v>133</v>
      </c>
      <c r="I901">
        <v>11</v>
      </c>
      <c r="J901" s="54">
        <f t="shared" si="14"/>
        <v>6</v>
      </c>
    </row>
    <row r="902" spans="1:10">
      <c r="A902" s="43">
        <v>42887</v>
      </c>
      <c r="B902">
        <v>2007</v>
      </c>
      <c r="C902">
        <v>1708</v>
      </c>
      <c r="D902">
        <v>901</v>
      </c>
      <c r="E902">
        <v>7500</v>
      </c>
      <c r="F902" t="s">
        <v>59</v>
      </c>
      <c r="G902">
        <v>4</v>
      </c>
      <c r="H902" t="s">
        <v>133</v>
      </c>
      <c r="I902">
        <v>12</v>
      </c>
      <c r="J902" s="54">
        <f t="shared" si="14"/>
        <v>4</v>
      </c>
    </row>
    <row r="903" spans="1:10">
      <c r="A903" s="43">
        <v>42877</v>
      </c>
      <c r="B903">
        <v>2008</v>
      </c>
      <c r="C903">
        <v>1708</v>
      </c>
      <c r="D903">
        <v>902</v>
      </c>
      <c r="E903">
        <v>7000</v>
      </c>
      <c r="F903" t="s">
        <v>59</v>
      </c>
      <c r="G903">
        <v>90</v>
      </c>
      <c r="H903" t="s">
        <v>60</v>
      </c>
      <c r="I903">
        <v>11</v>
      </c>
      <c r="J903" s="54">
        <f t="shared" si="14"/>
        <v>3</v>
      </c>
    </row>
    <row r="904" spans="1:10">
      <c r="A904" s="43">
        <v>42871</v>
      </c>
      <c r="B904">
        <v>2008</v>
      </c>
      <c r="C904">
        <v>1708</v>
      </c>
      <c r="D904">
        <v>903</v>
      </c>
      <c r="E904">
        <v>7100</v>
      </c>
      <c r="F904" t="s">
        <v>59</v>
      </c>
      <c r="G904">
        <v>12</v>
      </c>
      <c r="H904" t="s">
        <v>133</v>
      </c>
      <c r="I904">
        <v>11</v>
      </c>
      <c r="J904" s="54">
        <f t="shared" si="14"/>
        <v>12</v>
      </c>
    </row>
    <row r="905" spans="1:10">
      <c r="A905" s="43">
        <v>42773</v>
      </c>
      <c r="B905">
        <v>2008</v>
      </c>
      <c r="C905">
        <v>1708</v>
      </c>
      <c r="D905">
        <v>904</v>
      </c>
      <c r="E905">
        <v>6500</v>
      </c>
      <c r="F905" t="s">
        <v>59</v>
      </c>
      <c r="G905">
        <v>6</v>
      </c>
      <c r="H905" t="s">
        <v>133</v>
      </c>
      <c r="I905">
        <v>11</v>
      </c>
      <c r="J905" s="54">
        <f t="shared" si="14"/>
        <v>6</v>
      </c>
    </row>
    <row r="906" spans="1:10">
      <c r="A906" s="43">
        <v>42745</v>
      </c>
      <c r="B906">
        <v>2010</v>
      </c>
      <c r="C906">
        <v>1708</v>
      </c>
      <c r="D906">
        <v>905</v>
      </c>
      <c r="E906">
        <v>6600</v>
      </c>
      <c r="F906" t="s">
        <v>59</v>
      </c>
      <c r="G906">
        <v>60</v>
      </c>
      <c r="H906" t="s">
        <v>60</v>
      </c>
      <c r="I906">
        <v>9</v>
      </c>
      <c r="J906" s="54">
        <f t="shared" si="14"/>
        <v>2</v>
      </c>
    </row>
    <row r="907" spans="1:10">
      <c r="A907" s="43">
        <v>42676</v>
      </c>
      <c r="B907">
        <v>2008</v>
      </c>
      <c r="C907">
        <v>1708</v>
      </c>
      <c r="D907">
        <v>906</v>
      </c>
      <c r="E907">
        <v>7000</v>
      </c>
      <c r="F907" t="s">
        <v>59</v>
      </c>
      <c r="G907">
        <v>4</v>
      </c>
      <c r="H907" t="s">
        <v>133</v>
      </c>
      <c r="I907">
        <v>11</v>
      </c>
      <c r="J907" s="54">
        <f t="shared" si="14"/>
        <v>4</v>
      </c>
    </row>
    <row r="908" spans="1:10">
      <c r="A908" s="43">
        <v>42648</v>
      </c>
      <c r="B908">
        <v>2009</v>
      </c>
      <c r="C908">
        <v>1708</v>
      </c>
      <c r="D908">
        <v>907</v>
      </c>
      <c r="E908">
        <v>6525</v>
      </c>
      <c r="F908" t="s">
        <v>59</v>
      </c>
      <c r="G908">
        <v>10</v>
      </c>
      <c r="H908" t="s">
        <v>133</v>
      </c>
      <c r="I908">
        <v>10</v>
      </c>
      <c r="J908" s="54">
        <f t="shared" si="14"/>
        <v>10</v>
      </c>
    </row>
    <row r="909" spans="1:10">
      <c r="A909" s="43">
        <v>42627</v>
      </c>
      <c r="B909">
        <v>2007</v>
      </c>
      <c r="C909">
        <v>1708</v>
      </c>
      <c r="D909">
        <v>908</v>
      </c>
      <c r="E909">
        <v>6600</v>
      </c>
      <c r="F909" t="s">
        <v>59</v>
      </c>
      <c r="G909">
        <v>6</v>
      </c>
      <c r="H909" t="s">
        <v>133</v>
      </c>
      <c r="I909">
        <v>12</v>
      </c>
      <c r="J909" s="54">
        <f t="shared" si="14"/>
        <v>6</v>
      </c>
    </row>
    <row r="910" spans="1:10">
      <c r="A910" s="43">
        <v>42613</v>
      </c>
      <c r="B910">
        <v>2007</v>
      </c>
      <c r="C910">
        <v>1708</v>
      </c>
      <c r="D910">
        <v>909</v>
      </c>
      <c r="E910">
        <v>7180</v>
      </c>
      <c r="F910" t="s">
        <v>59</v>
      </c>
      <c r="G910">
        <v>9</v>
      </c>
      <c r="H910" t="s">
        <v>133</v>
      </c>
      <c r="I910">
        <v>12</v>
      </c>
      <c r="J910" s="54">
        <f t="shared" si="14"/>
        <v>9</v>
      </c>
    </row>
    <row r="911" spans="1:10">
      <c r="A911" s="43">
        <v>42586</v>
      </c>
      <c r="B911">
        <v>2008</v>
      </c>
      <c r="C911">
        <v>1708</v>
      </c>
      <c r="D911">
        <v>910</v>
      </c>
      <c r="E911">
        <v>6500</v>
      </c>
      <c r="F911" t="s">
        <v>59</v>
      </c>
      <c r="G911">
        <v>6</v>
      </c>
      <c r="H911" t="s">
        <v>133</v>
      </c>
      <c r="I911">
        <v>11</v>
      </c>
      <c r="J911" s="54">
        <f t="shared" si="14"/>
        <v>6</v>
      </c>
    </row>
    <row r="912" spans="1:10">
      <c r="A912" s="43">
        <v>42479</v>
      </c>
      <c r="B912">
        <v>2008</v>
      </c>
      <c r="C912">
        <v>1708</v>
      </c>
      <c r="D912">
        <v>911</v>
      </c>
      <c r="E912">
        <v>7500</v>
      </c>
      <c r="F912" t="s">
        <v>59</v>
      </c>
      <c r="G912">
        <v>12</v>
      </c>
      <c r="H912" t="s">
        <v>133</v>
      </c>
      <c r="I912">
        <v>11</v>
      </c>
      <c r="J912" s="54">
        <f t="shared" si="14"/>
        <v>12</v>
      </c>
    </row>
    <row r="913" spans="1:10">
      <c r="A913" s="43">
        <v>42475</v>
      </c>
      <c r="B913">
        <v>2009</v>
      </c>
      <c r="C913">
        <v>1708</v>
      </c>
      <c r="D913">
        <v>912</v>
      </c>
      <c r="E913">
        <v>7200</v>
      </c>
      <c r="F913" t="s">
        <v>59</v>
      </c>
      <c r="G913">
        <v>12</v>
      </c>
      <c r="H913" t="s">
        <v>133</v>
      </c>
      <c r="I913">
        <v>10</v>
      </c>
      <c r="J913" s="54">
        <f t="shared" si="14"/>
        <v>12</v>
      </c>
    </row>
    <row r="914" spans="1:10">
      <c r="A914" s="43">
        <v>42461</v>
      </c>
      <c r="B914">
        <v>2008</v>
      </c>
      <c r="C914">
        <v>1708</v>
      </c>
      <c r="D914">
        <v>913</v>
      </c>
      <c r="E914">
        <v>6700</v>
      </c>
      <c r="F914" t="s">
        <v>59</v>
      </c>
      <c r="G914">
        <v>12</v>
      </c>
      <c r="H914" t="s">
        <v>133</v>
      </c>
      <c r="I914">
        <v>11</v>
      </c>
      <c r="J914" s="54">
        <f t="shared" si="14"/>
        <v>12</v>
      </c>
    </row>
    <row r="915" spans="1:10">
      <c r="A915" s="43">
        <v>42458</v>
      </c>
      <c r="B915">
        <v>2008</v>
      </c>
      <c r="C915">
        <v>1708</v>
      </c>
      <c r="D915">
        <v>914</v>
      </c>
      <c r="E915">
        <v>7200</v>
      </c>
      <c r="F915" t="s">
        <v>59</v>
      </c>
      <c r="G915">
        <v>12</v>
      </c>
      <c r="H915" t="s">
        <v>133</v>
      </c>
      <c r="I915">
        <v>11</v>
      </c>
      <c r="J915" s="54">
        <f t="shared" si="14"/>
        <v>12</v>
      </c>
    </row>
    <row r="916" spans="1:10">
      <c r="A916" s="43">
        <v>42430</v>
      </c>
      <c r="B916">
        <v>2007</v>
      </c>
      <c r="C916">
        <v>1708</v>
      </c>
      <c r="D916">
        <v>915</v>
      </c>
      <c r="E916">
        <v>7250</v>
      </c>
      <c r="F916" t="s">
        <v>59</v>
      </c>
      <c r="G916">
        <v>6</v>
      </c>
      <c r="H916" t="s">
        <v>133</v>
      </c>
      <c r="I916">
        <v>12</v>
      </c>
      <c r="J916" s="54">
        <f t="shared" si="14"/>
        <v>6</v>
      </c>
    </row>
    <row r="917" spans="1:10">
      <c r="A917" s="43">
        <v>42423</v>
      </c>
      <c r="B917">
        <v>2007</v>
      </c>
      <c r="C917">
        <v>1708</v>
      </c>
      <c r="D917">
        <v>916</v>
      </c>
      <c r="E917">
        <v>6900</v>
      </c>
      <c r="F917" t="s">
        <v>59</v>
      </c>
      <c r="G917">
        <v>12</v>
      </c>
      <c r="H917" t="s">
        <v>133</v>
      </c>
      <c r="I917">
        <v>12</v>
      </c>
      <c r="J917" s="54">
        <f t="shared" si="14"/>
        <v>12</v>
      </c>
    </row>
    <row r="918" spans="1:10">
      <c r="A918" s="43">
        <v>43621</v>
      </c>
      <c r="B918">
        <v>2009</v>
      </c>
      <c r="C918">
        <v>1713</v>
      </c>
      <c r="D918">
        <v>917</v>
      </c>
      <c r="E918">
        <v>8200</v>
      </c>
      <c r="F918" t="s">
        <v>59</v>
      </c>
      <c r="G918">
        <v>3</v>
      </c>
      <c r="H918" t="s">
        <v>133</v>
      </c>
      <c r="I918">
        <v>10</v>
      </c>
      <c r="J918" s="54">
        <f t="shared" si="14"/>
        <v>3</v>
      </c>
    </row>
    <row r="919" spans="1:10">
      <c r="A919" s="43">
        <v>43566</v>
      </c>
      <c r="B919">
        <v>2007</v>
      </c>
      <c r="C919">
        <v>1713</v>
      </c>
      <c r="D919">
        <v>918</v>
      </c>
      <c r="E919">
        <v>8200</v>
      </c>
      <c r="F919" t="s">
        <v>59</v>
      </c>
      <c r="G919">
        <v>6</v>
      </c>
      <c r="H919" t="s">
        <v>133</v>
      </c>
      <c r="I919">
        <v>12</v>
      </c>
      <c r="J919" s="54">
        <f t="shared" si="14"/>
        <v>6</v>
      </c>
    </row>
    <row r="920" spans="1:10">
      <c r="A920" s="43">
        <v>43566</v>
      </c>
      <c r="B920">
        <v>2009</v>
      </c>
      <c r="C920">
        <v>1713</v>
      </c>
      <c r="D920">
        <v>919</v>
      </c>
      <c r="E920">
        <v>8200</v>
      </c>
      <c r="F920" t="s">
        <v>59</v>
      </c>
      <c r="G920">
        <v>4</v>
      </c>
      <c r="H920" t="s">
        <v>133</v>
      </c>
      <c r="I920">
        <v>10</v>
      </c>
      <c r="J920" s="54">
        <f t="shared" si="14"/>
        <v>4</v>
      </c>
    </row>
    <row r="921" spans="1:10">
      <c r="A921" s="43">
        <v>43542</v>
      </c>
      <c r="B921">
        <v>2008</v>
      </c>
      <c r="C921">
        <v>1713</v>
      </c>
      <c r="D921">
        <v>920</v>
      </c>
      <c r="E921">
        <v>7500</v>
      </c>
      <c r="F921" t="s">
        <v>59</v>
      </c>
      <c r="G921">
        <v>12</v>
      </c>
      <c r="H921" t="s">
        <v>133</v>
      </c>
      <c r="I921">
        <v>11</v>
      </c>
      <c r="J921" s="54">
        <f t="shared" si="14"/>
        <v>12</v>
      </c>
    </row>
    <row r="922" spans="1:10">
      <c r="A922" s="43">
        <v>43510</v>
      </c>
      <c r="B922">
        <v>2007</v>
      </c>
      <c r="C922">
        <v>1713</v>
      </c>
      <c r="D922">
        <v>921</v>
      </c>
      <c r="E922">
        <v>7350</v>
      </c>
      <c r="F922" t="s">
        <v>59</v>
      </c>
      <c r="G922">
        <v>6</v>
      </c>
      <c r="H922" t="s">
        <v>133</v>
      </c>
      <c r="I922">
        <v>12</v>
      </c>
      <c r="J922" s="54">
        <f t="shared" si="14"/>
        <v>6</v>
      </c>
    </row>
    <row r="923" spans="1:10">
      <c r="A923" s="43">
        <v>43416</v>
      </c>
      <c r="B923">
        <v>2008</v>
      </c>
      <c r="C923">
        <v>1713</v>
      </c>
      <c r="D923">
        <v>922</v>
      </c>
      <c r="E923">
        <v>7450</v>
      </c>
      <c r="F923" t="s">
        <v>59</v>
      </c>
      <c r="G923">
        <v>6</v>
      </c>
      <c r="H923" t="s">
        <v>133</v>
      </c>
      <c r="I923">
        <v>11</v>
      </c>
      <c r="J923" s="54">
        <f t="shared" si="14"/>
        <v>6</v>
      </c>
    </row>
    <row r="924" spans="1:10">
      <c r="A924" s="43">
        <v>43391</v>
      </c>
      <c r="B924">
        <v>2007</v>
      </c>
      <c r="C924">
        <v>1713</v>
      </c>
      <c r="D924">
        <v>923</v>
      </c>
      <c r="E924">
        <v>9200</v>
      </c>
      <c r="F924" t="s">
        <v>59</v>
      </c>
      <c r="G924">
        <v>6</v>
      </c>
      <c r="H924" t="s">
        <v>133</v>
      </c>
      <c r="I924">
        <v>12</v>
      </c>
      <c r="J924" s="54">
        <f t="shared" si="14"/>
        <v>6</v>
      </c>
    </row>
    <row r="925" spans="1:10">
      <c r="A925" s="43">
        <v>43374</v>
      </c>
      <c r="B925">
        <v>2007</v>
      </c>
      <c r="C925">
        <v>1713</v>
      </c>
      <c r="D925">
        <v>924</v>
      </c>
      <c r="E925">
        <v>8800</v>
      </c>
      <c r="F925" t="s">
        <v>59</v>
      </c>
      <c r="G925">
        <v>6</v>
      </c>
      <c r="H925" t="s">
        <v>133</v>
      </c>
      <c r="I925">
        <v>12</v>
      </c>
      <c r="J925" s="54">
        <f t="shared" si="14"/>
        <v>6</v>
      </c>
    </row>
    <row r="926" spans="1:10">
      <c r="A926" s="43">
        <v>43257</v>
      </c>
      <c r="B926">
        <v>2008</v>
      </c>
      <c r="C926">
        <v>1713</v>
      </c>
      <c r="D926">
        <v>925</v>
      </c>
      <c r="E926">
        <v>10000</v>
      </c>
      <c r="F926" t="s">
        <v>59</v>
      </c>
      <c r="G926">
        <v>6</v>
      </c>
      <c r="H926" t="s">
        <v>133</v>
      </c>
      <c r="I926">
        <v>11</v>
      </c>
      <c r="J926" s="54">
        <f t="shared" si="14"/>
        <v>6</v>
      </c>
    </row>
    <row r="927" spans="1:10">
      <c r="A927" s="43">
        <v>43245</v>
      </c>
      <c r="B927">
        <v>2008</v>
      </c>
      <c r="C927">
        <v>1713</v>
      </c>
      <c r="D927">
        <v>926</v>
      </c>
      <c r="E927">
        <v>11000</v>
      </c>
      <c r="F927" t="s">
        <v>59</v>
      </c>
      <c r="G927">
        <v>8</v>
      </c>
      <c r="H927" t="s">
        <v>133</v>
      </c>
      <c r="I927">
        <v>11</v>
      </c>
      <c r="J927" s="54">
        <f t="shared" si="14"/>
        <v>8</v>
      </c>
    </row>
    <row r="928" spans="1:10">
      <c r="A928" s="43">
        <v>43147</v>
      </c>
      <c r="B928">
        <v>2008</v>
      </c>
      <c r="C928">
        <v>1713</v>
      </c>
      <c r="D928">
        <v>927</v>
      </c>
      <c r="E928">
        <v>9750</v>
      </c>
      <c r="F928" t="s">
        <v>59</v>
      </c>
      <c r="G928">
        <v>3</v>
      </c>
      <c r="H928" t="s">
        <v>134</v>
      </c>
      <c r="I928">
        <v>11</v>
      </c>
      <c r="J928" s="54">
        <f t="shared" si="14"/>
        <v>36</v>
      </c>
    </row>
    <row r="929" spans="1:10">
      <c r="A929" s="43">
        <v>43147</v>
      </c>
      <c r="B929">
        <v>2008</v>
      </c>
      <c r="C929">
        <v>1713</v>
      </c>
      <c r="D929">
        <v>928</v>
      </c>
      <c r="E929">
        <v>9750</v>
      </c>
      <c r="F929" t="s">
        <v>59</v>
      </c>
      <c r="G929">
        <v>3</v>
      </c>
      <c r="H929" t="s">
        <v>134</v>
      </c>
      <c r="I929">
        <v>11</v>
      </c>
      <c r="J929" s="54">
        <f t="shared" si="14"/>
        <v>36</v>
      </c>
    </row>
    <row r="930" spans="1:10">
      <c r="A930" s="43">
        <v>43062</v>
      </c>
      <c r="B930">
        <v>2008</v>
      </c>
      <c r="C930">
        <v>1713</v>
      </c>
      <c r="D930">
        <v>929</v>
      </c>
      <c r="E930">
        <v>8650</v>
      </c>
      <c r="F930" t="s">
        <v>59</v>
      </c>
      <c r="G930">
        <v>7</v>
      </c>
      <c r="H930" t="s">
        <v>133</v>
      </c>
      <c r="I930">
        <v>11</v>
      </c>
      <c r="J930" s="54">
        <f t="shared" si="14"/>
        <v>7</v>
      </c>
    </row>
    <row r="931" spans="1:10">
      <c r="A931" s="43">
        <v>42989</v>
      </c>
      <c r="B931">
        <v>2008</v>
      </c>
      <c r="C931">
        <v>1713</v>
      </c>
      <c r="D931">
        <v>930</v>
      </c>
      <c r="E931">
        <v>7950</v>
      </c>
      <c r="F931" t="s">
        <v>59</v>
      </c>
      <c r="G931">
        <v>9</v>
      </c>
      <c r="H931" t="s">
        <v>133</v>
      </c>
      <c r="I931">
        <v>11</v>
      </c>
      <c r="J931" s="54">
        <f t="shared" si="14"/>
        <v>9</v>
      </c>
    </row>
    <row r="932" spans="1:10">
      <c r="A932" s="43">
        <v>42745</v>
      </c>
      <c r="B932">
        <v>2008</v>
      </c>
      <c r="C932">
        <v>1713</v>
      </c>
      <c r="D932">
        <v>931</v>
      </c>
      <c r="E932">
        <v>6750</v>
      </c>
      <c r="F932" t="s">
        <v>59</v>
      </c>
      <c r="G932">
        <v>90</v>
      </c>
      <c r="H932" t="s">
        <v>60</v>
      </c>
      <c r="I932">
        <v>11</v>
      </c>
      <c r="J932" s="54">
        <f t="shared" si="14"/>
        <v>3</v>
      </c>
    </row>
    <row r="933" spans="1:10">
      <c r="A933" s="43">
        <v>42689</v>
      </c>
      <c r="B933">
        <v>2008</v>
      </c>
      <c r="C933">
        <v>1713</v>
      </c>
      <c r="D933">
        <v>932</v>
      </c>
      <c r="E933">
        <v>6750</v>
      </c>
      <c r="F933" t="s">
        <v>59</v>
      </c>
      <c r="G933">
        <v>12</v>
      </c>
      <c r="H933" t="s">
        <v>133</v>
      </c>
      <c r="I933">
        <v>11</v>
      </c>
      <c r="J933" s="54">
        <f t="shared" si="14"/>
        <v>12</v>
      </c>
    </row>
    <row r="934" spans="1:10">
      <c r="A934" s="43">
        <v>42650</v>
      </c>
      <c r="B934">
        <v>2008</v>
      </c>
      <c r="C934">
        <v>1713</v>
      </c>
      <c r="D934">
        <v>933</v>
      </c>
      <c r="E934">
        <v>6750</v>
      </c>
      <c r="F934" t="s">
        <v>59</v>
      </c>
      <c r="G934">
        <v>12</v>
      </c>
      <c r="H934" t="s">
        <v>133</v>
      </c>
      <c r="I934">
        <v>11</v>
      </c>
      <c r="J934" s="54">
        <f t="shared" si="14"/>
        <v>12</v>
      </c>
    </row>
    <row r="935" spans="1:10">
      <c r="A935" s="43">
        <v>42607</v>
      </c>
      <c r="B935">
        <v>2008</v>
      </c>
      <c r="C935">
        <v>1713</v>
      </c>
      <c r="D935">
        <v>934</v>
      </c>
      <c r="E935">
        <v>6900</v>
      </c>
      <c r="F935" t="s">
        <v>59</v>
      </c>
      <c r="G935">
        <v>7</v>
      </c>
      <c r="H935" t="s">
        <v>133</v>
      </c>
      <c r="I935">
        <v>11</v>
      </c>
      <c r="J935" s="54">
        <f t="shared" si="14"/>
        <v>7</v>
      </c>
    </row>
    <row r="936" spans="1:10">
      <c r="A936" s="43">
        <v>42425</v>
      </c>
      <c r="B936">
        <v>2008</v>
      </c>
      <c r="C936">
        <v>1713</v>
      </c>
      <c r="D936">
        <v>935</v>
      </c>
      <c r="E936">
        <v>7950</v>
      </c>
      <c r="F936" t="s">
        <v>59</v>
      </c>
      <c r="G936">
        <v>7</v>
      </c>
      <c r="H936" t="s">
        <v>133</v>
      </c>
      <c r="I936">
        <v>11</v>
      </c>
      <c r="J936" s="54">
        <f t="shared" si="14"/>
        <v>7</v>
      </c>
    </row>
    <row r="937" spans="1:10">
      <c r="A937" s="43">
        <v>42423</v>
      </c>
      <c r="B937">
        <v>2008</v>
      </c>
      <c r="C937">
        <v>1713</v>
      </c>
      <c r="D937">
        <v>936</v>
      </c>
      <c r="E937">
        <v>7000</v>
      </c>
      <c r="F937" t="s">
        <v>59</v>
      </c>
      <c r="G937">
        <v>12</v>
      </c>
      <c r="H937" t="s">
        <v>133</v>
      </c>
      <c r="I937">
        <v>11</v>
      </c>
      <c r="J937" s="54">
        <f t="shared" si="14"/>
        <v>12</v>
      </c>
    </row>
    <row r="938" spans="1:10">
      <c r="A938" s="43">
        <v>42830</v>
      </c>
      <c r="B938">
        <v>2008</v>
      </c>
      <c r="C938">
        <v>1730</v>
      </c>
      <c r="D938">
        <v>937</v>
      </c>
      <c r="E938">
        <v>6700</v>
      </c>
      <c r="F938" t="s">
        <v>59</v>
      </c>
      <c r="G938">
        <v>6</v>
      </c>
      <c r="H938" t="s">
        <v>133</v>
      </c>
      <c r="I938">
        <v>11</v>
      </c>
      <c r="J938" s="54">
        <f t="shared" si="14"/>
        <v>6</v>
      </c>
    </row>
    <row r="939" spans="1:10">
      <c r="A939" s="43">
        <v>42819</v>
      </c>
      <c r="B939">
        <v>2009</v>
      </c>
      <c r="C939">
        <v>1730</v>
      </c>
      <c r="D939">
        <v>938</v>
      </c>
      <c r="E939">
        <v>6750</v>
      </c>
      <c r="F939" t="s">
        <v>59</v>
      </c>
      <c r="G939">
        <v>12</v>
      </c>
      <c r="H939" t="s">
        <v>133</v>
      </c>
      <c r="I939">
        <v>10</v>
      </c>
      <c r="J939" s="54">
        <f t="shared" si="14"/>
        <v>12</v>
      </c>
    </row>
    <row r="940" spans="1:10">
      <c r="A940" s="43">
        <v>42440</v>
      </c>
      <c r="B940">
        <v>2009</v>
      </c>
      <c r="C940">
        <v>1730</v>
      </c>
      <c r="D940">
        <v>939</v>
      </c>
      <c r="E940">
        <v>8500</v>
      </c>
      <c r="F940" t="s">
        <v>59</v>
      </c>
      <c r="G940">
        <v>12</v>
      </c>
      <c r="H940" t="s">
        <v>133</v>
      </c>
      <c r="I940">
        <v>10</v>
      </c>
      <c r="J940" s="54">
        <f t="shared" si="14"/>
        <v>12</v>
      </c>
    </row>
    <row r="941" spans="1:10">
      <c r="A941" s="43">
        <v>42440</v>
      </c>
      <c r="B941">
        <v>2009</v>
      </c>
      <c r="C941">
        <v>1730</v>
      </c>
      <c r="D941">
        <v>940</v>
      </c>
      <c r="E941">
        <v>8500</v>
      </c>
      <c r="F941" t="s">
        <v>59</v>
      </c>
      <c r="G941">
        <v>12</v>
      </c>
      <c r="H941" t="s">
        <v>133</v>
      </c>
      <c r="I941">
        <v>10</v>
      </c>
      <c r="J941" s="54">
        <f t="shared" si="14"/>
        <v>12</v>
      </c>
    </row>
    <row r="942" spans="1:10">
      <c r="A942" s="43">
        <v>43633</v>
      </c>
      <c r="B942">
        <v>2007</v>
      </c>
      <c r="C942">
        <v>1732</v>
      </c>
      <c r="D942">
        <v>941</v>
      </c>
      <c r="E942">
        <v>9500</v>
      </c>
      <c r="F942" t="s">
        <v>59</v>
      </c>
      <c r="G942">
        <v>11</v>
      </c>
      <c r="H942" t="s">
        <v>133</v>
      </c>
      <c r="I942">
        <v>12</v>
      </c>
      <c r="J942" s="54">
        <f t="shared" si="14"/>
        <v>11</v>
      </c>
    </row>
    <row r="943" spans="1:10">
      <c r="A943" s="43">
        <v>43613</v>
      </c>
      <c r="B943">
        <v>2010</v>
      </c>
      <c r="C943">
        <v>1732</v>
      </c>
      <c r="D943">
        <v>942</v>
      </c>
      <c r="E943">
        <v>8050</v>
      </c>
      <c r="F943" t="s">
        <v>59</v>
      </c>
      <c r="G943">
        <v>6</v>
      </c>
      <c r="H943" t="s">
        <v>133</v>
      </c>
      <c r="I943">
        <v>9</v>
      </c>
      <c r="J943" s="54">
        <f t="shared" si="14"/>
        <v>6</v>
      </c>
    </row>
    <row r="944" spans="1:10">
      <c r="A944" s="43">
        <v>43543</v>
      </c>
      <c r="B944">
        <v>2007</v>
      </c>
      <c r="C944">
        <v>1732</v>
      </c>
      <c r="D944">
        <v>943</v>
      </c>
      <c r="E944">
        <v>7000</v>
      </c>
      <c r="F944" t="s">
        <v>59</v>
      </c>
      <c r="G944">
        <v>4</v>
      </c>
      <c r="H944" t="s">
        <v>133</v>
      </c>
      <c r="I944">
        <v>12</v>
      </c>
      <c r="J944" s="54">
        <f t="shared" si="14"/>
        <v>4</v>
      </c>
    </row>
    <row r="945" spans="1:10">
      <c r="A945" s="43">
        <v>43528</v>
      </c>
      <c r="B945">
        <v>2006</v>
      </c>
      <c r="C945">
        <v>1732</v>
      </c>
      <c r="D945">
        <v>944</v>
      </c>
      <c r="E945">
        <v>7900</v>
      </c>
      <c r="F945" t="s">
        <v>59</v>
      </c>
      <c r="G945">
        <v>8</v>
      </c>
      <c r="H945" t="s">
        <v>133</v>
      </c>
      <c r="I945">
        <v>13</v>
      </c>
      <c r="J945" s="54">
        <f t="shared" si="14"/>
        <v>8</v>
      </c>
    </row>
    <row r="946" spans="1:10">
      <c r="A946" s="43">
        <v>43525</v>
      </c>
      <c r="B946">
        <v>2010</v>
      </c>
      <c r="C946">
        <v>1732</v>
      </c>
      <c r="D946">
        <v>945</v>
      </c>
      <c r="E946">
        <v>7000</v>
      </c>
      <c r="F946" t="s">
        <v>59</v>
      </c>
      <c r="G946">
        <v>6</v>
      </c>
      <c r="H946" t="s">
        <v>133</v>
      </c>
      <c r="I946">
        <v>9</v>
      </c>
      <c r="J946" s="54">
        <f t="shared" si="14"/>
        <v>6</v>
      </c>
    </row>
    <row r="947" spans="1:10">
      <c r="A947" s="43">
        <v>43501</v>
      </c>
      <c r="B947">
        <v>2010</v>
      </c>
      <c r="C947">
        <v>1732</v>
      </c>
      <c r="D947">
        <v>946</v>
      </c>
      <c r="E947">
        <v>7000</v>
      </c>
      <c r="F947" t="s">
        <v>59</v>
      </c>
      <c r="G947">
        <v>4</v>
      </c>
      <c r="H947" t="s">
        <v>133</v>
      </c>
      <c r="I947">
        <v>9</v>
      </c>
      <c r="J947" s="54">
        <f t="shared" si="14"/>
        <v>4</v>
      </c>
    </row>
    <row r="948" spans="1:10">
      <c r="A948" s="43">
        <v>43501</v>
      </c>
      <c r="B948">
        <v>2006</v>
      </c>
      <c r="C948">
        <v>1732</v>
      </c>
      <c r="D948">
        <v>947</v>
      </c>
      <c r="E948">
        <v>7000</v>
      </c>
      <c r="F948" t="s">
        <v>59</v>
      </c>
      <c r="G948">
        <v>13</v>
      </c>
      <c r="H948" t="s">
        <v>133</v>
      </c>
      <c r="I948">
        <v>13</v>
      </c>
      <c r="J948" s="54">
        <f t="shared" si="14"/>
        <v>13</v>
      </c>
    </row>
    <row r="949" spans="1:10">
      <c r="A949" s="43">
        <v>43497</v>
      </c>
      <c r="B949">
        <v>2006</v>
      </c>
      <c r="C949">
        <v>1732</v>
      </c>
      <c r="D949">
        <v>948</v>
      </c>
      <c r="E949">
        <v>6900</v>
      </c>
      <c r="F949" t="s">
        <v>59</v>
      </c>
      <c r="G949">
        <v>5</v>
      </c>
      <c r="H949" t="s">
        <v>133</v>
      </c>
      <c r="I949">
        <v>13</v>
      </c>
      <c r="J949" s="54">
        <f t="shared" si="14"/>
        <v>5</v>
      </c>
    </row>
    <row r="950" spans="1:10">
      <c r="A950" s="43">
        <v>43497</v>
      </c>
      <c r="B950">
        <v>2007</v>
      </c>
      <c r="C950">
        <v>1732</v>
      </c>
      <c r="D950">
        <v>949</v>
      </c>
      <c r="E950">
        <v>8000</v>
      </c>
      <c r="F950" t="s">
        <v>59</v>
      </c>
      <c r="G950">
        <v>8</v>
      </c>
      <c r="H950" t="s">
        <v>133</v>
      </c>
      <c r="I950">
        <v>12</v>
      </c>
      <c r="J950" s="54">
        <f t="shared" si="14"/>
        <v>8</v>
      </c>
    </row>
    <row r="951" spans="1:10">
      <c r="A951" s="43">
        <v>43494</v>
      </c>
      <c r="B951">
        <v>2010</v>
      </c>
      <c r="C951">
        <v>1732</v>
      </c>
      <c r="D951">
        <v>950</v>
      </c>
      <c r="E951">
        <v>6950</v>
      </c>
      <c r="F951" t="s">
        <v>59</v>
      </c>
      <c r="G951">
        <v>3</v>
      </c>
      <c r="H951" t="s">
        <v>133</v>
      </c>
      <c r="I951">
        <v>9</v>
      </c>
      <c r="J951" s="54">
        <f t="shared" si="14"/>
        <v>3</v>
      </c>
    </row>
    <row r="952" spans="1:10">
      <c r="A952" s="43">
        <v>43469</v>
      </c>
      <c r="B952">
        <v>2007</v>
      </c>
      <c r="C952">
        <v>1732</v>
      </c>
      <c r="D952">
        <v>951</v>
      </c>
      <c r="E952">
        <v>8000</v>
      </c>
      <c r="F952" t="s">
        <v>59</v>
      </c>
      <c r="G952">
        <v>5</v>
      </c>
      <c r="H952" t="s">
        <v>133</v>
      </c>
      <c r="I952">
        <v>12</v>
      </c>
      <c r="J952" s="54">
        <f t="shared" si="14"/>
        <v>5</v>
      </c>
    </row>
    <row r="953" spans="1:10">
      <c r="A953" s="43">
        <v>43458</v>
      </c>
      <c r="B953">
        <v>2006</v>
      </c>
      <c r="C953">
        <v>1732</v>
      </c>
      <c r="D953">
        <v>952</v>
      </c>
      <c r="E953">
        <v>7200</v>
      </c>
      <c r="F953" t="s">
        <v>59</v>
      </c>
      <c r="G953">
        <v>42</v>
      </c>
      <c r="H953" t="s">
        <v>60</v>
      </c>
      <c r="I953">
        <v>13</v>
      </c>
      <c r="J953" s="54">
        <f t="shared" si="14"/>
        <v>1</v>
      </c>
    </row>
    <row r="954" spans="1:10">
      <c r="A954" s="43">
        <v>43437</v>
      </c>
      <c r="B954">
        <v>2006</v>
      </c>
      <c r="C954">
        <v>1732</v>
      </c>
      <c r="D954">
        <v>953</v>
      </c>
      <c r="E954">
        <v>7000</v>
      </c>
      <c r="F954" t="s">
        <v>59</v>
      </c>
      <c r="G954">
        <v>2</v>
      </c>
      <c r="H954" t="s">
        <v>133</v>
      </c>
      <c r="I954">
        <v>13</v>
      </c>
      <c r="J954" s="54">
        <f t="shared" si="14"/>
        <v>2</v>
      </c>
    </row>
    <row r="955" spans="1:10">
      <c r="A955" s="43">
        <v>43391</v>
      </c>
      <c r="B955">
        <v>2007</v>
      </c>
      <c r="C955">
        <v>1732</v>
      </c>
      <c r="D955">
        <v>954</v>
      </c>
      <c r="E955">
        <v>8800</v>
      </c>
      <c r="F955" t="s">
        <v>59</v>
      </c>
      <c r="G955">
        <v>6</v>
      </c>
      <c r="H955" t="s">
        <v>133</v>
      </c>
      <c r="I955">
        <v>12</v>
      </c>
      <c r="J955" s="54">
        <f t="shared" si="14"/>
        <v>6</v>
      </c>
    </row>
    <row r="956" spans="1:10">
      <c r="A956" s="43">
        <v>43389</v>
      </c>
      <c r="B956">
        <v>2006</v>
      </c>
      <c r="C956">
        <v>1732</v>
      </c>
      <c r="D956">
        <v>955</v>
      </c>
      <c r="E956">
        <v>8500</v>
      </c>
      <c r="F956" t="s">
        <v>59</v>
      </c>
      <c r="G956">
        <v>2</v>
      </c>
      <c r="H956" t="s">
        <v>133</v>
      </c>
      <c r="I956">
        <v>13</v>
      </c>
      <c r="J956" s="54">
        <f t="shared" si="14"/>
        <v>2</v>
      </c>
    </row>
    <row r="957" spans="1:10">
      <c r="A957" s="43">
        <v>43388</v>
      </c>
      <c r="B957">
        <v>2006</v>
      </c>
      <c r="C957">
        <v>1732</v>
      </c>
      <c r="D957">
        <v>956</v>
      </c>
      <c r="E957">
        <v>8500</v>
      </c>
      <c r="F957" t="s">
        <v>59</v>
      </c>
      <c r="G957">
        <v>42</v>
      </c>
      <c r="H957" t="s">
        <v>60</v>
      </c>
      <c r="I957">
        <v>13</v>
      </c>
      <c r="J957" s="54">
        <f t="shared" si="14"/>
        <v>1</v>
      </c>
    </row>
    <row r="958" spans="1:10">
      <c r="A958" s="43">
        <v>43385</v>
      </c>
      <c r="B958">
        <v>2010</v>
      </c>
      <c r="C958">
        <v>1732</v>
      </c>
      <c r="D958">
        <v>957</v>
      </c>
      <c r="E958">
        <v>9500</v>
      </c>
      <c r="F958" t="s">
        <v>59</v>
      </c>
      <c r="G958">
        <v>6</v>
      </c>
      <c r="H958" t="s">
        <v>133</v>
      </c>
      <c r="I958">
        <v>9</v>
      </c>
      <c r="J958" s="54">
        <f t="shared" si="14"/>
        <v>6</v>
      </c>
    </row>
    <row r="959" spans="1:10">
      <c r="A959" s="43">
        <v>43370</v>
      </c>
      <c r="B959">
        <v>2006</v>
      </c>
      <c r="C959">
        <v>1732</v>
      </c>
      <c r="D959">
        <v>958</v>
      </c>
      <c r="E959">
        <v>9850</v>
      </c>
      <c r="F959" t="s">
        <v>59</v>
      </c>
      <c r="G959">
        <v>7</v>
      </c>
      <c r="H959" t="s">
        <v>133</v>
      </c>
      <c r="I959">
        <v>13</v>
      </c>
      <c r="J959" s="54">
        <f t="shared" si="14"/>
        <v>7</v>
      </c>
    </row>
    <row r="960" spans="1:10">
      <c r="A960" s="43">
        <v>43370</v>
      </c>
      <c r="B960">
        <v>2007</v>
      </c>
      <c r="C960">
        <v>1732</v>
      </c>
      <c r="D960">
        <v>959</v>
      </c>
      <c r="E960">
        <v>9500</v>
      </c>
      <c r="F960" t="s">
        <v>59</v>
      </c>
      <c r="G960">
        <v>2</v>
      </c>
      <c r="H960" t="s">
        <v>133</v>
      </c>
      <c r="I960">
        <v>12</v>
      </c>
      <c r="J960" s="54">
        <f t="shared" si="14"/>
        <v>2</v>
      </c>
    </row>
    <row r="961" spans="1:10">
      <c r="A961" s="43">
        <v>43329</v>
      </c>
      <c r="B961">
        <v>2006</v>
      </c>
      <c r="C961">
        <v>1732</v>
      </c>
      <c r="D961">
        <v>960</v>
      </c>
      <c r="E961">
        <v>9450</v>
      </c>
      <c r="F961" t="s">
        <v>59</v>
      </c>
      <c r="G961">
        <v>42</v>
      </c>
      <c r="H961" t="s">
        <v>60</v>
      </c>
      <c r="I961">
        <v>13</v>
      </c>
      <c r="J961" s="54">
        <f t="shared" si="14"/>
        <v>1</v>
      </c>
    </row>
    <row r="962" spans="1:10">
      <c r="A962" s="43">
        <v>43298</v>
      </c>
      <c r="B962">
        <v>2010</v>
      </c>
      <c r="C962">
        <v>1732</v>
      </c>
      <c r="D962">
        <v>961</v>
      </c>
      <c r="E962">
        <v>10500</v>
      </c>
      <c r="F962" t="s">
        <v>59</v>
      </c>
      <c r="G962">
        <v>4</v>
      </c>
      <c r="H962" t="s">
        <v>133</v>
      </c>
      <c r="I962">
        <v>9</v>
      </c>
      <c r="J962" s="54">
        <f t="shared" ref="J962:J1025" si="15">IF(H962="days",ROUND(G962/30,0),IF(H962="years",G962*12,G962))</f>
        <v>4</v>
      </c>
    </row>
    <row r="963" spans="1:10">
      <c r="A963" s="43">
        <v>43285</v>
      </c>
      <c r="B963">
        <v>2007</v>
      </c>
      <c r="C963">
        <v>1732</v>
      </c>
      <c r="D963">
        <v>962</v>
      </c>
      <c r="E963">
        <v>11000</v>
      </c>
      <c r="F963" t="s">
        <v>59</v>
      </c>
      <c r="G963">
        <v>9</v>
      </c>
      <c r="H963" t="s">
        <v>133</v>
      </c>
      <c r="I963">
        <v>12</v>
      </c>
      <c r="J963" s="54">
        <f t="shared" si="15"/>
        <v>9</v>
      </c>
    </row>
    <row r="964" spans="1:10">
      <c r="A964" s="43">
        <v>43266</v>
      </c>
      <c r="B964">
        <v>2007</v>
      </c>
      <c r="C964">
        <v>1732</v>
      </c>
      <c r="D964">
        <v>963</v>
      </c>
      <c r="E964">
        <v>10700</v>
      </c>
      <c r="F964" t="s">
        <v>59</v>
      </c>
      <c r="G964">
        <v>5</v>
      </c>
      <c r="H964" t="s">
        <v>133</v>
      </c>
      <c r="I964">
        <v>12</v>
      </c>
      <c r="J964" s="54">
        <f t="shared" si="15"/>
        <v>5</v>
      </c>
    </row>
    <row r="965" spans="1:10">
      <c r="A965" s="43">
        <v>43251</v>
      </c>
      <c r="B965">
        <v>2006</v>
      </c>
      <c r="C965">
        <v>1732</v>
      </c>
      <c r="D965">
        <v>964</v>
      </c>
      <c r="E965">
        <v>11250</v>
      </c>
      <c r="F965" t="s">
        <v>59</v>
      </c>
      <c r="G965">
        <v>5</v>
      </c>
      <c r="H965" t="s">
        <v>133</v>
      </c>
      <c r="I965">
        <v>13</v>
      </c>
      <c r="J965" s="54">
        <f t="shared" si="15"/>
        <v>5</v>
      </c>
    </row>
    <row r="966" spans="1:10">
      <c r="A966" s="43">
        <v>43203</v>
      </c>
      <c r="B966">
        <v>2006</v>
      </c>
      <c r="C966">
        <v>1732</v>
      </c>
      <c r="D966">
        <v>965</v>
      </c>
      <c r="E966">
        <v>11000</v>
      </c>
      <c r="F966" t="s">
        <v>59</v>
      </c>
      <c r="G966">
        <v>5</v>
      </c>
      <c r="H966" t="s">
        <v>133</v>
      </c>
      <c r="I966">
        <v>13</v>
      </c>
      <c r="J966" s="54">
        <f t="shared" si="15"/>
        <v>5</v>
      </c>
    </row>
    <row r="967" spans="1:10">
      <c r="A967" s="43">
        <v>43188</v>
      </c>
      <c r="B967">
        <v>2007</v>
      </c>
      <c r="C967">
        <v>1732</v>
      </c>
      <c r="D967">
        <v>966</v>
      </c>
      <c r="E967">
        <v>10800</v>
      </c>
      <c r="F967" t="s">
        <v>59</v>
      </c>
      <c r="G967">
        <v>6</v>
      </c>
      <c r="H967" t="s">
        <v>133</v>
      </c>
      <c r="I967">
        <v>12</v>
      </c>
      <c r="J967" s="54">
        <f t="shared" si="15"/>
        <v>6</v>
      </c>
    </row>
    <row r="968" spans="1:10">
      <c r="A968" s="43">
        <v>43108</v>
      </c>
      <c r="B968">
        <v>2007</v>
      </c>
      <c r="C968">
        <v>1732</v>
      </c>
      <c r="D968">
        <v>967</v>
      </c>
      <c r="E968">
        <v>9000</v>
      </c>
      <c r="F968" t="s">
        <v>59</v>
      </c>
      <c r="G968">
        <v>6</v>
      </c>
      <c r="H968" t="s">
        <v>133</v>
      </c>
      <c r="I968">
        <v>12</v>
      </c>
      <c r="J968" s="54">
        <f t="shared" si="15"/>
        <v>6</v>
      </c>
    </row>
    <row r="969" spans="1:10">
      <c r="A969" s="43">
        <v>43077</v>
      </c>
      <c r="B969">
        <v>2007</v>
      </c>
      <c r="C969">
        <v>1732</v>
      </c>
      <c r="D969">
        <v>968</v>
      </c>
      <c r="E969">
        <v>9000</v>
      </c>
      <c r="F969" t="s">
        <v>59</v>
      </c>
      <c r="G969">
        <v>4</v>
      </c>
      <c r="H969" t="s">
        <v>133</v>
      </c>
      <c r="I969">
        <v>12</v>
      </c>
      <c r="J969" s="54">
        <f t="shared" si="15"/>
        <v>4</v>
      </c>
    </row>
    <row r="970" spans="1:10">
      <c r="A970" s="43">
        <v>43067</v>
      </c>
      <c r="B970">
        <v>2007</v>
      </c>
      <c r="C970">
        <v>1732</v>
      </c>
      <c r="D970">
        <v>969</v>
      </c>
      <c r="E970">
        <v>8250</v>
      </c>
      <c r="F970" t="s">
        <v>59</v>
      </c>
      <c r="G970">
        <v>3</v>
      </c>
      <c r="H970" t="s">
        <v>133</v>
      </c>
      <c r="I970">
        <v>12</v>
      </c>
      <c r="J970" s="54">
        <f t="shared" si="15"/>
        <v>3</v>
      </c>
    </row>
    <row r="971" spans="1:10">
      <c r="A971" s="43">
        <v>43062</v>
      </c>
      <c r="B971">
        <v>2006</v>
      </c>
      <c r="C971">
        <v>1732</v>
      </c>
      <c r="D971">
        <v>970</v>
      </c>
      <c r="E971">
        <v>8600</v>
      </c>
      <c r="F971" t="s">
        <v>59</v>
      </c>
      <c r="G971">
        <v>6</v>
      </c>
      <c r="H971" t="s">
        <v>133</v>
      </c>
      <c r="I971">
        <v>13</v>
      </c>
      <c r="J971" s="54">
        <f t="shared" si="15"/>
        <v>6</v>
      </c>
    </row>
    <row r="972" spans="1:10">
      <c r="A972" s="43">
        <v>43052</v>
      </c>
      <c r="B972">
        <v>2007</v>
      </c>
      <c r="C972">
        <v>1732</v>
      </c>
      <c r="D972">
        <v>971</v>
      </c>
      <c r="E972">
        <v>8100</v>
      </c>
      <c r="F972" t="s">
        <v>59</v>
      </c>
      <c r="G972">
        <v>7</v>
      </c>
      <c r="H972" t="s">
        <v>133</v>
      </c>
      <c r="I972">
        <v>12</v>
      </c>
      <c r="J972" s="54">
        <f t="shared" si="15"/>
        <v>7</v>
      </c>
    </row>
    <row r="973" spans="1:10">
      <c r="A973" s="43">
        <v>43038</v>
      </c>
      <c r="B973">
        <v>2006</v>
      </c>
      <c r="C973">
        <v>1732</v>
      </c>
      <c r="D973">
        <v>972</v>
      </c>
      <c r="E973">
        <v>8050</v>
      </c>
      <c r="F973" t="s">
        <v>59</v>
      </c>
      <c r="G973">
        <v>5</v>
      </c>
      <c r="H973" t="s">
        <v>133</v>
      </c>
      <c r="I973">
        <v>13</v>
      </c>
      <c r="J973" s="54">
        <f t="shared" si="15"/>
        <v>5</v>
      </c>
    </row>
    <row r="974" spans="1:10">
      <c r="A974" s="43">
        <v>42992</v>
      </c>
      <c r="B974">
        <v>2010</v>
      </c>
      <c r="C974">
        <v>1732</v>
      </c>
      <c r="D974">
        <v>973</v>
      </c>
      <c r="E974">
        <v>7650</v>
      </c>
      <c r="F974" t="s">
        <v>59</v>
      </c>
      <c r="G974">
        <v>8</v>
      </c>
      <c r="H974" t="s">
        <v>133</v>
      </c>
      <c r="I974">
        <v>9</v>
      </c>
      <c r="J974" s="54">
        <f t="shared" si="15"/>
        <v>8</v>
      </c>
    </row>
    <row r="975" spans="1:10">
      <c r="A975" s="43">
        <v>42961</v>
      </c>
      <c r="B975">
        <v>2007</v>
      </c>
      <c r="C975">
        <v>1732</v>
      </c>
      <c r="D975">
        <v>974</v>
      </c>
      <c r="E975">
        <v>7500</v>
      </c>
      <c r="F975" t="s">
        <v>59</v>
      </c>
      <c r="G975">
        <v>3</v>
      </c>
      <c r="H975" t="s">
        <v>133</v>
      </c>
      <c r="I975">
        <v>12</v>
      </c>
      <c r="J975" s="54">
        <f t="shared" si="15"/>
        <v>3</v>
      </c>
    </row>
    <row r="976" spans="1:10">
      <c r="A976" s="43">
        <v>42952</v>
      </c>
      <c r="B976">
        <v>2007</v>
      </c>
      <c r="C976">
        <v>1732</v>
      </c>
      <c r="D976">
        <v>975</v>
      </c>
      <c r="E976">
        <v>7200</v>
      </c>
      <c r="F976" t="s">
        <v>59</v>
      </c>
      <c r="G976">
        <v>4</v>
      </c>
      <c r="H976" t="s">
        <v>133</v>
      </c>
      <c r="I976">
        <v>12</v>
      </c>
      <c r="J976" s="54">
        <f t="shared" si="15"/>
        <v>4</v>
      </c>
    </row>
    <row r="977" spans="1:10">
      <c r="A977" s="43">
        <v>42950</v>
      </c>
      <c r="B977">
        <v>2007</v>
      </c>
      <c r="C977">
        <v>1732</v>
      </c>
      <c r="D977">
        <v>976</v>
      </c>
      <c r="E977">
        <v>7950</v>
      </c>
      <c r="F977" t="s">
        <v>59</v>
      </c>
      <c r="G977">
        <v>4</v>
      </c>
      <c r="H977" t="s">
        <v>133</v>
      </c>
      <c r="I977">
        <v>12</v>
      </c>
      <c r="J977" s="54">
        <f t="shared" si="15"/>
        <v>4</v>
      </c>
    </row>
    <row r="978" spans="1:10">
      <c r="A978" s="43">
        <v>42946</v>
      </c>
      <c r="B978">
        <v>2006</v>
      </c>
      <c r="C978">
        <v>1732</v>
      </c>
      <c r="D978">
        <v>977</v>
      </c>
      <c r="E978">
        <v>7450</v>
      </c>
      <c r="F978" t="s">
        <v>59</v>
      </c>
      <c r="G978">
        <v>4</v>
      </c>
      <c r="H978" t="s">
        <v>133</v>
      </c>
      <c r="I978">
        <v>13</v>
      </c>
      <c r="J978" s="54">
        <f t="shared" si="15"/>
        <v>4</v>
      </c>
    </row>
    <row r="979" spans="1:10">
      <c r="A979" s="43">
        <v>42942</v>
      </c>
      <c r="B979">
        <v>2006</v>
      </c>
      <c r="C979">
        <v>1732</v>
      </c>
      <c r="D979">
        <v>978</v>
      </c>
      <c r="E979">
        <v>7200</v>
      </c>
      <c r="F979" t="s">
        <v>59</v>
      </c>
      <c r="G979">
        <v>3</v>
      </c>
      <c r="H979" t="s">
        <v>133</v>
      </c>
      <c r="I979">
        <v>13</v>
      </c>
      <c r="J979" s="54">
        <f t="shared" si="15"/>
        <v>3</v>
      </c>
    </row>
    <row r="980" spans="1:10">
      <c r="A980" s="43">
        <v>42922</v>
      </c>
      <c r="B980">
        <v>2007</v>
      </c>
      <c r="C980">
        <v>1732</v>
      </c>
      <c r="D980">
        <v>979</v>
      </c>
      <c r="E980">
        <v>7250</v>
      </c>
      <c r="F980" t="s">
        <v>59</v>
      </c>
      <c r="G980">
        <v>2</v>
      </c>
      <c r="H980" t="s">
        <v>133</v>
      </c>
      <c r="I980">
        <v>12</v>
      </c>
      <c r="J980" s="54">
        <f t="shared" si="15"/>
        <v>2</v>
      </c>
    </row>
    <row r="981" spans="1:10">
      <c r="A981" s="43">
        <v>42888</v>
      </c>
      <c r="B981">
        <v>2010</v>
      </c>
      <c r="C981">
        <v>1732</v>
      </c>
      <c r="D981">
        <v>980</v>
      </c>
      <c r="E981">
        <v>7500</v>
      </c>
      <c r="F981" t="s">
        <v>59</v>
      </c>
      <c r="G981">
        <v>10</v>
      </c>
      <c r="H981" t="s">
        <v>133</v>
      </c>
      <c r="I981">
        <v>9</v>
      </c>
      <c r="J981" s="54">
        <f t="shared" si="15"/>
        <v>10</v>
      </c>
    </row>
    <row r="982" spans="1:10">
      <c r="A982" s="43">
        <v>42830</v>
      </c>
      <c r="B982">
        <v>2007</v>
      </c>
      <c r="C982">
        <v>1732</v>
      </c>
      <c r="D982">
        <v>981</v>
      </c>
      <c r="E982">
        <v>6750</v>
      </c>
      <c r="F982" t="s">
        <v>59</v>
      </c>
      <c r="G982">
        <v>4</v>
      </c>
      <c r="H982" t="s">
        <v>133</v>
      </c>
      <c r="I982">
        <v>12</v>
      </c>
      <c r="J982" s="54">
        <f t="shared" si="15"/>
        <v>4</v>
      </c>
    </row>
    <row r="983" spans="1:10">
      <c r="A983" s="43">
        <v>42830</v>
      </c>
      <c r="B983">
        <v>2006</v>
      </c>
      <c r="C983">
        <v>1732</v>
      </c>
      <c r="D983">
        <v>982</v>
      </c>
      <c r="E983">
        <v>6600</v>
      </c>
      <c r="F983" t="s">
        <v>59</v>
      </c>
      <c r="G983">
        <v>4</v>
      </c>
      <c r="H983" t="s">
        <v>133</v>
      </c>
      <c r="I983">
        <v>13</v>
      </c>
      <c r="J983" s="54">
        <f t="shared" si="15"/>
        <v>4</v>
      </c>
    </row>
    <row r="984" spans="1:10">
      <c r="A984" s="43">
        <v>42796</v>
      </c>
      <c r="B984">
        <v>2007</v>
      </c>
      <c r="C984">
        <v>1732</v>
      </c>
      <c r="D984">
        <v>983</v>
      </c>
      <c r="E984">
        <v>6550</v>
      </c>
      <c r="F984" t="s">
        <v>59</v>
      </c>
      <c r="G984">
        <v>70</v>
      </c>
      <c r="H984" t="s">
        <v>60</v>
      </c>
      <c r="I984">
        <v>12</v>
      </c>
      <c r="J984" s="54">
        <f t="shared" si="15"/>
        <v>2</v>
      </c>
    </row>
    <row r="985" spans="1:10">
      <c r="A985" s="43">
        <v>42795</v>
      </c>
      <c r="B985">
        <v>2007</v>
      </c>
      <c r="C985">
        <v>1732</v>
      </c>
      <c r="D985">
        <v>984</v>
      </c>
      <c r="E985">
        <v>6450</v>
      </c>
      <c r="F985" t="s">
        <v>59</v>
      </c>
      <c r="G985">
        <v>60</v>
      </c>
      <c r="H985" t="s">
        <v>60</v>
      </c>
      <c r="I985">
        <v>12</v>
      </c>
      <c r="J985" s="54">
        <f t="shared" si="15"/>
        <v>2</v>
      </c>
    </row>
    <row r="986" spans="1:10">
      <c r="A986" s="43">
        <v>42781</v>
      </c>
      <c r="B986">
        <v>2007</v>
      </c>
      <c r="C986">
        <v>1732</v>
      </c>
      <c r="D986">
        <v>985</v>
      </c>
      <c r="E986">
        <v>6500</v>
      </c>
      <c r="F986" t="s">
        <v>59</v>
      </c>
      <c r="G986">
        <v>12</v>
      </c>
      <c r="H986" t="s">
        <v>133</v>
      </c>
      <c r="I986">
        <v>12</v>
      </c>
      <c r="J986" s="54">
        <f t="shared" si="15"/>
        <v>12</v>
      </c>
    </row>
    <row r="987" spans="1:10">
      <c r="A987" s="43">
        <v>42780</v>
      </c>
      <c r="B987">
        <v>2006</v>
      </c>
      <c r="C987">
        <v>1732</v>
      </c>
      <c r="D987">
        <v>986</v>
      </c>
      <c r="E987">
        <v>6400</v>
      </c>
      <c r="F987" t="s">
        <v>59</v>
      </c>
      <c r="G987">
        <v>4</v>
      </c>
      <c r="H987" t="s">
        <v>133</v>
      </c>
      <c r="I987">
        <v>13</v>
      </c>
      <c r="J987" s="54">
        <f t="shared" si="15"/>
        <v>4</v>
      </c>
    </row>
    <row r="988" spans="1:10">
      <c r="A988" s="43">
        <v>42773</v>
      </c>
      <c r="B988">
        <v>2007</v>
      </c>
      <c r="C988">
        <v>1732</v>
      </c>
      <c r="D988">
        <v>987</v>
      </c>
      <c r="E988">
        <v>6850</v>
      </c>
      <c r="F988" t="s">
        <v>59</v>
      </c>
      <c r="G988">
        <v>45</v>
      </c>
      <c r="H988" t="s">
        <v>60</v>
      </c>
      <c r="I988">
        <v>12</v>
      </c>
      <c r="J988" s="54">
        <f t="shared" si="15"/>
        <v>2</v>
      </c>
    </row>
    <row r="989" spans="1:10">
      <c r="A989" s="43">
        <v>42773</v>
      </c>
      <c r="B989">
        <v>2006</v>
      </c>
      <c r="C989">
        <v>1732</v>
      </c>
      <c r="D989">
        <v>988</v>
      </c>
      <c r="E989">
        <v>6500</v>
      </c>
      <c r="F989" t="s">
        <v>59</v>
      </c>
      <c r="G989">
        <v>6</v>
      </c>
      <c r="H989" t="s">
        <v>133</v>
      </c>
      <c r="I989">
        <v>13</v>
      </c>
      <c r="J989" s="54">
        <f t="shared" si="15"/>
        <v>6</v>
      </c>
    </row>
    <row r="990" spans="1:10">
      <c r="A990" s="43">
        <v>42773</v>
      </c>
      <c r="B990">
        <v>2006</v>
      </c>
      <c r="C990">
        <v>1732</v>
      </c>
      <c r="D990">
        <v>989</v>
      </c>
      <c r="E990">
        <v>6500</v>
      </c>
      <c r="F990" t="s">
        <v>59</v>
      </c>
      <c r="G990">
        <v>6</v>
      </c>
      <c r="H990" t="s">
        <v>133</v>
      </c>
      <c r="I990">
        <v>13</v>
      </c>
      <c r="J990" s="54">
        <f t="shared" si="15"/>
        <v>6</v>
      </c>
    </row>
    <row r="991" spans="1:10">
      <c r="A991" s="43">
        <v>42745</v>
      </c>
      <c r="B991">
        <v>2006</v>
      </c>
      <c r="C991">
        <v>1732</v>
      </c>
      <c r="D991">
        <v>990</v>
      </c>
      <c r="E991">
        <v>6500</v>
      </c>
      <c r="F991" t="s">
        <v>59</v>
      </c>
      <c r="G991">
        <v>60</v>
      </c>
      <c r="H991" t="s">
        <v>60</v>
      </c>
      <c r="I991">
        <v>13</v>
      </c>
      <c r="J991" s="54">
        <f t="shared" si="15"/>
        <v>2</v>
      </c>
    </row>
    <row r="992" spans="1:10">
      <c r="A992" s="43">
        <v>42729</v>
      </c>
      <c r="B992">
        <v>2007</v>
      </c>
      <c r="C992">
        <v>1732</v>
      </c>
      <c r="D992">
        <v>991</v>
      </c>
      <c r="E992">
        <v>6500</v>
      </c>
      <c r="F992" t="s">
        <v>59</v>
      </c>
      <c r="G992">
        <v>60</v>
      </c>
      <c r="H992" t="s">
        <v>60</v>
      </c>
      <c r="I992">
        <v>12</v>
      </c>
      <c r="J992" s="54">
        <f t="shared" si="15"/>
        <v>2</v>
      </c>
    </row>
    <row r="993" spans="1:10">
      <c r="A993" s="43">
        <v>42720</v>
      </c>
      <c r="B993">
        <v>2007</v>
      </c>
      <c r="C993">
        <v>1732</v>
      </c>
      <c r="D993">
        <v>992</v>
      </c>
      <c r="E993">
        <v>6550</v>
      </c>
      <c r="F993" t="s">
        <v>59</v>
      </c>
      <c r="G993">
        <v>3</v>
      </c>
      <c r="H993" t="s">
        <v>133</v>
      </c>
      <c r="I993">
        <v>12</v>
      </c>
      <c r="J993" s="54">
        <f t="shared" si="15"/>
        <v>3</v>
      </c>
    </row>
    <row r="994" spans="1:10">
      <c r="A994" s="43">
        <v>42689</v>
      </c>
      <c r="B994">
        <v>2010</v>
      </c>
      <c r="C994">
        <v>1732</v>
      </c>
      <c r="D994">
        <v>993</v>
      </c>
      <c r="E994">
        <v>6400</v>
      </c>
      <c r="F994" t="s">
        <v>59</v>
      </c>
      <c r="G994">
        <v>6</v>
      </c>
      <c r="H994" t="s">
        <v>133</v>
      </c>
      <c r="I994">
        <v>9</v>
      </c>
      <c r="J994" s="54">
        <f t="shared" si="15"/>
        <v>6</v>
      </c>
    </row>
    <row r="995" spans="1:10">
      <c r="A995" s="43">
        <v>42663</v>
      </c>
      <c r="B995">
        <v>2006</v>
      </c>
      <c r="C995">
        <v>1732</v>
      </c>
      <c r="D995">
        <v>994</v>
      </c>
      <c r="E995">
        <v>6500</v>
      </c>
      <c r="F995" t="s">
        <v>59</v>
      </c>
      <c r="G995">
        <v>3</v>
      </c>
      <c r="H995" t="s">
        <v>133</v>
      </c>
      <c r="I995">
        <v>13</v>
      </c>
      <c r="J995" s="54">
        <f t="shared" si="15"/>
        <v>3</v>
      </c>
    </row>
    <row r="996" spans="1:10">
      <c r="A996" s="43">
        <v>42663</v>
      </c>
      <c r="B996">
        <v>2007</v>
      </c>
      <c r="C996">
        <v>1732</v>
      </c>
      <c r="D996">
        <v>995</v>
      </c>
      <c r="E996">
        <v>6500</v>
      </c>
      <c r="F996" t="s">
        <v>59</v>
      </c>
      <c r="G996">
        <v>3</v>
      </c>
      <c r="H996" t="s">
        <v>133</v>
      </c>
      <c r="I996">
        <v>12</v>
      </c>
      <c r="J996" s="54">
        <f t="shared" si="15"/>
        <v>3</v>
      </c>
    </row>
    <row r="997" spans="1:10">
      <c r="A997" s="43">
        <v>42632</v>
      </c>
      <c r="B997">
        <v>2007</v>
      </c>
      <c r="C997">
        <v>1732</v>
      </c>
      <c r="D997">
        <v>996</v>
      </c>
      <c r="E997">
        <v>6500</v>
      </c>
      <c r="F997" t="s">
        <v>59</v>
      </c>
      <c r="G997">
        <v>5</v>
      </c>
      <c r="H997" t="s">
        <v>133</v>
      </c>
      <c r="I997">
        <v>12</v>
      </c>
      <c r="J997" s="54">
        <f t="shared" si="15"/>
        <v>5</v>
      </c>
    </row>
    <row r="998" spans="1:10">
      <c r="A998" s="43">
        <v>42577</v>
      </c>
      <c r="B998">
        <v>2006</v>
      </c>
      <c r="C998">
        <v>1732</v>
      </c>
      <c r="D998">
        <v>997</v>
      </c>
      <c r="E998">
        <v>6750</v>
      </c>
      <c r="F998" t="s">
        <v>59</v>
      </c>
      <c r="G998">
        <v>7</v>
      </c>
      <c r="H998" t="s">
        <v>133</v>
      </c>
      <c r="I998">
        <v>13</v>
      </c>
      <c r="J998" s="54">
        <f t="shared" si="15"/>
        <v>7</v>
      </c>
    </row>
    <row r="999" spans="1:10">
      <c r="A999" s="43">
        <v>42571</v>
      </c>
      <c r="B999">
        <v>2007</v>
      </c>
      <c r="C999">
        <v>1732</v>
      </c>
      <c r="D999">
        <v>998</v>
      </c>
      <c r="E999">
        <v>7150</v>
      </c>
      <c r="F999" t="s">
        <v>59</v>
      </c>
      <c r="G999">
        <v>6</v>
      </c>
      <c r="H999" t="s">
        <v>133</v>
      </c>
      <c r="I999">
        <v>12</v>
      </c>
      <c r="J999" s="54">
        <f t="shared" si="15"/>
        <v>6</v>
      </c>
    </row>
    <row r="1000" spans="1:10">
      <c r="A1000" s="43">
        <v>42564</v>
      </c>
      <c r="B1000">
        <v>2006</v>
      </c>
      <c r="C1000">
        <v>1732</v>
      </c>
      <c r="D1000">
        <v>999</v>
      </c>
      <c r="E1000">
        <v>6750</v>
      </c>
      <c r="F1000" t="s">
        <v>59</v>
      </c>
      <c r="G1000">
        <v>42</v>
      </c>
      <c r="H1000" t="s">
        <v>60</v>
      </c>
      <c r="I1000">
        <v>13</v>
      </c>
      <c r="J1000" s="54">
        <f t="shared" si="15"/>
        <v>1</v>
      </c>
    </row>
    <row r="1001" spans="1:10">
      <c r="A1001" s="43">
        <v>42543</v>
      </c>
      <c r="B1001">
        <v>2007</v>
      </c>
      <c r="C1001">
        <v>1732</v>
      </c>
      <c r="D1001">
        <v>1000</v>
      </c>
      <c r="E1001">
        <v>6750</v>
      </c>
      <c r="F1001" t="s">
        <v>59</v>
      </c>
      <c r="G1001">
        <v>9</v>
      </c>
      <c r="H1001" t="s">
        <v>133</v>
      </c>
      <c r="I1001">
        <v>12</v>
      </c>
      <c r="J1001" s="54">
        <f t="shared" si="15"/>
        <v>9</v>
      </c>
    </row>
    <row r="1002" spans="1:10">
      <c r="A1002" s="43">
        <v>42530</v>
      </c>
      <c r="B1002">
        <v>2010</v>
      </c>
      <c r="C1002">
        <v>1732</v>
      </c>
      <c r="D1002">
        <v>1001</v>
      </c>
      <c r="E1002">
        <v>6750</v>
      </c>
      <c r="F1002" t="s">
        <v>59</v>
      </c>
      <c r="G1002">
        <v>5</v>
      </c>
      <c r="H1002" t="s">
        <v>133</v>
      </c>
      <c r="I1002">
        <v>9</v>
      </c>
      <c r="J1002" s="54">
        <f t="shared" si="15"/>
        <v>5</v>
      </c>
    </row>
    <row r="1003" spans="1:10">
      <c r="A1003" s="43">
        <v>42521</v>
      </c>
      <c r="B1003">
        <v>2006</v>
      </c>
      <c r="C1003">
        <v>1732</v>
      </c>
      <c r="D1003">
        <v>1002</v>
      </c>
      <c r="E1003">
        <v>8000</v>
      </c>
      <c r="F1003" t="s">
        <v>59</v>
      </c>
      <c r="G1003">
        <v>12</v>
      </c>
      <c r="H1003" t="s">
        <v>133</v>
      </c>
      <c r="I1003">
        <v>13</v>
      </c>
      <c r="J1003" s="54">
        <f t="shared" si="15"/>
        <v>12</v>
      </c>
    </row>
    <row r="1004" spans="1:10">
      <c r="A1004" s="43">
        <v>42515</v>
      </c>
      <c r="B1004">
        <v>2006</v>
      </c>
      <c r="C1004">
        <v>1732</v>
      </c>
      <c r="D1004">
        <v>1003</v>
      </c>
      <c r="E1004">
        <v>6800</v>
      </c>
      <c r="F1004" t="s">
        <v>59</v>
      </c>
      <c r="G1004">
        <v>30</v>
      </c>
      <c r="H1004" t="s">
        <v>60</v>
      </c>
      <c r="I1004">
        <v>13</v>
      </c>
      <c r="J1004" s="54">
        <f t="shared" si="15"/>
        <v>1</v>
      </c>
    </row>
    <row r="1005" spans="1:10">
      <c r="A1005" s="43">
        <v>42430</v>
      </c>
      <c r="B1005">
        <v>2007</v>
      </c>
      <c r="C1005">
        <v>1732</v>
      </c>
      <c r="D1005">
        <v>1004</v>
      </c>
      <c r="E1005">
        <v>6300</v>
      </c>
      <c r="F1005" t="s">
        <v>59</v>
      </c>
      <c r="G1005">
        <v>8</v>
      </c>
      <c r="H1005" t="s">
        <v>133</v>
      </c>
      <c r="I1005">
        <v>12</v>
      </c>
      <c r="J1005" s="54">
        <f t="shared" si="15"/>
        <v>8</v>
      </c>
    </row>
    <row r="1006" spans="1:10">
      <c r="A1006" s="43">
        <v>42429</v>
      </c>
      <c r="B1006">
        <v>2006</v>
      </c>
      <c r="C1006">
        <v>1732</v>
      </c>
      <c r="D1006">
        <v>1005</v>
      </c>
      <c r="E1006">
        <v>6250</v>
      </c>
      <c r="F1006" t="s">
        <v>59</v>
      </c>
      <c r="G1006">
        <v>3</v>
      </c>
      <c r="H1006" t="s">
        <v>133</v>
      </c>
      <c r="I1006">
        <v>13</v>
      </c>
      <c r="J1006" s="54">
        <f t="shared" si="15"/>
        <v>3</v>
      </c>
    </row>
    <row r="1007" spans="1:10">
      <c r="A1007" s="43">
        <v>42429</v>
      </c>
      <c r="B1007">
        <v>2006</v>
      </c>
      <c r="C1007">
        <v>1732</v>
      </c>
      <c r="D1007">
        <v>1006</v>
      </c>
      <c r="E1007">
        <v>6250</v>
      </c>
      <c r="F1007" t="s">
        <v>59</v>
      </c>
      <c r="G1007">
        <v>5</v>
      </c>
      <c r="H1007" t="s">
        <v>133</v>
      </c>
      <c r="I1007">
        <v>13</v>
      </c>
      <c r="J1007" s="54">
        <f t="shared" si="15"/>
        <v>5</v>
      </c>
    </row>
    <row r="1008" spans="1:10">
      <c r="A1008" s="43">
        <v>42409</v>
      </c>
      <c r="B1008">
        <v>2010</v>
      </c>
      <c r="C1008">
        <v>1732</v>
      </c>
      <c r="D1008">
        <v>1007</v>
      </c>
      <c r="E1008">
        <v>6750</v>
      </c>
      <c r="F1008" t="s">
        <v>59</v>
      </c>
      <c r="G1008">
        <v>12</v>
      </c>
      <c r="H1008" t="s">
        <v>133</v>
      </c>
      <c r="I1008">
        <v>9</v>
      </c>
      <c r="J1008" s="54">
        <f t="shared" si="15"/>
        <v>12</v>
      </c>
    </row>
    <row r="1009" spans="1:10">
      <c r="A1009" s="43">
        <v>42403</v>
      </c>
      <c r="B1009">
        <v>2006</v>
      </c>
      <c r="C1009">
        <v>1732</v>
      </c>
      <c r="D1009">
        <v>1008</v>
      </c>
      <c r="E1009">
        <v>7250</v>
      </c>
      <c r="F1009" t="s">
        <v>59</v>
      </c>
      <c r="G1009">
        <v>6</v>
      </c>
      <c r="H1009" t="s">
        <v>133</v>
      </c>
      <c r="I1009">
        <v>13</v>
      </c>
      <c r="J1009" s="54">
        <f t="shared" si="15"/>
        <v>6</v>
      </c>
    </row>
    <row r="1010" spans="1:10">
      <c r="A1010" s="43">
        <v>43623</v>
      </c>
      <c r="B1010">
        <v>2008</v>
      </c>
      <c r="C1010">
        <v>1740</v>
      </c>
      <c r="D1010">
        <v>1009</v>
      </c>
      <c r="E1010">
        <v>9500</v>
      </c>
      <c r="F1010" t="s">
        <v>59</v>
      </c>
      <c r="G1010">
        <v>12</v>
      </c>
      <c r="H1010" t="s">
        <v>133</v>
      </c>
      <c r="I1010">
        <v>11</v>
      </c>
      <c r="J1010" s="54">
        <f t="shared" si="15"/>
        <v>12</v>
      </c>
    </row>
    <row r="1011" spans="1:10">
      <c r="A1011" s="43">
        <v>43621</v>
      </c>
      <c r="B1011">
        <v>2006</v>
      </c>
      <c r="C1011">
        <v>1740</v>
      </c>
      <c r="D1011">
        <v>1010</v>
      </c>
      <c r="E1011">
        <v>8600</v>
      </c>
      <c r="F1011" t="s">
        <v>59</v>
      </c>
      <c r="G1011">
        <v>5</v>
      </c>
      <c r="H1011" t="s">
        <v>133</v>
      </c>
      <c r="I1011">
        <v>13</v>
      </c>
      <c r="J1011" s="54">
        <f t="shared" si="15"/>
        <v>5</v>
      </c>
    </row>
    <row r="1012" spans="1:10">
      <c r="A1012" s="43">
        <v>43621</v>
      </c>
      <c r="B1012">
        <v>2009</v>
      </c>
      <c r="C1012">
        <v>1740</v>
      </c>
      <c r="D1012">
        <v>1011</v>
      </c>
      <c r="E1012">
        <v>8000</v>
      </c>
      <c r="F1012" t="s">
        <v>59</v>
      </c>
      <c r="G1012">
        <v>6</v>
      </c>
      <c r="H1012" t="s">
        <v>133</v>
      </c>
      <c r="I1012">
        <v>10</v>
      </c>
      <c r="J1012" s="54">
        <f t="shared" si="15"/>
        <v>6</v>
      </c>
    </row>
    <row r="1013" spans="1:10">
      <c r="A1013" s="43">
        <v>43619</v>
      </c>
      <c r="B1013">
        <v>2007</v>
      </c>
      <c r="C1013">
        <v>1740</v>
      </c>
      <c r="D1013">
        <v>1012</v>
      </c>
      <c r="E1013">
        <v>8350</v>
      </c>
      <c r="F1013" t="s">
        <v>59</v>
      </c>
      <c r="G1013">
        <v>30</v>
      </c>
      <c r="H1013" t="s">
        <v>60</v>
      </c>
      <c r="I1013">
        <v>12</v>
      </c>
      <c r="J1013" s="54">
        <f t="shared" si="15"/>
        <v>1</v>
      </c>
    </row>
    <row r="1014" spans="1:10">
      <c r="A1014" s="43">
        <v>43613</v>
      </c>
      <c r="B1014">
        <v>2010</v>
      </c>
      <c r="C1014">
        <v>1740</v>
      </c>
      <c r="D1014">
        <v>1013</v>
      </c>
      <c r="E1014">
        <v>8050</v>
      </c>
      <c r="F1014" t="s">
        <v>59</v>
      </c>
      <c r="G1014">
        <v>5</v>
      </c>
      <c r="H1014" t="s">
        <v>133</v>
      </c>
      <c r="I1014">
        <v>9</v>
      </c>
      <c r="J1014" s="54">
        <f t="shared" si="15"/>
        <v>5</v>
      </c>
    </row>
    <row r="1015" spans="1:10">
      <c r="A1015" s="43">
        <v>43594</v>
      </c>
      <c r="B1015">
        <v>2008</v>
      </c>
      <c r="C1015">
        <v>1740</v>
      </c>
      <c r="D1015">
        <v>1014</v>
      </c>
      <c r="E1015">
        <v>8250</v>
      </c>
      <c r="F1015" t="s">
        <v>59</v>
      </c>
      <c r="G1015">
        <v>6</v>
      </c>
      <c r="H1015" t="s">
        <v>133</v>
      </c>
      <c r="I1015">
        <v>11</v>
      </c>
      <c r="J1015" s="54">
        <f t="shared" si="15"/>
        <v>6</v>
      </c>
    </row>
    <row r="1016" spans="1:10">
      <c r="A1016" s="43">
        <v>43594</v>
      </c>
      <c r="B1016">
        <v>2006</v>
      </c>
      <c r="C1016">
        <v>1740</v>
      </c>
      <c r="D1016">
        <v>1015</v>
      </c>
      <c r="E1016">
        <v>8350</v>
      </c>
      <c r="F1016" t="s">
        <v>59</v>
      </c>
      <c r="G1016">
        <v>6</v>
      </c>
      <c r="H1016" t="s">
        <v>133</v>
      </c>
      <c r="I1016">
        <v>13</v>
      </c>
      <c r="J1016" s="54">
        <f t="shared" si="15"/>
        <v>6</v>
      </c>
    </row>
    <row r="1017" spans="1:10">
      <c r="A1017" s="43">
        <v>43571</v>
      </c>
      <c r="B1017">
        <v>2010</v>
      </c>
      <c r="C1017">
        <v>1740</v>
      </c>
      <c r="D1017">
        <v>1016</v>
      </c>
      <c r="E1017">
        <v>9250</v>
      </c>
      <c r="F1017" t="s">
        <v>59</v>
      </c>
      <c r="G1017">
        <v>13</v>
      </c>
      <c r="H1017" t="s">
        <v>133</v>
      </c>
      <c r="I1017">
        <v>9</v>
      </c>
      <c r="J1017" s="54">
        <f t="shared" si="15"/>
        <v>13</v>
      </c>
    </row>
    <row r="1018" spans="1:10">
      <c r="A1018" s="43">
        <v>43556</v>
      </c>
      <c r="B1018">
        <v>2008</v>
      </c>
      <c r="C1018">
        <v>1740</v>
      </c>
      <c r="D1018">
        <v>1017</v>
      </c>
      <c r="E1018">
        <v>7900</v>
      </c>
      <c r="F1018" t="s">
        <v>59</v>
      </c>
      <c r="G1018">
        <v>12</v>
      </c>
      <c r="H1018" t="s">
        <v>133</v>
      </c>
      <c r="I1018">
        <v>11</v>
      </c>
      <c r="J1018" s="54">
        <f t="shared" si="15"/>
        <v>12</v>
      </c>
    </row>
    <row r="1019" spans="1:10">
      <c r="A1019" s="43">
        <v>43549</v>
      </c>
      <c r="B1019">
        <v>2006</v>
      </c>
      <c r="C1019">
        <v>1740</v>
      </c>
      <c r="D1019">
        <v>1018</v>
      </c>
      <c r="E1019">
        <v>7900</v>
      </c>
      <c r="F1019" t="s">
        <v>59</v>
      </c>
      <c r="G1019">
        <v>4</v>
      </c>
      <c r="H1019" t="s">
        <v>133</v>
      </c>
      <c r="I1019">
        <v>13</v>
      </c>
      <c r="J1019" s="54">
        <f t="shared" si="15"/>
        <v>4</v>
      </c>
    </row>
    <row r="1020" spans="1:10">
      <c r="A1020" s="43">
        <v>43542</v>
      </c>
      <c r="B1020">
        <v>2007</v>
      </c>
      <c r="C1020">
        <v>1740</v>
      </c>
      <c r="D1020">
        <v>1019</v>
      </c>
      <c r="E1020">
        <v>7000</v>
      </c>
      <c r="F1020" t="s">
        <v>59</v>
      </c>
      <c r="G1020">
        <v>6</v>
      </c>
      <c r="H1020" t="s">
        <v>133</v>
      </c>
      <c r="I1020">
        <v>12</v>
      </c>
      <c r="J1020" s="54">
        <f t="shared" si="15"/>
        <v>6</v>
      </c>
    </row>
    <row r="1021" spans="1:10">
      <c r="A1021" s="43">
        <v>43542</v>
      </c>
      <c r="B1021">
        <v>2009</v>
      </c>
      <c r="C1021">
        <v>1740</v>
      </c>
      <c r="D1021">
        <v>1020</v>
      </c>
      <c r="E1021">
        <v>7000</v>
      </c>
      <c r="F1021" t="s">
        <v>59</v>
      </c>
      <c r="G1021">
        <v>6</v>
      </c>
      <c r="H1021" t="s">
        <v>133</v>
      </c>
      <c r="I1021">
        <v>10</v>
      </c>
      <c r="J1021" s="54">
        <f t="shared" si="15"/>
        <v>6</v>
      </c>
    </row>
    <row r="1022" spans="1:10">
      <c r="A1022" s="43">
        <v>43539</v>
      </c>
      <c r="B1022">
        <v>2007</v>
      </c>
      <c r="C1022">
        <v>1740</v>
      </c>
      <c r="D1022">
        <v>1021</v>
      </c>
      <c r="E1022">
        <v>7500</v>
      </c>
      <c r="F1022" t="s">
        <v>59</v>
      </c>
      <c r="G1022">
        <v>7</v>
      </c>
      <c r="H1022" t="s">
        <v>133</v>
      </c>
      <c r="I1022">
        <v>12</v>
      </c>
      <c r="J1022" s="54">
        <f t="shared" si="15"/>
        <v>7</v>
      </c>
    </row>
    <row r="1023" spans="1:10">
      <c r="A1023" s="43">
        <v>43539</v>
      </c>
      <c r="B1023">
        <v>2010</v>
      </c>
      <c r="C1023">
        <v>1740</v>
      </c>
      <c r="D1023">
        <v>1022</v>
      </c>
      <c r="E1023">
        <v>7500</v>
      </c>
      <c r="F1023" t="s">
        <v>59</v>
      </c>
      <c r="G1023">
        <v>5</v>
      </c>
      <c r="H1023" t="s">
        <v>133</v>
      </c>
      <c r="I1023">
        <v>9</v>
      </c>
      <c r="J1023" s="54">
        <f t="shared" si="15"/>
        <v>5</v>
      </c>
    </row>
    <row r="1024" spans="1:10">
      <c r="A1024" s="43">
        <v>43537</v>
      </c>
      <c r="B1024">
        <v>2010</v>
      </c>
      <c r="C1024">
        <v>1740</v>
      </c>
      <c r="D1024">
        <v>1023</v>
      </c>
      <c r="E1024">
        <v>7250</v>
      </c>
      <c r="F1024" t="s">
        <v>59</v>
      </c>
      <c r="G1024">
        <v>7</v>
      </c>
      <c r="H1024" t="s">
        <v>133</v>
      </c>
      <c r="I1024">
        <v>9</v>
      </c>
      <c r="J1024" s="54">
        <f t="shared" si="15"/>
        <v>7</v>
      </c>
    </row>
    <row r="1025" spans="1:10">
      <c r="A1025" s="43">
        <v>43535</v>
      </c>
      <c r="B1025">
        <v>2010</v>
      </c>
      <c r="C1025">
        <v>1740</v>
      </c>
      <c r="D1025">
        <v>1024</v>
      </c>
      <c r="E1025">
        <v>9000</v>
      </c>
      <c r="F1025" t="s">
        <v>59</v>
      </c>
      <c r="G1025">
        <v>2</v>
      </c>
      <c r="H1025" t="s">
        <v>133</v>
      </c>
      <c r="I1025">
        <v>9</v>
      </c>
      <c r="J1025" s="54">
        <f t="shared" si="15"/>
        <v>2</v>
      </c>
    </row>
    <row r="1026" spans="1:10">
      <c r="A1026" s="43">
        <v>43523</v>
      </c>
      <c r="B1026">
        <v>2009</v>
      </c>
      <c r="C1026">
        <v>1740</v>
      </c>
      <c r="D1026">
        <v>1025</v>
      </c>
      <c r="E1026">
        <v>7250</v>
      </c>
      <c r="F1026" t="s">
        <v>59</v>
      </c>
      <c r="G1026">
        <v>7</v>
      </c>
      <c r="H1026" t="s">
        <v>133</v>
      </c>
      <c r="I1026">
        <v>10</v>
      </c>
      <c r="J1026" s="54">
        <f t="shared" ref="J1026:J1089" si="16">IF(H1026="days",ROUND(G1026/30,0),IF(H1026="years",G1026*12,G1026))</f>
        <v>7</v>
      </c>
    </row>
    <row r="1027" spans="1:10">
      <c r="A1027" s="43">
        <v>43516</v>
      </c>
      <c r="B1027">
        <v>2010</v>
      </c>
      <c r="C1027">
        <v>1740</v>
      </c>
      <c r="D1027">
        <v>1026</v>
      </c>
      <c r="E1027">
        <v>7100</v>
      </c>
      <c r="F1027" t="s">
        <v>59</v>
      </c>
      <c r="G1027">
        <v>5</v>
      </c>
      <c r="H1027" t="s">
        <v>133</v>
      </c>
      <c r="I1027">
        <v>9</v>
      </c>
      <c r="J1027" s="54">
        <f t="shared" si="16"/>
        <v>5</v>
      </c>
    </row>
    <row r="1028" spans="1:10">
      <c r="A1028" s="43">
        <v>43508</v>
      </c>
      <c r="B1028">
        <v>2007</v>
      </c>
      <c r="C1028">
        <v>1740</v>
      </c>
      <c r="D1028">
        <v>1027</v>
      </c>
      <c r="E1028">
        <v>7000</v>
      </c>
      <c r="F1028" t="s">
        <v>59</v>
      </c>
      <c r="G1028">
        <v>24</v>
      </c>
      <c r="H1028" t="s">
        <v>133</v>
      </c>
      <c r="I1028">
        <v>12</v>
      </c>
      <c r="J1028" s="54">
        <f t="shared" si="16"/>
        <v>24</v>
      </c>
    </row>
    <row r="1029" spans="1:10">
      <c r="A1029" s="43">
        <v>43453</v>
      </c>
      <c r="B1029">
        <v>2006</v>
      </c>
      <c r="C1029">
        <v>1740</v>
      </c>
      <c r="D1029">
        <v>1028</v>
      </c>
      <c r="E1029">
        <v>7750</v>
      </c>
      <c r="F1029" t="s">
        <v>59</v>
      </c>
      <c r="G1029">
        <v>60</v>
      </c>
      <c r="H1029" t="s">
        <v>60</v>
      </c>
      <c r="I1029">
        <v>13</v>
      </c>
      <c r="J1029" s="54">
        <f t="shared" si="16"/>
        <v>2</v>
      </c>
    </row>
    <row r="1030" spans="1:10">
      <c r="A1030" s="43">
        <v>43438</v>
      </c>
      <c r="B1030">
        <v>2006</v>
      </c>
      <c r="C1030">
        <v>1740</v>
      </c>
      <c r="D1030">
        <v>1029</v>
      </c>
      <c r="E1030">
        <v>7750</v>
      </c>
      <c r="F1030" t="s">
        <v>59</v>
      </c>
      <c r="G1030">
        <v>60</v>
      </c>
      <c r="H1030" t="s">
        <v>60</v>
      </c>
      <c r="I1030">
        <v>13</v>
      </c>
      <c r="J1030" s="54">
        <f t="shared" si="16"/>
        <v>2</v>
      </c>
    </row>
    <row r="1031" spans="1:10">
      <c r="A1031" s="43">
        <v>43426</v>
      </c>
      <c r="B1031">
        <v>2010</v>
      </c>
      <c r="C1031">
        <v>1740</v>
      </c>
      <c r="D1031">
        <v>1030</v>
      </c>
      <c r="E1031">
        <v>8500</v>
      </c>
      <c r="F1031" t="s">
        <v>59</v>
      </c>
      <c r="G1031">
        <v>5</v>
      </c>
      <c r="H1031" t="s">
        <v>133</v>
      </c>
      <c r="I1031">
        <v>9</v>
      </c>
      <c r="J1031" s="54">
        <f t="shared" si="16"/>
        <v>5</v>
      </c>
    </row>
    <row r="1032" spans="1:10">
      <c r="A1032" s="43">
        <v>43426</v>
      </c>
      <c r="B1032">
        <v>2007</v>
      </c>
      <c r="C1032">
        <v>1740</v>
      </c>
      <c r="D1032">
        <v>1031</v>
      </c>
      <c r="E1032">
        <v>8500</v>
      </c>
      <c r="F1032" t="s">
        <v>59</v>
      </c>
      <c r="G1032">
        <v>12</v>
      </c>
      <c r="H1032" t="s">
        <v>133</v>
      </c>
      <c r="I1032">
        <v>12</v>
      </c>
      <c r="J1032" s="54">
        <f t="shared" si="16"/>
        <v>12</v>
      </c>
    </row>
    <row r="1033" spans="1:10">
      <c r="A1033" s="43">
        <v>43425</v>
      </c>
      <c r="B1033">
        <v>2009</v>
      </c>
      <c r="C1033">
        <v>1740</v>
      </c>
      <c r="D1033">
        <v>1032</v>
      </c>
      <c r="E1033">
        <v>7450</v>
      </c>
      <c r="F1033" t="s">
        <v>59</v>
      </c>
      <c r="G1033">
        <v>6</v>
      </c>
      <c r="H1033" t="s">
        <v>133</v>
      </c>
      <c r="I1033">
        <v>10</v>
      </c>
      <c r="J1033" s="54">
        <f t="shared" si="16"/>
        <v>6</v>
      </c>
    </row>
    <row r="1034" spans="1:10">
      <c r="A1034" s="43">
        <v>43425</v>
      </c>
      <c r="B1034">
        <v>2007</v>
      </c>
      <c r="C1034">
        <v>1740</v>
      </c>
      <c r="D1034">
        <v>1033</v>
      </c>
      <c r="E1034">
        <v>7500</v>
      </c>
      <c r="F1034" t="s">
        <v>59</v>
      </c>
      <c r="G1034">
        <v>6</v>
      </c>
      <c r="H1034" t="s">
        <v>133</v>
      </c>
      <c r="I1034">
        <v>12</v>
      </c>
      <c r="J1034" s="54">
        <f t="shared" si="16"/>
        <v>6</v>
      </c>
    </row>
    <row r="1035" spans="1:10">
      <c r="A1035" s="43">
        <v>43423</v>
      </c>
      <c r="B1035">
        <v>2008</v>
      </c>
      <c r="C1035">
        <v>1740</v>
      </c>
      <c r="D1035">
        <v>1034</v>
      </c>
      <c r="E1035">
        <v>7500</v>
      </c>
      <c r="F1035" t="s">
        <v>59</v>
      </c>
      <c r="G1035">
        <v>11</v>
      </c>
      <c r="H1035" t="s">
        <v>133</v>
      </c>
      <c r="I1035">
        <v>11</v>
      </c>
      <c r="J1035" s="54">
        <f t="shared" si="16"/>
        <v>11</v>
      </c>
    </row>
    <row r="1036" spans="1:10">
      <c r="A1036" s="43">
        <v>43391</v>
      </c>
      <c r="B1036">
        <v>2006</v>
      </c>
      <c r="C1036">
        <v>1740</v>
      </c>
      <c r="D1036">
        <v>1035</v>
      </c>
      <c r="E1036">
        <v>9100</v>
      </c>
      <c r="F1036" t="s">
        <v>59</v>
      </c>
      <c r="G1036">
        <v>8</v>
      </c>
      <c r="H1036" t="s">
        <v>133</v>
      </c>
      <c r="I1036">
        <v>13</v>
      </c>
      <c r="J1036" s="54">
        <f t="shared" si="16"/>
        <v>8</v>
      </c>
    </row>
    <row r="1037" spans="1:10">
      <c r="A1037" s="43">
        <v>43385</v>
      </c>
      <c r="B1037">
        <v>2010</v>
      </c>
      <c r="C1037">
        <v>1740</v>
      </c>
      <c r="D1037">
        <v>1036</v>
      </c>
      <c r="E1037">
        <v>9400</v>
      </c>
      <c r="F1037" t="s">
        <v>59</v>
      </c>
      <c r="G1037">
        <v>1</v>
      </c>
      <c r="H1037" t="s">
        <v>133</v>
      </c>
      <c r="I1037">
        <v>9</v>
      </c>
      <c r="J1037" s="54">
        <f t="shared" si="16"/>
        <v>1</v>
      </c>
    </row>
    <row r="1038" spans="1:10">
      <c r="A1038" s="43">
        <v>43343</v>
      </c>
      <c r="B1038">
        <v>2009</v>
      </c>
      <c r="C1038">
        <v>1740</v>
      </c>
      <c r="D1038">
        <v>1037</v>
      </c>
      <c r="E1038">
        <v>10000</v>
      </c>
      <c r="F1038" t="s">
        <v>59</v>
      </c>
      <c r="G1038">
        <v>3</v>
      </c>
      <c r="H1038" t="s">
        <v>133</v>
      </c>
      <c r="I1038">
        <v>10</v>
      </c>
      <c r="J1038" s="54">
        <f t="shared" si="16"/>
        <v>3</v>
      </c>
    </row>
    <row r="1039" spans="1:10">
      <c r="A1039" s="43">
        <v>43340</v>
      </c>
      <c r="B1039">
        <v>2009</v>
      </c>
      <c r="C1039">
        <v>1740</v>
      </c>
      <c r="D1039">
        <v>1038</v>
      </c>
      <c r="E1039">
        <v>10100</v>
      </c>
      <c r="F1039" t="s">
        <v>59</v>
      </c>
      <c r="G1039">
        <v>6</v>
      </c>
      <c r="H1039" t="s">
        <v>133</v>
      </c>
      <c r="I1039">
        <v>10</v>
      </c>
      <c r="J1039" s="54">
        <f t="shared" si="16"/>
        <v>6</v>
      </c>
    </row>
    <row r="1040" spans="1:10">
      <c r="A1040" s="43">
        <v>43336</v>
      </c>
      <c r="B1040">
        <v>2008</v>
      </c>
      <c r="C1040">
        <v>1740</v>
      </c>
      <c r="D1040">
        <v>1039</v>
      </c>
      <c r="E1040">
        <v>9650</v>
      </c>
      <c r="F1040" t="s">
        <v>59</v>
      </c>
      <c r="G1040">
        <v>2</v>
      </c>
      <c r="H1040" t="s">
        <v>133</v>
      </c>
      <c r="I1040">
        <v>11</v>
      </c>
      <c r="J1040" s="54">
        <f t="shared" si="16"/>
        <v>2</v>
      </c>
    </row>
    <row r="1041" spans="1:10">
      <c r="A1041" s="43">
        <v>43321</v>
      </c>
      <c r="B1041">
        <v>2008</v>
      </c>
      <c r="C1041">
        <v>1740</v>
      </c>
      <c r="D1041">
        <v>1040</v>
      </c>
      <c r="E1041">
        <v>9450</v>
      </c>
      <c r="F1041" t="s">
        <v>59</v>
      </c>
      <c r="G1041">
        <v>9</v>
      </c>
      <c r="H1041" t="s">
        <v>133</v>
      </c>
      <c r="I1041">
        <v>11</v>
      </c>
      <c r="J1041" s="54">
        <f t="shared" si="16"/>
        <v>9</v>
      </c>
    </row>
    <row r="1042" spans="1:10">
      <c r="A1042" s="43">
        <v>43263</v>
      </c>
      <c r="B1042">
        <v>2007</v>
      </c>
      <c r="C1042">
        <v>1740</v>
      </c>
      <c r="D1042">
        <v>1041</v>
      </c>
      <c r="E1042">
        <v>10500</v>
      </c>
      <c r="F1042" t="s">
        <v>59</v>
      </c>
      <c r="G1042">
        <v>11</v>
      </c>
      <c r="H1042" t="s">
        <v>133</v>
      </c>
      <c r="I1042">
        <v>12</v>
      </c>
      <c r="J1042" s="54">
        <f t="shared" si="16"/>
        <v>11</v>
      </c>
    </row>
    <row r="1043" spans="1:10">
      <c r="A1043" s="43">
        <v>43250</v>
      </c>
      <c r="B1043">
        <v>2006</v>
      </c>
      <c r="C1043">
        <v>1740</v>
      </c>
      <c r="D1043">
        <v>1042</v>
      </c>
      <c r="E1043">
        <v>10875</v>
      </c>
      <c r="F1043" t="s">
        <v>59</v>
      </c>
      <c r="G1043">
        <v>12</v>
      </c>
      <c r="H1043" t="s">
        <v>133</v>
      </c>
      <c r="I1043">
        <v>13</v>
      </c>
      <c r="J1043" s="54">
        <f t="shared" si="16"/>
        <v>12</v>
      </c>
    </row>
    <row r="1044" spans="1:10">
      <c r="A1044" s="43">
        <v>43250</v>
      </c>
      <c r="B1044">
        <v>2010</v>
      </c>
      <c r="C1044">
        <v>1740</v>
      </c>
      <c r="D1044">
        <v>1043</v>
      </c>
      <c r="E1044">
        <v>10750</v>
      </c>
      <c r="F1044" t="s">
        <v>59</v>
      </c>
      <c r="G1044">
        <v>5</v>
      </c>
      <c r="H1044" t="s">
        <v>133</v>
      </c>
      <c r="I1044">
        <v>9</v>
      </c>
      <c r="J1044" s="54">
        <f t="shared" si="16"/>
        <v>5</v>
      </c>
    </row>
    <row r="1045" spans="1:10">
      <c r="A1045" s="43">
        <v>43245</v>
      </c>
      <c r="B1045">
        <v>2008</v>
      </c>
      <c r="C1045">
        <v>1740</v>
      </c>
      <c r="D1045">
        <v>1044</v>
      </c>
      <c r="E1045">
        <v>11000</v>
      </c>
      <c r="F1045" t="s">
        <v>59</v>
      </c>
      <c r="G1045">
        <v>12</v>
      </c>
      <c r="H1045" t="s">
        <v>133</v>
      </c>
      <c r="I1045">
        <v>11</v>
      </c>
      <c r="J1045" s="54">
        <f t="shared" si="16"/>
        <v>12</v>
      </c>
    </row>
    <row r="1046" spans="1:10">
      <c r="A1046" s="43">
        <v>43235</v>
      </c>
      <c r="B1046">
        <v>2010</v>
      </c>
      <c r="C1046">
        <v>1740</v>
      </c>
      <c r="D1046">
        <v>1045</v>
      </c>
      <c r="E1046">
        <v>10700</v>
      </c>
      <c r="F1046" t="s">
        <v>59</v>
      </c>
      <c r="G1046">
        <v>5</v>
      </c>
      <c r="H1046" t="s">
        <v>133</v>
      </c>
      <c r="I1046">
        <v>9</v>
      </c>
      <c r="J1046" s="54">
        <f t="shared" si="16"/>
        <v>5</v>
      </c>
    </row>
    <row r="1047" spans="1:10">
      <c r="A1047" s="43">
        <v>43234</v>
      </c>
      <c r="B1047">
        <v>2008</v>
      </c>
      <c r="C1047">
        <v>1740</v>
      </c>
      <c r="D1047">
        <v>1046</v>
      </c>
      <c r="E1047">
        <v>10750</v>
      </c>
      <c r="F1047" t="s">
        <v>59</v>
      </c>
      <c r="G1047">
        <v>9</v>
      </c>
      <c r="H1047" t="s">
        <v>133</v>
      </c>
      <c r="I1047">
        <v>11</v>
      </c>
      <c r="J1047" s="54">
        <f t="shared" si="16"/>
        <v>9</v>
      </c>
    </row>
    <row r="1048" spans="1:10">
      <c r="A1048" s="43">
        <v>43220</v>
      </c>
      <c r="B1048">
        <v>2007</v>
      </c>
      <c r="C1048">
        <v>1740</v>
      </c>
      <c r="D1048">
        <v>1047</v>
      </c>
      <c r="E1048">
        <v>10850</v>
      </c>
      <c r="F1048" t="s">
        <v>59</v>
      </c>
      <c r="G1048">
        <v>7</v>
      </c>
      <c r="H1048" t="s">
        <v>133</v>
      </c>
      <c r="I1048">
        <v>12</v>
      </c>
      <c r="J1048" s="54">
        <f t="shared" si="16"/>
        <v>7</v>
      </c>
    </row>
    <row r="1049" spans="1:10">
      <c r="A1049" s="43">
        <v>43202</v>
      </c>
      <c r="B1049">
        <v>2008</v>
      </c>
      <c r="C1049">
        <v>1740</v>
      </c>
      <c r="D1049">
        <v>1048</v>
      </c>
      <c r="E1049">
        <v>10500</v>
      </c>
      <c r="F1049" t="s">
        <v>59</v>
      </c>
      <c r="G1049">
        <v>12</v>
      </c>
      <c r="H1049" t="s">
        <v>133</v>
      </c>
      <c r="I1049">
        <v>11</v>
      </c>
      <c r="J1049" s="54">
        <f t="shared" si="16"/>
        <v>12</v>
      </c>
    </row>
    <row r="1050" spans="1:10">
      <c r="A1050" s="43">
        <v>43202</v>
      </c>
      <c r="B1050">
        <v>2008</v>
      </c>
      <c r="C1050">
        <v>1740</v>
      </c>
      <c r="D1050">
        <v>1049</v>
      </c>
      <c r="E1050">
        <v>10500</v>
      </c>
      <c r="F1050" t="s">
        <v>59</v>
      </c>
      <c r="G1050">
        <v>5</v>
      </c>
      <c r="H1050" t="s">
        <v>133</v>
      </c>
      <c r="I1050">
        <v>11</v>
      </c>
      <c r="J1050" s="54">
        <f t="shared" si="16"/>
        <v>5</v>
      </c>
    </row>
    <row r="1051" spans="1:10">
      <c r="A1051" s="43">
        <v>43202</v>
      </c>
      <c r="B1051">
        <v>2009</v>
      </c>
      <c r="C1051">
        <v>1740</v>
      </c>
      <c r="D1051">
        <v>1050</v>
      </c>
      <c r="E1051">
        <v>10750</v>
      </c>
      <c r="F1051" t="s">
        <v>59</v>
      </c>
      <c r="G1051">
        <v>6</v>
      </c>
      <c r="H1051" t="s">
        <v>133</v>
      </c>
      <c r="I1051">
        <v>10</v>
      </c>
      <c r="J1051" s="54">
        <f t="shared" si="16"/>
        <v>6</v>
      </c>
    </row>
    <row r="1052" spans="1:10">
      <c r="A1052" s="43">
        <v>43195</v>
      </c>
      <c r="B1052">
        <v>2010</v>
      </c>
      <c r="C1052">
        <v>1740</v>
      </c>
      <c r="D1052">
        <v>1051</v>
      </c>
      <c r="E1052">
        <v>11500</v>
      </c>
      <c r="F1052" t="s">
        <v>59</v>
      </c>
      <c r="G1052">
        <v>12</v>
      </c>
      <c r="H1052" t="s">
        <v>133</v>
      </c>
      <c r="I1052">
        <v>9</v>
      </c>
      <c r="J1052" s="54">
        <f t="shared" si="16"/>
        <v>12</v>
      </c>
    </row>
    <row r="1053" spans="1:10">
      <c r="A1053" s="43">
        <v>43187</v>
      </c>
      <c r="B1053">
        <v>2009</v>
      </c>
      <c r="C1053">
        <v>1740</v>
      </c>
      <c r="D1053">
        <v>1052</v>
      </c>
      <c r="E1053">
        <v>10750</v>
      </c>
      <c r="F1053" t="s">
        <v>59</v>
      </c>
      <c r="G1053">
        <v>5</v>
      </c>
      <c r="H1053" t="s">
        <v>133</v>
      </c>
      <c r="I1053">
        <v>10</v>
      </c>
      <c r="J1053" s="54">
        <f t="shared" si="16"/>
        <v>5</v>
      </c>
    </row>
    <row r="1054" spans="1:10">
      <c r="A1054" s="43">
        <v>43186</v>
      </c>
      <c r="B1054">
        <v>2006</v>
      </c>
      <c r="C1054">
        <v>1740</v>
      </c>
      <c r="D1054">
        <v>1053</v>
      </c>
      <c r="E1054">
        <v>10300</v>
      </c>
      <c r="F1054" t="s">
        <v>59</v>
      </c>
      <c r="G1054">
        <v>6</v>
      </c>
      <c r="H1054" t="s">
        <v>133</v>
      </c>
      <c r="I1054">
        <v>13</v>
      </c>
      <c r="J1054" s="54">
        <f t="shared" si="16"/>
        <v>6</v>
      </c>
    </row>
    <row r="1055" spans="1:10">
      <c r="A1055" s="43">
        <v>43182</v>
      </c>
      <c r="B1055">
        <v>2006</v>
      </c>
      <c r="C1055">
        <v>1740</v>
      </c>
      <c r="D1055">
        <v>1054</v>
      </c>
      <c r="E1055">
        <v>10500</v>
      </c>
      <c r="F1055" t="s">
        <v>59</v>
      </c>
      <c r="G1055">
        <v>6</v>
      </c>
      <c r="H1055" t="s">
        <v>133</v>
      </c>
      <c r="I1055">
        <v>13</v>
      </c>
      <c r="J1055" s="54">
        <f t="shared" si="16"/>
        <v>6</v>
      </c>
    </row>
    <row r="1056" spans="1:10">
      <c r="A1056" s="43">
        <v>43175</v>
      </c>
      <c r="B1056">
        <v>2010</v>
      </c>
      <c r="C1056">
        <v>1740</v>
      </c>
      <c r="D1056">
        <v>1055</v>
      </c>
      <c r="E1056">
        <v>11000</v>
      </c>
      <c r="F1056" t="s">
        <v>59</v>
      </c>
      <c r="G1056">
        <v>6</v>
      </c>
      <c r="H1056" t="s">
        <v>133</v>
      </c>
      <c r="I1056">
        <v>9</v>
      </c>
      <c r="J1056" s="54">
        <f t="shared" si="16"/>
        <v>6</v>
      </c>
    </row>
    <row r="1057" spans="1:10">
      <c r="A1057" s="43">
        <v>43174</v>
      </c>
      <c r="B1057">
        <v>2008</v>
      </c>
      <c r="C1057">
        <v>1740</v>
      </c>
      <c r="D1057">
        <v>1056</v>
      </c>
      <c r="E1057">
        <v>10250</v>
      </c>
      <c r="F1057" t="s">
        <v>59</v>
      </c>
      <c r="G1057">
        <v>3</v>
      </c>
      <c r="H1057" t="s">
        <v>133</v>
      </c>
      <c r="I1057">
        <v>11</v>
      </c>
      <c r="J1057" s="54">
        <f t="shared" si="16"/>
        <v>3</v>
      </c>
    </row>
    <row r="1058" spans="1:10">
      <c r="A1058" s="43">
        <v>43159</v>
      </c>
      <c r="B1058">
        <v>2010</v>
      </c>
      <c r="C1058">
        <v>1740</v>
      </c>
      <c r="D1058">
        <v>1057</v>
      </c>
      <c r="E1058">
        <v>9500</v>
      </c>
      <c r="F1058" t="s">
        <v>59</v>
      </c>
      <c r="G1058">
        <v>8</v>
      </c>
      <c r="H1058" t="s">
        <v>133</v>
      </c>
      <c r="I1058">
        <v>9</v>
      </c>
      <c r="J1058" s="54">
        <f t="shared" si="16"/>
        <v>8</v>
      </c>
    </row>
    <row r="1059" spans="1:10">
      <c r="A1059" s="43">
        <v>43115</v>
      </c>
      <c r="B1059">
        <v>2009</v>
      </c>
      <c r="C1059">
        <v>1740</v>
      </c>
      <c r="D1059">
        <v>1058</v>
      </c>
      <c r="E1059">
        <v>9200</v>
      </c>
      <c r="F1059" t="s">
        <v>59</v>
      </c>
      <c r="G1059">
        <v>12</v>
      </c>
      <c r="H1059" t="s">
        <v>133</v>
      </c>
      <c r="I1059">
        <v>10</v>
      </c>
      <c r="J1059" s="54">
        <f t="shared" si="16"/>
        <v>12</v>
      </c>
    </row>
    <row r="1060" spans="1:10">
      <c r="A1060" s="43">
        <v>43111</v>
      </c>
      <c r="B1060">
        <v>2009</v>
      </c>
      <c r="C1060">
        <v>1740</v>
      </c>
      <c r="D1060">
        <v>1059</v>
      </c>
      <c r="E1060">
        <v>9400</v>
      </c>
      <c r="F1060" t="s">
        <v>59</v>
      </c>
      <c r="G1060">
        <v>8</v>
      </c>
      <c r="H1060" t="s">
        <v>133</v>
      </c>
      <c r="I1060">
        <v>10</v>
      </c>
      <c r="J1060" s="54">
        <f t="shared" si="16"/>
        <v>8</v>
      </c>
    </row>
    <row r="1061" spans="1:10">
      <c r="A1061" s="43">
        <v>43102</v>
      </c>
      <c r="B1061">
        <v>2010</v>
      </c>
      <c r="C1061">
        <v>1740</v>
      </c>
      <c r="D1061">
        <v>1060</v>
      </c>
      <c r="E1061">
        <v>8900</v>
      </c>
      <c r="F1061" t="s">
        <v>59</v>
      </c>
      <c r="G1061">
        <v>5.5</v>
      </c>
      <c r="H1061" t="s">
        <v>133</v>
      </c>
      <c r="I1061">
        <v>9</v>
      </c>
      <c r="J1061" s="54">
        <f t="shared" si="16"/>
        <v>5.5</v>
      </c>
    </row>
    <row r="1062" spans="1:10">
      <c r="A1062" s="43">
        <v>43097</v>
      </c>
      <c r="B1062">
        <v>2008</v>
      </c>
      <c r="C1062">
        <v>1740</v>
      </c>
      <c r="D1062">
        <v>1061</v>
      </c>
      <c r="E1062">
        <v>8475</v>
      </c>
      <c r="F1062" t="s">
        <v>59</v>
      </c>
      <c r="G1062">
        <v>4</v>
      </c>
      <c r="H1062" t="s">
        <v>133</v>
      </c>
      <c r="I1062">
        <v>11</v>
      </c>
      <c r="J1062" s="54">
        <f t="shared" si="16"/>
        <v>4</v>
      </c>
    </row>
    <row r="1063" spans="1:10">
      <c r="A1063" s="43">
        <v>43097</v>
      </c>
      <c r="B1063">
        <v>2010</v>
      </c>
      <c r="C1063">
        <v>1740</v>
      </c>
      <c r="D1063">
        <v>1062</v>
      </c>
      <c r="E1063">
        <v>8500</v>
      </c>
      <c r="F1063" t="s">
        <v>59</v>
      </c>
      <c r="G1063">
        <v>6</v>
      </c>
      <c r="H1063" t="s">
        <v>133</v>
      </c>
      <c r="I1063">
        <v>9</v>
      </c>
      <c r="J1063" s="54">
        <f t="shared" si="16"/>
        <v>6</v>
      </c>
    </row>
    <row r="1064" spans="1:10">
      <c r="A1064" s="43">
        <v>43097</v>
      </c>
      <c r="B1064">
        <v>2010</v>
      </c>
      <c r="C1064">
        <v>1740</v>
      </c>
      <c r="D1064">
        <v>1063</v>
      </c>
      <c r="E1064">
        <v>8500</v>
      </c>
      <c r="F1064" t="s">
        <v>59</v>
      </c>
      <c r="G1064">
        <v>5.5</v>
      </c>
      <c r="H1064" t="s">
        <v>133</v>
      </c>
      <c r="I1064">
        <v>9</v>
      </c>
      <c r="J1064" s="54">
        <f t="shared" si="16"/>
        <v>5.5</v>
      </c>
    </row>
    <row r="1065" spans="1:10">
      <c r="A1065" s="43">
        <v>43073</v>
      </c>
      <c r="B1065">
        <v>2006</v>
      </c>
      <c r="C1065">
        <v>1740</v>
      </c>
      <c r="D1065">
        <v>1064</v>
      </c>
      <c r="E1065">
        <v>8250</v>
      </c>
      <c r="F1065" t="s">
        <v>59</v>
      </c>
      <c r="G1065">
        <v>6</v>
      </c>
      <c r="H1065" t="s">
        <v>133</v>
      </c>
      <c r="I1065">
        <v>13</v>
      </c>
      <c r="J1065" s="54">
        <f t="shared" si="16"/>
        <v>6</v>
      </c>
    </row>
    <row r="1066" spans="1:10">
      <c r="A1066" s="43">
        <v>43056</v>
      </c>
      <c r="B1066">
        <v>2008</v>
      </c>
      <c r="C1066">
        <v>1740</v>
      </c>
      <c r="D1066">
        <v>1065</v>
      </c>
      <c r="E1066">
        <v>8000</v>
      </c>
      <c r="F1066" t="s">
        <v>59</v>
      </c>
      <c r="G1066">
        <v>6</v>
      </c>
      <c r="H1066" t="s">
        <v>133</v>
      </c>
      <c r="I1066">
        <v>11</v>
      </c>
      <c r="J1066" s="54">
        <f t="shared" si="16"/>
        <v>6</v>
      </c>
    </row>
    <row r="1067" spans="1:10">
      <c r="A1067" s="43">
        <v>43055</v>
      </c>
      <c r="B1067">
        <v>2010</v>
      </c>
      <c r="C1067">
        <v>1740</v>
      </c>
      <c r="D1067">
        <v>1066</v>
      </c>
      <c r="E1067">
        <v>8500</v>
      </c>
      <c r="F1067" t="s">
        <v>59</v>
      </c>
      <c r="G1067">
        <v>35</v>
      </c>
      <c r="H1067" t="s">
        <v>60</v>
      </c>
      <c r="I1067">
        <v>9</v>
      </c>
      <c r="J1067" s="54">
        <f t="shared" si="16"/>
        <v>1</v>
      </c>
    </row>
    <row r="1068" spans="1:10">
      <c r="A1068" s="43">
        <v>43054</v>
      </c>
      <c r="B1068">
        <v>2007</v>
      </c>
      <c r="C1068">
        <v>1740</v>
      </c>
      <c r="D1068">
        <v>1067</v>
      </c>
      <c r="E1068">
        <v>8000</v>
      </c>
      <c r="F1068" t="s">
        <v>59</v>
      </c>
      <c r="G1068">
        <v>6.5</v>
      </c>
      <c r="H1068" t="s">
        <v>133</v>
      </c>
      <c r="I1068">
        <v>12</v>
      </c>
      <c r="J1068" s="54">
        <f t="shared" si="16"/>
        <v>6.5</v>
      </c>
    </row>
    <row r="1069" spans="1:10">
      <c r="A1069" s="43">
        <v>43054</v>
      </c>
      <c r="B1069">
        <v>2009</v>
      </c>
      <c r="C1069">
        <v>1740</v>
      </c>
      <c r="D1069">
        <v>1068</v>
      </c>
      <c r="E1069">
        <v>8000</v>
      </c>
      <c r="F1069" t="s">
        <v>59</v>
      </c>
      <c r="G1069">
        <v>6</v>
      </c>
      <c r="H1069" t="s">
        <v>133</v>
      </c>
      <c r="I1069">
        <v>10</v>
      </c>
      <c r="J1069" s="54">
        <f t="shared" si="16"/>
        <v>6</v>
      </c>
    </row>
    <row r="1070" spans="1:10">
      <c r="A1070" s="43">
        <v>43054</v>
      </c>
      <c r="B1070">
        <v>2006</v>
      </c>
      <c r="C1070">
        <v>1740</v>
      </c>
      <c r="D1070">
        <v>1069</v>
      </c>
      <c r="E1070">
        <v>8000</v>
      </c>
      <c r="F1070" t="s">
        <v>59</v>
      </c>
      <c r="G1070">
        <v>5</v>
      </c>
      <c r="H1070" t="s">
        <v>133</v>
      </c>
      <c r="I1070">
        <v>13</v>
      </c>
      <c r="J1070" s="54">
        <f t="shared" si="16"/>
        <v>5</v>
      </c>
    </row>
    <row r="1071" spans="1:10">
      <c r="A1071" s="43">
        <v>43038</v>
      </c>
      <c r="B1071">
        <v>2008</v>
      </c>
      <c r="C1071">
        <v>1740</v>
      </c>
      <c r="D1071">
        <v>1070</v>
      </c>
      <c r="E1071">
        <v>9000</v>
      </c>
      <c r="F1071" t="s">
        <v>59</v>
      </c>
      <c r="G1071">
        <v>12</v>
      </c>
      <c r="H1071" t="s">
        <v>133</v>
      </c>
      <c r="I1071">
        <v>11</v>
      </c>
      <c r="J1071" s="54">
        <f t="shared" si="16"/>
        <v>12</v>
      </c>
    </row>
    <row r="1072" spans="1:10">
      <c r="A1072" s="43">
        <v>43028</v>
      </c>
      <c r="B1072">
        <v>2007</v>
      </c>
      <c r="C1072">
        <v>1740</v>
      </c>
      <c r="D1072">
        <v>1071</v>
      </c>
      <c r="E1072">
        <v>8350</v>
      </c>
      <c r="F1072" t="s">
        <v>59</v>
      </c>
      <c r="G1072">
        <v>12</v>
      </c>
      <c r="H1072" t="s">
        <v>133</v>
      </c>
      <c r="I1072">
        <v>12</v>
      </c>
      <c r="J1072" s="54">
        <f t="shared" si="16"/>
        <v>12</v>
      </c>
    </row>
    <row r="1073" spans="1:10">
      <c r="A1073" s="43">
        <v>43018</v>
      </c>
      <c r="B1073">
        <v>2008</v>
      </c>
      <c r="C1073">
        <v>1740</v>
      </c>
      <c r="D1073">
        <v>1072</v>
      </c>
      <c r="E1073">
        <v>7750</v>
      </c>
      <c r="F1073" t="s">
        <v>59</v>
      </c>
      <c r="G1073">
        <v>10</v>
      </c>
      <c r="H1073" t="s">
        <v>133</v>
      </c>
      <c r="I1073">
        <v>11</v>
      </c>
      <c r="J1073" s="54">
        <f t="shared" si="16"/>
        <v>10</v>
      </c>
    </row>
    <row r="1074" spans="1:10">
      <c r="A1074" s="43">
        <v>42983</v>
      </c>
      <c r="B1074">
        <v>2007</v>
      </c>
      <c r="C1074">
        <v>1740</v>
      </c>
      <c r="D1074">
        <v>1073</v>
      </c>
      <c r="E1074">
        <v>7100</v>
      </c>
      <c r="F1074" t="s">
        <v>59</v>
      </c>
      <c r="G1074">
        <v>7</v>
      </c>
      <c r="H1074" t="s">
        <v>133</v>
      </c>
      <c r="I1074">
        <v>12</v>
      </c>
      <c r="J1074" s="54">
        <f t="shared" si="16"/>
        <v>7</v>
      </c>
    </row>
    <row r="1075" spans="1:10">
      <c r="A1075" s="43">
        <v>42969</v>
      </c>
      <c r="B1075">
        <v>2010</v>
      </c>
      <c r="C1075">
        <v>1740</v>
      </c>
      <c r="D1075">
        <v>1074</v>
      </c>
      <c r="E1075">
        <v>7400</v>
      </c>
      <c r="F1075" t="s">
        <v>59</v>
      </c>
      <c r="G1075">
        <v>6</v>
      </c>
      <c r="H1075" t="s">
        <v>133</v>
      </c>
      <c r="I1075">
        <v>9</v>
      </c>
      <c r="J1075" s="54">
        <f t="shared" si="16"/>
        <v>6</v>
      </c>
    </row>
    <row r="1076" spans="1:10">
      <c r="A1076" s="43">
        <v>42968</v>
      </c>
      <c r="B1076">
        <v>2008</v>
      </c>
      <c r="C1076">
        <v>1740</v>
      </c>
      <c r="D1076">
        <v>1075</v>
      </c>
      <c r="E1076">
        <v>7000</v>
      </c>
      <c r="F1076" t="s">
        <v>59</v>
      </c>
      <c r="G1076">
        <v>8</v>
      </c>
      <c r="H1076" t="s">
        <v>133</v>
      </c>
      <c r="I1076">
        <v>11</v>
      </c>
      <c r="J1076" s="54">
        <f t="shared" si="16"/>
        <v>8</v>
      </c>
    </row>
    <row r="1077" spans="1:10">
      <c r="A1077" s="43">
        <v>42963</v>
      </c>
      <c r="B1077">
        <v>2008</v>
      </c>
      <c r="C1077">
        <v>1740</v>
      </c>
      <c r="D1077">
        <v>1076</v>
      </c>
      <c r="E1077">
        <v>7650</v>
      </c>
      <c r="F1077" t="s">
        <v>59</v>
      </c>
      <c r="G1077">
        <v>5</v>
      </c>
      <c r="H1077" t="s">
        <v>133</v>
      </c>
      <c r="I1077">
        <v>11</v>
      </c>
      <c r="J1077" s="54">
        <f t="shared" si="16"/>
        <v>5</v>
      </c>
    </row>
    <row r="1078" spans="1:10">
      <c r="A1078" s="43">
        <v>42948</v>
      </c>
      <c r="B1078">
        <v>2006</v>
      </c>
      <c r="C1078">
        <v>1740</v>
      </c>
      <c r="D1078">
        <v>1077</v>
      </c>
      <c r="E1078">
        <v>6850</v>
      </c>
      <c r="F1078" t="s">
        <v>59</v>
      </c>
      <c r="G1078">
        <v>30</v>
      </c>
      <c r="H1078" t="s">
        <v>60</v>
      </c>
      <c r="I1078">
        <v>13</v>
      </c>
      <c r="J1078" s="54">
        <f t="shared" si="16"/>
        <v>1</v>
      </c>
    </row>
    <row r="1079" spans="1:10">
      <c r="A1079" s="43">
        <v>42941</v>
      </c>
      <c r="B1079">
        <v>2007</v>
      </c>
      <c r="C1079">
        <v>1740</v>
      </c>
      <c r="D1079">
        <v>1078</v>
      </c>
      <c r="E1079">
        <v>7000</v>
      </c>
      <c r="F1079" t="s">
        <v>59</v>
      </c>
      <c r="G1079">
        <v>90</v>
      </c>
      <c r="H1079" t="s">
        <v>60</v>
      </c>
      <c r="I1079">
        <v>12</v>
      </c>
      <c r="J1079" s="54">
        <f t="shared" si="16"/>
        <v>3</v>
      </c>
    </row>
    <row r="1080" spans="1:10">
      <c r="A1080" s="43">
        <v>42941</v>
      </c>
      <c r="B1080">
        <v>2009</v>
      </c>
      <c r="C1080">
        <v>1740</v>
      </c>
      <c r="D1080">
        <v>1079</v>
      </c>
      <c r="E1080">
        <v>7000</v>
      </c>
      <c r="F1080" t="s">
        <v>59</v>
      </c>
      <c r="G1080">
        <v>90</v>
      </c>
      <c r="H1080" t="s">
        <v>60</v>
      </c>
      <c r="I1080">
        <v>10</v>
      </c>
      <c r="J1080" s="54">
        <f t="shared" si="16"/>
        <v>3</v>
      </c>
    </row>
    <row r="1081" spans="1:10">
      <c r="A1081" s="43">
        <v>42936</v>
      </c>
      <c r="B1081">
        <v>2008</v>
      </c>
      <c r="C1081">
        <v>1740</v>
      </c>
      <c r="D1081">
        <v>1080</v>
      </c>
      <c r="E1081">
        <v>7250</v>
      </c>
      <c r="F1081" t="s">
        <v>59</v>
      </c>
      <c r="G1081">
        <v>9</v>
      </c>
      <c r="H1081" t="s">
        <v>133</v>
      </c>
      <c r="I1081">
        <v>11</v>
      </c>
      <c r="J1081" s="54">
        <f t="shared" si="16"/>
        <v>9</v>
      </c>
    </row>
    <row r="1082" spans="1:10">
      <c r="A1082" s="43">
        <v>42930</v>
      </c>
      <c r="B1082">
        <v>2010</v>
      </c>
      <c r="C1082">
        <v>1740</v>
      </c>
      <c r="D1082">
        <v>1081</v>
      </c>
      <c r="E1082">
        <v>6950</v>
      </c>
      <c r="F1082" t="s">
        <v>59</v>
      </c>
      <c r="G1082">
        <v>6</v>
      </c>
      <c r="H1082" t="s">
        <v>133</v>
      </c>
      <c r="I1082">
        <v>9</v>
      </c>
      <c r="J1082" s="54">
        <f t="shared" si="16"/>
        <v>6</v>
      </c>
    </row>
    <row r="1083" spans="1:10">
      <c r="A1083" s="43">
        <v>42916</v>
      </c>
      <c r="B1083">
        <v>2007</v>
      </c>
      <c r="C1083">
        <v>1740</v>
      </c>
      <c r="D1083">
        <v>1082</v>
      </c>
      <c r="E1083">
        <v>7000</v>
      </c>
      <c r="F1083" t="s">
        <v>59</v>
      </c>
      <c r="G1083">
        <v>3</v>
      </c>
      <c r="H1083" t="s">
        <v>133</v>
      </c>
      <c r="I1083">
        <v>12</v>
      </c>
      <c r="J1083" s="54">
        <f t="shared" si="16"/>
        <v>3</v>
      </c>
    </row>
    <row r="1084" spans="1:10">
      <c r="A1084" s="43">
        <v>42914</v>
      </c>
      <c r="B1084">
        <v>2008</v>
      </c>
      <c r="C1084">
        <v>1740</v>
      </c>
      <c r="D1084">
        <v>1083</v>
      </c>
      <c r="E1084">
        <v>7200</v>
      </c>
      <c r="F1084" t="s">
        <v>59</v>
      </c>
      <c r="G1084">
        <v>3</v>
      </c>
      <c r="H1084" t="s">
        <v>133</v>
      </c>
      <c r="I1084">
        <v>11</v>
      </c>
      <c r="J1084" s="54">
        <f t="shared" si="16"/>
        <v>3</v>
      </c>
    </row>
    <row r="1085" spans="1:10">
      <c r="A1085" s="43">
        <v>42898</v>
      </c>
      <c r="B1085">
        <v>2007</v>
      </c>
      <c r="C1085">
        <v>1740</v>
      </c>
      <c r="D1085">
        <v>1084</v>
      </c>
      <c r="E1085">
        <v>7150</v>
      </c>
      <c r="F1085" t="s">
        <v>59</v>
      </c>
      <c r="G1085">
        <v>12</v>
      </c>
      <c r="H1085" t="s">
        <v>133</v>
      </c>
      <c r="I1085">
        <v>12</v>
      </c>
      <c r="J1085" s="54">
        <f t="shared" si="16"/>
        <v>12</v>
      </c>
    </row>
    <row r="1086" spans="1:10">
      <c r="A1086" s="43">
        <v>42898</v>
      </c>
      <c r="B1086">
        <v>2006</v>
      </c>
      <c r="C1086">
        <v>1740</v>
      </c>
      <c r="D1086">
        <v>1085</v>
      </c>
      <c r="E1086">
        <v>7250</v>
      </c>
      <c r="F1086" t="s">
        <v>59</v>
      </c>
      <c r="G1086">
        <v>9</v>
      </c>
      <c r="H1086" t="s">
        <v>133</v>
      </c>
      <c r="I1086">
        <v>13</v>
      </c>
      <c r="J1086" s="54">
        <f t="shared" si="16"/>
        <v>9</v>
      </c>
    </row>
    <row r="1087" spans="1:10">
      <c r="A1087" s="43">
        <v>42898</v>
      </c>
      <c r="B1087">
        <v>2006</v>
      </c>
      <c r="C1087">
        <v>1740</v>
      </c>
      <c r="D1087">
        <v>1086</v>
      </c>
      <c r="E1087">
        <v>6600</v>
      </c>
      <c r="F1087" t="s">
        <v>59</v>
      </c>
      <c r="G1087">
        <v>5</v>
      </c>
      <c r="H1087" t="s">
        <v>133</v>
      </c>
      <c r="I1087">
        <v>13</v>
      </c>
      <c r="J1087" s="54">
        <f t="shared" si="16"/>
        <v>5</v>
      </c>
    </row>
    <row r="1088" spans="1:10">
      <c r="A1088" s="43">
        <v>42895</v>
      </c>
      <c r="B1088">
        <v>2008</v>
      </c>
      <c r="C1088">
        <v>1740</v>
      </c>
      <c r="D1088">
        <v>1087</v>
      </c>
      <c r="E1088">
        <v>7250</v>
      </c>
      <c r="F1088" t="s">
        <v>59</v>
      </c>
      <c r="G1088">
        <v>3</v>
      </c>
      <c r="H1088" t="s">
        <v>133</v>
      </c>
      <c r="I1088">
        <v>11</v>
      </c>
      <c r="J1088" s="54">
        <f t="shared" si="16"/>
        <v>3</v>
      </c>
    </row>
    <row r="1089" spans="1:10">
      <c r="A1089" s="43">
        <v>42891</v>
      </c>
      <c r="B1089">
        <v>2006</v>
      </c>
      <c r="C1089">
        <v>1740</v>
      </c>
      <c r="D1089">
        <v>1088</v>
      </c>
      <c r="E1089">
        <v>7000</v>
      </c>
      <c r="F1089" t="s">
        <v>59</v>
      </c>
      <c r="G1089">
        <v>5</v>
      </c>
      <c r="H1089" t="s">
        <v>133</v>
      </c>
      <c r="I1089">
        <v>13</v>
      </c>
      <c r="J1089" s="54">
        <f t="shared" si="16"/>
        <v>5</v>
      </c>
    </row>
    <row r="1090" spans="1:10">
      <c r="A1090" s="43">
        <v>42887</v>
      </c>
      <c r="B1090">
        <v>2009</v>
      </c>
      <c r="C1090">
        <v>1740</v>
      </c>
      <c r="D1090">
        <v>1089</v>
      </c>
      <c r="E1090">
        <v>7000</v>
      </c>
      <c r="F1090" t="s">
        <v>59</v>
      </c>
      <c r="G1090">
        <v>5</v>
      </c>
      <c r="H1090" t="s">
        <v>133</v>
      </c>
      <c r="I1090">
        <v>10</v>
      </c>
      <c r="J1090" s="54">
        <f t="shared" ref="J1090:J1153" si="17">IF(H1090="days",ROUND(G1090/30,0),IF(H1090="years",G1090*12,G1090))</f>
        <v>5</v>
      </c>
    </row>
    <row r="1091" spans="1:10">
      <c r="A1091" s="43">
        <v>42878</v>
      </c>
      <c r="B1091">
        <v>2008</v>
      </c>
      <c r="C1091">
        <v>1740</v>
      </c>
      <c r="D1091">
        <v>1090</v>
      </c>
      <c r="E1091">
        <v>7000</v>
      </c>
      <c r="F1091" t="s">
        <v>59</v>
      </c>
      <c r="G1091">
        <v>6</v>
      </c>
      <c r="H1091" t="s">
        <v>133</v>
      </c>
      <c r="I1091">
        <v>11</v>
      </c>
      <c r="J1091" s="54">
        <f t="shared" si="17"/>
        <v>6</v>
      </c>
    </row>
    <row r="1092" spans="1:10">
      <c r="A1092" s="43">
        <v>42866</v>
      </c>
      <c r="B1092">
        <v>2008</v>
      </c>
      <c r="C1092">
        <v>1740</v>
      </c>
      <c r="D1092">
        <v>1091</v>
      </c>
      <c r="E1092">
        <v>7950</v>
      </c>
      <c r="F1092" t="s">
        <v>59</v>
      </c>
      <c r="G1092">
        <v>12</v>
      </c>
      <c r="H1092" t="s">
        <v>133</v>
      </c>
      <c r="I1092">
        <v>11</v>
      </c>
      <c r="J1092" s="54">
        <f t="shared" si="17"/>
        <v>12</v>
      </c>
    </row>
    <row r="1093" spans="1:10">
      <c r="A1093" s="43">
        <v>42858</v>
      </c>
      <c r="B1093">
        <v>2008</v>
      </c>
      <c r="C1093">
        <v>1740</v>
      </c>
      <c r="D1093">
        <v>1092</v>
      </c>
      <c r="E1093">
        <v>7000</v>
      </c>
      <c r="F1093" t="s">
        <v>59</v>
      </c>
      <c r="G1093">
        <v>5</v>
      </c>
      <c r="H1093" t="s">
        <v>133</v>
      </c>
      <c r="I1093">
        <v>11</v>
      </c>
      <c r="J1093" s="54">
        <f t="shared" si="17"/>
        <v>5</v>
      </c>
    </row>
    <row r="1094" spans="1:10">
      <c r="A1094" s="43">
        <v>42835</v>
      </c>
      <c r="B1094">
        <v>2007</v>
      </c>
      <c r="C1094">
        <v>1740</v>
      </c>
      <c r="D1094">
        <v>1093</v>
      </c>
      <c r="E1094">
        <v>6775</v>
      </c>
      <c r="F1094" t="s">
        <v>59</v>
      </c>
      <c r="G1094">
        <v>12</v>
      </c>
      <c r="H1094" t="s">
        <v>133</v>
      </c>
      <c r="I1094">
        <v>12</v>
      </c>
      <c r="J1094" s="54">
        <f t="shared" si="17"/>
        <v>12</v>
      </c>
    </row>
    <row r="1095" spans="1:10">
      <c r="A1095" s="43">
        <v>42831</v>
      </c>
      <c r="B1095">
        <v>2007</v>
      </c>
      <c r="C1095">
        <v>1740</v>
      </c>
      <c r="D1095">
        <v>1094</v>
      </c>
      <c r="E1095">
        <v>7000</v>
      </c>
      <c r="F1095" t="s">
        <v>59</v>
      </c>
      <c r="G1095">
        <v>6</v>
      </c>
      <c r="H1095" t="s">
        <v>133</v>
      </c>
      <c r="I1095">
        <v>12</v>
      </c>
      <c r="J1095" s="54">
        <f t="shared" si="17"/>
        <v>6</v>
      </c>
    </row>
    <row r="1096" spans="1:10">
      <c r="A1096" s="43">
        <v>42826</v>
      </c>
      <c r="B1096">
        <v>2009</v>
      </c>
      <c r="C1096">
        <v>1740</v>
      </c>
      <c r="D1096">
        <v>1095</v>
      </c>
      <c r="E1096">
        <v>7000</v>
      </c>
      <c r="F1096" t="s">
        <v>59</v>
      </c>
      <c r="G1096">
        <v>84</v>
      </c>
      <c r="H1096" t="s">
        <v>60</v>
      </c>
      <c r="I1096">
        <v>10</v>
      </c>
      <c r="J1096" s="54">
        <f t="shared" si="17"/>
        <v>3</v>
      </c>
    </row>
    <row r="1097" spans="1:10">
      <c r="A1097" s="43">
        <v>42821</v>
      </c>
      <c r="B1097">
        <v>2008</v>
      </c>
      <c r="C1097">
        <v>1740</v>
      </c>
      <c r="D1097">
        <v>1096</v>
      </c>
      <c r="E1097">
        <v>6950</v>
      </c>
      <c r="F1097" t="s">
        <v>59</v>
      </c>
      <c r="G1097">
        <v>3</v>
      </c>
      <c r="H1097" t="s">
        <v>133</v>
      </c>
      <c r="I1097">
        <v>11</v>
      </c>
      <c r="J1097" s="54">
        <f t="shared" si="17"/>
        <v>3</v>
      </c>
    </row>
    <row r="1098" spans="1:10">
      <c r="A1098" s="43">
        <v>42818</v>
      </c>
      <c r="B1098">
        <v>2010</v>
      </c>
      <c r="C1098">
        <v>1740</v>
      </c>
      <c r="D1098">
        <v>1097</v>
      </c>
      <c r="E1098">
        <v>6650</v>
      </c>
      <c r="F1098" t="s">
        <v>59</v>
      </c>
      <c r="G1098">
        <v>6</v>
      </c>
      <c r="H1098" t="s">
        <v>133</v>
      </c>
      <c r="I1098">
        <v>9</v>
      </c>
      <c r="J1098" s="54">
        <f t="shared" si="17"/>
        <v>6</v>
      </c>
    </row>
    <row r="1099" spans="1:10">
      <c r="A1099" s="43">
        <v>42815</v>
      </c>
      <c r="B1099">
        <v>2007</v>
      </c>
      <c r="C1099">
        <v>1740</v>
      </c>
      <c r="D1099">
        <v>1098</v>
      </c>
      <c r="E1099">
        <v>6500</v>
      </c>
      <c r="F1099" t="s">
        <v>59</v>
      </c>
      <c r="G1099">
        <v>4</v>
      </c>
      <c r="H1099" t="s">
        <v>133</v>
      </c>
      <c r="I1099">
        <v>12</v>
      </c>
      <c r="J1099" s="54">
        <f t="shared" si="17"/>
        <v>4</v>
      </c>
    </row>
    <row r="1100" spans="1:10">
      <c r="A1100" s="43">
        <v>42795</v>
      </c>
      <c r="B1100">
        <v>2009</v>
      </c>
      <c r="C1100">
        <v>1740</v>
      </c>
      <c r="D1100">
        <v>1099</v>
      </c>
      <c r="E1100">
        <v>6950</v>
      </c>
      <c r="F1100" t="s">
        <v>59</v>
      </c>
      <c r="G1100">
        <v>5</v>
      </c>
      <c r="H1100" t="s">
        <v>133</v>
      </c>
      <c r="I1100">
        <v>10</v>
      </c>
      <c r="J1100" s="54">
        <f t="shared" si="17"/>
        <v>5</v>
      </c>
    </row>
    <row r="1101" spans="1:10">
      <c r="A1101" s="43">
        <v>42795</v>
      </c>
      <c r="B1101">
        <v>2010</v>
      </c>
      <c r="C1101">
        <v>1740</v>
      </c>
      <c r="D1101">
        <v>1100</v>
      </c>
      <c r="E1101">
        <v>6400</v>
      </c>
      <c r="F1101" t="s">
        <v>59</v>
      </c>
      <c r="G1101">
        <v>4.5</v>
      </c>
      <c r="H1101" t="s">
        <v>133</v>
      </c>
      <c r="I1101">
        <v>9</v>
      </c>
      <c r="J1101" s="54">
        <f t="shared" si="17"/>
        <v>4.5</v>
      </c>
    </row>
    <row r="1102" spans="1:10">
      <c r="A1102" s="43">
        <v>42774</v>
      </c>
      <c r="B1102">
        <v>2006</v>
      </c>
      <c r="C1102">
        <v>1740</v>
      </c>
      <c r="D1102">
        <v>1101</v>
      </c>
      <c r="E1102">
        <v>6400</v>
      </c>
      <c r="F1102" t="s">
        <v>59</v>
      </c>
      <c r="G1102">
        <v>5</v>
      </c>
      <c r="H1102" t="s">
        <v>133</v>
      </c>
      <c r="I1102">
        <v>13</v>
      </c>
      <c r="J1102" s="54">
        <f t="shared" si="17"/>
        <v>5</v>
      </c>
    </row>
    <row r="1103" spans="1:10">
      <c r="A1103" s="43">
        <v>42767</v>
      </c>
      <c r="B1103">
        <v>2009</v>
      </c>
      <c r="C1103">
        <v>1740</v>
      </c>
      <c r="D1103">
        <v>1102</v>
      </c>
      <c r="E1103">
        <v>6400</v>
      </c>
      <c r="F1103" t="s">
        <v>59</v>
      </c>
      <c r="G1103">
        <v>12</v>
      </c>
      <c r="H1103" t="s">
        <v>133</v>
      </c>
      <c r="I1103">
        <v>10</v>
      </c>
      <c r="J1103" s="54">
        <f t="shared" si="17"/>
        <v>12</v>
      </c>
    </row>
    <row r="1104" spans="1:10">
      <c r="A1104" s="43">
        <v>42767</v>
      </c>
      <c r="B1104">
        <v>2007</v>
      </c>
      <c r="C1104">
        <v>1740</v>
      </c>
      <c r="D1104">
        <v>1103</v>
      </c>
      <c r="E1104">
        <v>6650</v>
      </c>
      <c r="F1104" t="s">
        <v>59</v>
      </c>
      <c r="G1104">
        <v>8</v>
      </c>
      <c r="H1104" t="s">
        <v>133</v>
      </c>
      <c r="I1104">
        <v>12</v>
      </c>
      <c r="J1104" s="54">
        <f t="shared" si="17"/>
        <v>8</v>
      </c>
    </row>
    <row r="1105" spans="1:10">
      <c r="A1105" s="43">
        <v>42761</v>
      </c>
      <c r="B1105">
        <v>2008</v>
      </c>
      <c r="C1105">
        <v>1740</v>
      </c>
      <c r="D1105">
        <v>1104</v>
      </c>
      <c r="E1105">
        <v>6350</v>
      </c>
      <c r="F1105" t="s">
        <v>59</v>
      </c>
      <c r="G1105">
        <v>4</v>
      </c>
      <c r="H1105" t="s">
        <v>133</v>
      </c>
      <c r="I1105">
        <v>11</v>
      </c>
      <c r="J1105" s="54">
        <f t="shared" si="17"/>
        <v>4</v>
      </c>
    </row>
    <row r="1106" spans="1:10">
      <c r="A1106" s="43">
        <v>42758</v>
      </c>
      <c r="B1106">
        <v>2008</v>
      </c>
      <c r="C1106">
        <v>1740</v>
      </c>
      <c r="D1106">
        <v>1105</v>
      </c>
      <c r="E1106">
        <v>6500</v>
      </c>
      <c r="F1106" t="s">
        <v>59</v>
      </c>
      <c r="G1106">
        <v>5</v>
      </c>
      <c r="H1106" t="s">
        <v>133</v>
      </c>
      <c r="I1106">
        <v>11</v>
      </c>
      <c r="J1106" s="54">
        <f t="shared" si="17"/>
        <v>5</v>
      </c>
    </row>
    <row r="1107" spans="1:10">
      <c r="A1107" s="43">
        <v>42744</v>
      </c>
      <c r="B1107">
        <v>2010</v>
      </c>
      <c r="C1107">
        <v>1740</v>
      </c>
      <c r="D1107">
        <v>1106</v>
      </c>
      <c r="E1107">
        <v>6500</v>
      </c>
      <c r="F1107" t="s">
        <v>59</v>
      </c>
      <c r="G1107">
        <v>5</v>
      </c>
      <c r="H1107" t="s">
        <v>133</v>
      </c>
      <c r="I1107">
        <v>9</v>
      </c>
      <c r="J1107" s="54">
        <f t="shared" si="17"/>
        <v>5</v>
      </c>
    </row>
    <row r="1108" spans="1:10">
      <c r="A1108" s="43">
        <v>42741</v>
      </c>
      <c r="B1108">
        <v>2010</v>
      </c>
      <c r="C1108">
        <v>1740</v>
      </c>
      <c r="D1108">
        <v>1107</v>
      </c>
      <c r="E1108">
        <v>6700</v>
      </c>
      <c r="F1108" t="s">
        <v>59</v>
      </c>
      <c r="G1108">
        <v>12</v>
      </c>
      <c r="H1108" t="s">
        <v>133</v>
      </c>
      <c r="I1108">
        <v>9</v>
      </c>
      <c r="J1108" s="54">
        <f t="shared" si="17"/>
        <v>12</v>
      </c>
    </row>
    <row r="1109" spans="1:10">
      <c r="A1109" s="43">
        <v>42725</v>
      </c>
      <c r="B1109">
        <v>2007</v>
      </c>
      <c r="C1109">
        <v>1740</v>
      </c>
      <c r="D1109">
        <v>1108</v>
      </c>
      <c r="E1109">
        <v>6500</v>
      </c>
      <c r="F1109" t="s">
        <v>59</v>
      </c>
      <c r="G1109">
        <v>6</v>
      </c>
      <c r="H1109" t="s">
        <v>133</v>
      </c>
      <c r="I1109">
        <v>12</v>
      </c>
      <c r="J1109" s="54">
        <f t="shared" si="17"/>
        <v>6</v>
      </c>
    </row>
    <row r="1110" spans="1:10">
      <c r="A1110" s="43">
        <v>42709</v>
      </c>
      <c r="B1110">
        <v>2007</v>
      </c>
      <c r="C1110">
        <v>1740</v>
      </c>
      <c r="D1110">
        <v>1109</v>
      </c>
      <c r="E1110">
        <v>5500</v>
      </c>
      <c r="F1110" t="s">
        <v>59</v>
      </c>
      <c r="G1110">
        <v>12</v>
      </c>
      <c r="H1110" t="s">
        <v>133</v>
      </c>
      <c r="I1110">
        <v>12</v>
      </c>
      <c r="J1110" s="54">
        <f t="shared" si="17"/>
        <v>12</v>
      </c>
    </row>
    <row r="1111" spans="1:10">
      <c r="A1111" s="43">
        <v>42709</v>
      </c>
      <c r="B1111">
        <v>2009</v>
      </c>
      <c r="C1111">
        <v>1740</v>
      </c>
      <c r="D1111">
        <v>1110</v>
      </c>
      <c r="E1111">
        <v>6500</v>
      </c>
      <c r="F1111" t="s">
        <v>59</v>
      </c>
      <c r="G1111">
        <v>5</v>
      </c>
      <c r="H1111" t="s">
        <v>133</v>
      </c>
      <c r="I1111">
        <v>10</v>
      </c>
      <c r="J1111" s="54">
        <f t="shared" si="17"/>
        <v>5</v>
      </c>
    </row>
    <row r="1112" spans="1:10">
      <c r="A1112" s="43">
        <v>42705</v>
      </c>
      <c r="B1112">
        <v>2010</v>
      </c>
      <c r="C1112">
        <v>1740</v>
      </c>
      <c r="D1112">
        <v>1111</v>
      </c>
      <c r="E1112">
        <v>6100</v>
      </c>
      <c r="F1112" t="s">
        <v>59</v>
      </c>
      <c r="G1112">
        <v>14</v>
      </c>
      <c r="H1112" t="s">
        <v>133</v>
      </c>
      <c r="I1112">
        <v>9</v>
      </c>
      <c r="J1112" s="54">
        <f t="shared" si="17"/>
        <v>14</v>
      </c>
    </row>
    <row r="1113" spans="1:10">
      <c r="A1113" s="43">
        <v>42692</v>
      </c>
      <c r="B1113">
        <v>2008</v>
      </c>
      <c r="C1113">
        <v>1740</v>
      </c>
      <c r="D1113">
        <v>1112</v>
      </c>
      <c r="E1113">
        <v>7000</v>
      </c>
      <c r="F1113" t="s">
        <v>59</v>
      </c>
      <c r="G1113">
        <v>30</v>
      </c>
      <c r="H1113" t="s">
        <v>60</v>
      </c>
      <c r="I1113">
        <v>11</v>
      </c>
      <c r="J1113" s="54">
        <f t="shared" si="17"/>
        <v>1</v>
      </c>
    </row>
    <row r="1114" spans="1:10">
      <c r="A1114" s="43">
        <v>42650</v>
      </c>
      <c r="B1114">
        <v>2006</v>
      </c>
      <c r="C1114">
        <v>1740</v>
      </c>
      <c r="D1114">
        <v>1113</v>
      </c>
      <c r="E1114">
        <v>6400</v>
      </c>
      <c r="F1114" t="s">
        <v>59</v>
      </c>
      <c r="G1114">
        <v>8</v>
      </c>
      <c r="H1114" t="s">
        <v>133</v>
      </c>
      <c r="I1114">
        <v>13</v>
      </c>
      <c r="J1114" s="54">
        <f t="shared" si="17"/>
        <v>8</v>
      </c>
    </row>
    <row r="1115" spans="1:10">
      <c r="A1115" s="43">
        <v>42642</v>
      </c>
      <c r="B1115">
        <v>2006</v>
      </c>
      <c r="C1115">
        <v>1740</v>
      </c>
      <c r="D1115">
        <v>1114</v>
      </c>
      <c r="E1115">
        <v>6400</v>
      </c>
      <c r="F1115" t="s">
        <v>59</v>
      </c>
      <c r="G1115">
        <v>6</v>
      </c>
      <c r="H1115" t="s">
        <v>133</v>
      </c>
      <c r="I1115">
        <v>13</v>
      </c>
      <c r="J1115" s="54">
        <f t="shared" si="17"/>
        <v>6</v>
      </c>
    </row>
    <row r="1116" spans="1:10">
      <c r="A1116" s="43">
        <v>42639</v>
      </c>
      <c r="B1116">
        <v>2008</v>
      </c>
      <c r="C1116">
        <v>1740</v>
      </c>
      <c r="D1116">
        <v>1115</v>
      </c>
      <c r="E1116">
        <v>7000</v>
      </c>
      <c r="F1116" t="s">
        <v>59</v>
      </c>
      <c r="G1116">
        <v>7</v>
      </c>
      <c r="H1116" t="s">
        <v>133</v>
      </c>
      <c r="I1116">
        <v>11</v>
      </c>
      <c r="J1116" s="54">
        <f t="shared" si="17"/>
        <v>7</v>
      </c>
    </row>
    <row r="1117" spans="1:10">
      <c r="A1117" s="43">
        <v>42628</v>
      </c>
      <c r="B1117">
        <v>2010</v>
      </c>
      <c r="C1117">
        <v>1740</v>
      </c>
      <c r="D1117">
        <v>1116</v>
      </c>
      <c r="E1117">
        <v>6700</v>
      </c>
      <c r="F1117" t="s">
        <v>59</v>
      </c>
      <c r="G1117">
        <v>4</v>
      </c>
      <c r="H1117" t="s">
        <v>133</v>
      </c>
      <c r="I1117">
        <v>9</v>
      </c>
      <c r="J1117" s="54">
        <f t="shared" si="17"/>
        <v>4</v>
      </c>
    </row>
    <row r="1118" spans="1:10">
      <c r="A1118" s="43">
        <v>42621</v>
      </c>
      <c r="B1118">
        <v>2008</v>
      </c>
      <c r="C1118">
        <v>1740</v>
      </c>
      <c r="D1118">
        <v>1117</v>
      </c>
      <c r="E1118">
        <v>6750</v>
      </c>
      <c r="F1118" t="s">
        <v>59</v>
      </c>
      <c r="G1118">
        <v>6</v>
      </c>
      <c r="H1118" t="s">
        <v>133</v>
      </c>
      <c r="I1118">
        <v>11</v>
      </c>
      <c r="J1118" s="54">
        <f t="shared" si="17"/>
        <v>6</v>
      </c>
    </row>
    <row r="1119" spans="1:10">
      <c r="A1119" s="43">
        <v>42615</v>
      </c>
      <c r="B1119">
        <v>2007</v>
      </c>
      <c r="C1119">
        <v>1740</v>
      </c>
      <c r="D1119">
        <v>1118</v>
      </c>
      <c r="E1119">
        <v>6400</v>
      </c>
      <c r="F1119" t="s">
        <v>59</v>
      </c>
      <c r="G1119">
        <v>6</v>
      </c>
      <c r="H1119" t="s">
        <v>133</v>
      </c>
      <c r="I1119">
        <v>12</v>
      </c>
      <c r="J1119" s="54">
        <f t="shared" si="17"/>
        <v>6</v>
      </c>
    </row>
    <row r="1120" spans="1:10">
      <c r="A1120" s="43">
        <v>42615</v>
      </c>
      <c r="B1120">
        <v>2008</v>
      </c>
      <c r="C1120">
        <v>1740</v>
      </c>
      <c r="D1120">
        <v>1119</v>
      </c>
      <c r="E1120">
        <v>6400</v>
      </c>
      <c r="F1120" t="s">
        <v>59</v>
      </c>
      <c r="G1120">
        <v>10</v>
      </c>
      <c r="H1120" t="s">
        <v>133</v>
      </c>
      <c r="I1120">
        <v>11</v>
      </c>
      <c r="J1120" s="54">
        <f t="shared" si="17"/>
        <v>10</v>
      </c>
    </row>
    <row r="1121" spans="1:10">
      <c r="A1121" s="43">
        <v>42614</v>
      </c>
      <c r="B1121">
        <v>2010</v>
      </c>
      <c r="C1121">
        <v>1740</v>
      </c>
      <c r="D1121">
        <v>1120</v>
      </c>
      <c r="E1121">
        <v>6750</v>
      </c>
      <c r="F1121" t="s">
        <v>59</v>
      </c>
      <c r="G1121">
        <v>9</v>
      </c>
      <c r="H1121" t="s">
        <v>133</v>
      </c>
      <c r="I1121">
        <v>9</v>
      </c>
      <c r="J1121" s="54">
        <f t="shared" si="17"/>
        <v>9</v>
      </c>
    </row>
    <row r="1122" spans="1:10">
      <c r="A1122" s="43">
        <v>42612</v>
      </c>
      <c r="B1122">
        <v>2008</v>
      </c>
      <c r="C1122">
        <v>1740</v>
      </c>
      <c r="D1122">
        <v>1121</v>
      </c>
      <c r="E1122">
        <v>6950</v>
      </c>
      <c r="F1122" t="s">
        <v>59</v>
      </c>
      <c r="G1122">
        <v>9</v>
      </c>
      <c r="H1122" t="s">
        <v>133</v>
      </c>
      <c r="I1122">
        <v>11</v>
      </c>
      <c r="J1122" s="54">
        <f t="shared" si="17"/>
        <v>9</v>
      </c>
    </row>
    <row r="1123" spans="1:10">
      <c r="A1123" s="43">
        <v>42605</v>
      </c>
      <c r="B1123">
        <v>2010</v>
      </c>
      <c r="C1123">
        <v>1740</v>
      </c>
      <c r="D1123">
        <v>1122</v>
      </c>
      <c r="E1123">
        <v>6750</v>
      </c>
      <c r="F1123" t="s">
        <v>59</v>
      </c>
      <c r="G1123">
        <v>42</v>
      </c>
      <c r="H1123" t="s">
        <v>60</v>
      </c>
      <c r="I1123">
        <v>9</v>
      </c>
      <c r="J1123" s="54">
        <f t="shared" si="17"/>
        <v>1</v>
      </c>
    </row>
    <row r="1124" spans="1:10">
      <c r="A1124" s="43">
        <v>42585</v>
      </c>
      <c r="B1124">
        <v>2007</v>
      </c>
      <c r="C1124">
        <v>1740</v>
      </c>
      <c r="D1124">
        <v>1123</v>
      </c>
      <c r="E1124">
        <v>7000</v>
      </c>
      <c r="F1124" t="s">
        <v>59</v>
      </c>
      <c r="G1124">
        <v>7</v>
      </c>
      <c r="H1124" t="s">
        <v>133</v>
      </c>
      <c r="I1124">
        <v>12</v>
      </c>
      <c r="J1124" s="54">
        <f t="shared" si="17"/>
        <v>7</v>
      </c>
    </row>
    <row r="1125" spans="1:10">
      <c r="A1125" s="43">
        <v>42585</v>
      </c>
      <c r="B1125">
        <v>2007</v>
      </c>
      <c r="C1125">
        <v>1740</v>
      </c>
      <c r="D1125">
        <v>1124</v>
      </c>
      <c r="E1125">
        <v>7000</v>
      </c>
      <c r="F1125" t="s">
        <v>59</v>
      </c>
      <c r="G1125">
        <v>6</v>
      </c>
      <c r="H1125" t="s">
        <v>133</v>
      </c>
      <c r="I1125">
        <v>12</v>
      </c>
      <c r="J1125" s="54">
        <f t="shared" si="17"/>
        <v>6</v>
      </c>
    </row>
    <row r="1126" spans="1:10">
      <c r="A1126" s="43">
        <v>42576</v>
      </c>
      <c r="B1126">
        <v>2009</v>
      </c>
      <c r="C1126">
        <v>1740</v>
      </c>
      <c r="D1126">
        <v>1125</v>
      </c>
      <c r="E1126">
        <v>6750</v>
      </c>
      <c r="F1126" t="s">
        <v>59</v>
      </c>
      <c r="G1126">
        <v>9</v>
      </c>
      <c r="H1126" t="s">
        <v>133</v>
      </c>
      <c r="I1126">
        <v>10</v>
      </c>
      <c r="J1126" s="54">
        <f t="shared" si="17"/>
        <v>9</v>
      </c>
    </row>
    <row r="1127" spans="1:10">
      <c r="A1127" s="43">
        <v>42566</v>
      </c>
      <c r="B1127">
        <v>2009</v>
      </c>
      <c r="C1127">
        <v>1740</v>
      </c>
      <c r="D1127">
        <v>1126</v>
      </c>
      <c r="E1127">
        <v>7000</v>
      </c>
      <c r="F1127" t="s">
        <v>59</v>
      </c>
      <c r="G1127">
        <v>5</v>
      </c>
      <c r="H1127" t="s">
        <v>133</v>
      </c>
      <c r="I1127">
        <v>10</v>
      </c>
      <c r="J1127" s="54">
        <f t="shared" si="17"/>
        <v>5</v>
      </c>
    </row>
    <row r="1128" spans="1:10">
      <c r="A1128" s="43">
        <v>42564</v>
      </c>
      <c r="B1128">
        <v>2009</v>
      </c>
      <c r="C1128">
        <v>1740</v>
      </c>
      <c r="D1128">
        <v>1127</v>
      </c>
      <c r="E1128">
        <v>6750</v>
      </c>
      <c r="F1128" t="s">
        <v>59</v>
      </c>
      <c r="G1128">
        <v>42</v>
      </c>
      <c r="H1128" t="s">
        <v>60</v>
      </c>
      <c r="I1128">
        <v>10</v>
      </c>
      <c r="J1128" s="54">
        <f t="shared" si="17"/>
        <v>1</v>
      </c>
    </row>
    <row r="1129" spans="1:10">
      <c r="A1129" s="43">
        <v>42558</v>
      </c>
      <c r="B1129">
        <v>2007</v>
      </c>
      <c r="C1129">
        <v>1740</v>
      </c>
      <c r="D1129">
        <v>1128</v>
      </c>
      <c r="E1129">
        <v>7000</v>
      </c>
      <c r="F1129" t="s">
        <v>59</v>
      </c>
      <c r="G1129">
        <v>9</v>
      </c>
      <c r="H1129" t="s">
        <v>133</v>
      </c>
      <c r="I1129">
        <v>12</v>
      </c>
      <c r="J1129" s="54">
        <f t="shared" si="17"/>
        <v>9</v>
      </c>
    </row>
    <row r="1130" spans="1:10">
      <c r="A1130" s="43">
        <v>42555</v>
      </c>
      <c r="B1130">
        <v>2008</v>
      </c>
      <c r="C1130">
        <v>1740</v>
      </c>
      <c r="D1130">
        <v>1129</v>
      </c>
      <c r="E1130">
        <v>7250</v>
      </c>
      <c r="F1130" t="s">
        <v>59</v>
      </c>
      <c r="G1130">
        <v>10</v>
      </c>
      <c r="H1130" t="s">
        <v>133</v>
      </c>
      <c r="I1130">
        <v>11</v>
      </c>
      <c r="J1130" s="54">
        <f t="shared" si="17"/>
        <v>10</v>
      </c>
    </row>
    <row r="1131" spans="1:10">
      <c r="A1131" s="43">
        <v>42548</v>
      </c>
      <c r="B1131">
        <v>2006</v>
      </c>
      <c r="C1131">
        <v>1740</v>
      </c>
      <c r="D1131">
        <v>1130</v>
      </c>
      <c r="E1131">
        <v>7500</v>
      </c>
      <c r="F1131" t="s">
        <v>59</v>
      </c>
      <c r="G1131">
        <v>84</v>
      </c>
      <c r="H1131" t="s">
        <v>60</v>
      </c>
      <c r="I1131">
        <v>13</v>
      </c>
      <c r="J1131" s="54">
        <f t="shared" si="17"/>
        <v>3</v>
      </c>
    </row>
    <row r="1132" spans="1:10">
      <c r="A1132" s="43">
        <v>42536</v>
      </c>
      <c r="B1132">
        <v>2008</v>
      </c>
      <c r="C1132">
        <v>1740</v>
      </c>
      <c r="D1132">
        <v>1131</v>
      </c>
      <c r="E1132">
        <v>6950</v>
      </c>
      <c r="F1132" t="s">
        <v>59</v>
      </c>
      <c r="G1132">
        <v>6</v>
      </c>
      <c r="H1132" t="s">
        <v>133</v>
      </c>
      <c r="I1132">
        <v>11</v>
      </c>
      <c r="J1132" s="54">
        <f t="shared" si="17"/>
        <v>6</v>
      </c>
    </row>
    <row r="1133" spans="1:10">
      <c r="A1133" s="43">
        <v>42522</v>
      </c>
      <c r="B1133">
        <v>2007</v>
      </c>
      <c r="C1133">
        <v>1740</v>
      </c>
      <c r="D1133">
        <v>1132</v>
      </c>
      <c r="E1133">
        <v>7750</v>
      </c>
      <c r="F1133" t="s">
        <v>59</v>
      </c>
      <c r="G1133">
        <v>12</v>
      </c>
      <c r="H1133" t="s">
        <v>133</v>
      </c>
      <c r="I1133">
        <v>12</v>
      </c>
      <c r="J1133" s="54">
        <f t="shared" si="17"/>
        <v>12</v>
      </c>
    </row>
    <row r="1134" spans="1:10">
      <c r="A1134" s="43">
        <v>42513</v>
      </c>
      <c r="B1134">
        <v>2010</v>
      </c>
      <c r="C1134">
        <v>1740</v>
      </c>
      <c r="D1134">
        <v>1133</v>
      </c>
      <c r="E1134">
        <v>6750</v>
      </c>
      <c r="F1134" t="s">
        <v>59</v>
      </c>
      <c r="G1134">
        <v>6</v>
      </c>
      <c r="H1134" t="s">
        <v>133</v>
      </c>
      <c r="I1134">
        <v>9</v>
      </c>
      <c r="J1134" s="54">
        <f t="shared" si="17"/>
        <v>6</v>
      </c>
    </row>
    <row r="1135" spans="1:10">
      <c r="A1135" s="43">
        <v>42509</v>
      </c>
      <c r="B1135">
        <v>2008</v>
      </c>
      <c r="C1135">
        <v>1740</v>
      </c>
      <c r="D1135">
        <v>1134</v>
      </c>
      <c r="E1135">
        <v>7000</v>
      </c>
      <c r="F1135" t="s">
        <v>59</v>
      </c>
      <c r="G1135">
        <v>5</v>
      </c>
      <c r="H1135" t="s">
        <v>133</v>
      </c>
      <c r="I1135">
        <v>11</v>
      </c>
      <c r="J1135" s="54">
        <f t="shared" si="17"/>
        <v>5</v>
      </c>
    </row>
    <row r="1136" spans="1:10">
      <c r="A1136" s="43">
        <v>42494</v>
      </c>
      <c r="B1136">
        <v>2007</v>
      </c>
      <c r="C1136">
        <v>1740</v>
      </c>
      <c r="D1136">
        <v>1135</v>
      </c>
      <c r="E1136">
        <v>8400</v>
      </c>
      <c r="F1136" t="s">
        <v>59</v>
      </c>
      <c r="G1136">
        <v>120</v>
      </c>
      <c r="H1136" t="s">
        <v>60</v>
      </c>
      <c r="I1136">
        <v>12</v>
      </c>
      <c r="J1136" s="54">
        <f t="shared" si="17"/>
        <v>4</v>
      </c>
    </row>
    <row r="1137" spans="1:10">
      <c r="A1137" s="43">
        <v>42489</v>
      </c>
      <c r="B1137">
        <v>2010</v>
      </c>
      <c r="C1137">
        <v>1740</v>
      </c>
      <c r="D1137">
        <v>1136</v>
      </c>
      <c r="E1137">
        <v>7750</v>
      </c>
      <c r="F1137" t="s">
        <v>59</v>
      </c>
      <c r="G1137">
        <v>9</v>
      </c>
      <c r="H1137" t="s">
        <v>133</v>
      </c>
      <c r="I1137">
        <v>9</v>
      </c>
      <c r="J1137" s="54">
        <f t="shared" si="17"/>
        <v>9</v>
      </c>
    </row>
    <row r="1138" spans="1:10">
      <c r="A1138" s="43">
        <v>42489</v>
      </c>
      <c r="B1138">
        <v>2006</v>
      </c>
      <c r="C1138">
        <v>1740</v>
      </c>
      <c r="D1138">
        <v>1137</v>
      </c>
      <c r="E1138">
        <v>7750</v>
      </c>
      <c r="F1138" t="s">
        <v>59</v>
      </c>
      <c r="G1138">
        <v>12</v>
      </c>
      <c r="H1138" t="s">
        <v>133</v>
      </c>
      <c r="I1138">
        <v>13</v>
      </c>
      <c r="J1138" s="54">
        <f t="shared" si="17"/>
        <v>12</v>
      </c>
    </row>
    <row r="1139" spans="1:10">
      <c r="A1139" s="43">
        <v>42480</v>
      </c>
      <c r="B1139">
        <v>2010</v>
      </c>
      <c r="C1139">
        <v>1740</v>
      </c>
      <c r="D1139">
        <v>1138</v>
      </c>
      <c r="E1139">
        <v>7200</v>
      </c>
      <c r="F1139" t="s">
        <v>59</v>
      </c>
      <c r="G1139">
        <v>5</v>
      </c>
      <c r="H1139" t="s">
        <v>133</v>
      </c>
      <c r="I1139">
        <v>9</v>
      </c>
      <c r="J1139" s="54">
        <f t="shared" si="17"/>
        <v>5</v>
      </c>
    </row>
    <row r="1140" spans="1:10">
      <c r="A1140" s="43">
        <v>42479</v>
      </c>
      <c r="B1140">
        <v>2008</v>
      </c>
      <c r="C1140">
        <v>1740</v>
      </c>
      <c r="D1140">
        <v>1139</v>
      </c>
      <c r="E1140">
        <v>7750</v>
      </c>
      <c r="F1140" t="s">
        <v>59</v>
      </c>
      <c r="G1140">
        <v>6</v>
      </c>
      <c r="H1140" t="s">
        <v>133</v>
      </c>
      <c r="I1140">
        <v>11</v>
      </c>
      <c r="J1140" s="54">
        <f t="shared" si="17"/>
        <v>6</v>
      </c>
    </row>
    <row r="1141" spans="1:10">
      <c r="A1141" s="43">
        <v>42471</v>
      </c>
      <c r="B1141">
        <v>2007</v>
      </c>
      <c r="C1141">
        <v>1740</v>
      </c>
      <c r="D1141">
        <v>1140</v>
      </c>
      <c r="E1141">
        <v>7400</v>
      </c>
      <c r="F1141" t="s">
        <v>59</v>
      </c>
      <c r="G1141">
        <v>6</v>
      </c>
      <c r="H1141" t="s">
        <v>133</v>
      </c>
      <c r="I1141">
        <v>12</v>
      </c>
      <c r="J1141" s="54">
        <f t="shared" si="17"/>
        <v>6</v>
      </c>
    </row>
    <row r="1142" spans="1:10">
      <c r="A1142" s="43">
        <v>42460</v>
      </c>
      <c r="B1142">
        <v>2008</v>
      </c>
      <c r="C1142">
        <v>1740</v>
      </c>
      <c r="D1142">
        <v>1141</v>
      </c>
      <c r="E1142">
        <v>7500</v>
      </c>
      <c r="F1142" t="s">
        <v>59</v>
      </c>
      <c r="G1142">
        <v>35</v>
      </c>
      <c r="H1142" t="s">
        <v>60</v>
      </c>
      <c r="I1142">
        <v>11</v>
      </c>
      <c r="J1142" s="54">
        <f t="shared" si="17"/>
        <v>1</v>
      </c>
    </row>
    <row r="1143" spans="1:10">
      <c r="A1143" s="43">
        <v>42450</v>
      </c>
      <c r="B1143">
        <v>2006</v>
      </c>
      <c r="C1143">
        <v>1740</v>
      </c>
      <c r="D1143">
        <v>1142</v>
      </c>
      <c r="E1143">
        <v>8000</v>
      </c>
      <c r="F1143" t="s">
        <v>59</v>
      </c>
      <c r="G1143">
        <v>5</v>
      </c>
      <c r="H1143" t="s">
        <v>133</v>
      </c>
      <c r="I1143">
        <v>13</v>
      </c>
      <c r="J1143" s="54">
        <f t="shared" si="17"/>
        <v>5</v>
      </c>
    </row>
    <row r="1144" spans="1:10">
      <c r="A1144" s="43">
        <v>42449</v>
      </c>
      <c r="B1144">
        <v>2007</v>
      </c>
      <c r="C1144">
        <v>1740</v>
      </c>
      <c r="D1144">
        <v>1143</v>
      </c>
      <c r="E1144">
        <v>7000</v>
      </c>
      <c r="F1144" t="s">
        <v>59</v>
      </c>
      <c r="G1144">
        <v>12</v>
      </c>
      <c r="H1144" t="s">
        <v>133</v>
      </c>
      <c r="I1144">
        <v>12</v>
      </c>
      <c r="J1144" s="54">
        <f t="shared" si="17"/>
        <v>12</v>
      </c>
    </row>
    <row r="1145" spans="1:10">
      <c r="A1145" s="43">
        <v>42443</v>
      </c>
      <c r="B1145">
        <v>2008</v>
      </c>
      <c r="C1145">
        <v>1740</v>
      </c>
      <c r="D1145">
        <v>1144</v>
      </c>
      <c r="E1145">
        <v>7200</v>
      </c>
      <c r="F1145" t="s">
        <v>59</v>
      </c>
      <c r="G1145">
        <v>12</v>
      </c>
      <c r="H1145" t="s">
        <v>133</v>
      </c>
      <c r="I1145">
        <v>11</v>
      </c>
      <c r="J1145" s="54">
        <f t="shared" si="17"/>
        <v>12</v>
      </c>
    </row>
    <row r="1146" spans="1:10">
      <c r="A1146" s="43">
        <v>42430</v>
      </c>
      <c r="B1146">
        <v>2007</v>
      </c>
      <c r="C1146">
        <v>1740</v>
      </c>
      <c r="D1146">
        <v>1145</v>
      </c>
      <c r="E1146">
        <v>7250</v>
      </c>
      <c r="F1146" t="s">
        <v>59</v>
      </c>
      <c r="G1146">
        <v>6</v>
      </c>
      <c r="H1146" t="s">
        <v>133</v>
      </c>
      <c r="I1146">
        <v>12</v>
      </c>
      <c r="J1146" s="54">
        <f t="shared" si="17"/>
        <v>6</v>
      </c>
    </row>
    <row r="1147" spans="1:10">
      <c r="A1147" s="43">
        <v>42430</v>
      </c>
      <c r="B1147">
        <v>2007</v>
      </c>
      <c r="C1147">
        <v>1740</v>
      </c>
      <c r="D1147">
        <v>1146</v>
      </c>
      <c r="E1147">
        <v>7500</v>
      </c>
      <c r="F1147" t="s">
        <v>59</v>
      </c>
      <c r="G1147">
        <v>5</v>
      </c>
      <c r="H1147" t="s">
        <v>133</v>
      </c>
      <c r="I1147">
        <v>12</v>
      </c>
      <c r="J1147" s="54">
        <f t="shared" si="17"/>
        <v>5</v>
      </c>
    </row>
    <row r="1148" spans="1:10">
      <c r="A1148" s="43">
        <v>42430</v>
      </c>
      <c r="B1148">
        <v>2009</v>
      </c>
      <c r="C1148">
        <v>1740</v>
      </c>
      <c r="D1148">
        <v>1147</v>
      </c>
      <c r="E1148">
        <v>7000</v>
      </c>
      <c r="F1148" t="s">
        <v>59</v>
      </c>
      <c r="G1148">
        <v>6</v>
      </c>
      <c r="H1148" t="s">
        <v>133</v>
      </c>
      <c r="I1148">
        <v>10</v>
      </c>
      <c r="J1148" s="54">
        <f t="shared" si="17"/>
        <v>6</v>
      </c>
    </row>
    <row r="1149" spans="1:10">
      <c r="A1149" s="43">
        <v>42426</v>
      </c>
      <c r="B1149">
        <v>2006</v>
      </c>
      <c r="C1149">
        <v>1740</v>
      </c>
      <c r="D1149">
        <v>1148</v>
      </c>
      <c r="E1149">
        <v>7700</v>
      </c>
      <c r="F1149" t="s">
        <v>59</v>
      </c>
      <c r="G1149">
        <v>3</v>
      </c>
      <c r="H1149" t="s">
        <v>133</v>
      </c>
      <c r="I1149">
        <v>13</v>
      </c>
      <c r="J1149" s="54">
        <f t="shared" si="17"/>
        <v>3</v>
      </c>
    </row>
    <row r="1150" spans="1:10">
      <c r="A1150" s="43">
        <v>42423</v>
      </c>
      <c r="B1150">
        <v>2009</v>
      </c>
      <c r="C1150">
        <v>1740</v>
      </c>
      <c r="D1150">
        <v>1149</v>
      </c>
      <c r="E1150">
        <v>6900</v>
      </c>
      <c r="F1150" t="s">
        <v>59</v>
      </c>
      <c r="G1150">
        <v>6</v>
      </c>
      <c r="H1150" t="s">
        <v>133</v>
      </c>
      <c r="I1150">
        <v>10</v>
      </c>
      <c r="J1150" s="54">
        <f t="shared" si="17"/>
        <v>6</v>
      </c>
    </row>
    <row r="1151" spans="1:10">
      <c r="A1151" s="43">
        <v>42408</v>
      </c>
      <c r="B1151">
        <v>2009</v>
      </c>
      <c r="C1151">
        <v>1740</v>
      </c>
      <c r="D1151">
        <v>1150</v>
      </c>
      <c r="E1151">
        <v>6900</v>
      </c>
      <c r="F1151" t="s">
        <v>59</v>
      </c>
      <c r="G1151">
        <v>5</v>
      </c>
      <c r="H1151" t="s">
        <v>133</v>
      </c>
      <c r="I1151">
        <v>10</v>
      </c>
      <c r="J1151" s="54">
        <f t="shared" si="17"/>
        <v>5</v>
      </c>
    </row>
    <row r="1152" spans="1:10">
      <c r="A1152" s="43">
        <v>42405</v>
      </c>
      <c r="B1152">
        <v>2006</v>
      </c>
      <c r="C1152">
        <v>1740</v>
      </c>
      <c r="D1152">
        <v>1151</v>
      </c>
      <c r="E1152">
        <v>7000</v>
      </c>
      <c r="F1152" t="s">
        <v>59</v>
      </c>
      <c r="G1152">
        <v>50</v>
      </c>
      <c r="H1152" t="s">
        <v>60</v>
      </c>
      <c r="I1152">
        <v>13</v>
      </c>
      <c r="J1152" s="54">
        <f t="shared" si="17"/>
        <v>2</v>
      </c>
    </row>
    <row r="1153" spans="1:10">
      <c r="A1153" s="43">
        <v>42395</v>
      </c>
      <c r="B1153">
        <v>2007</v>
      </c>
      <c r="C1153">
        <v>1740</v>
      </c>
      <c r="D1153">
        <v>1152</v>
      </c>
      <c r="E1153">
        <v>7200</v>
      </c>
      <c r="F1153" t="s">
        <v>59</v>
      </c>
      <c r="G1153">
        <v>7</v>
      </c>
      <c r="H1153" t="s">
        <v>133</v>
      </c>
      <c r="I1153">
        <v>12</v>
      </c>
      <c r="J1153" s="54">
        <f t="shared" si="17"/>
        <v>7</v>
      </c>
    </row>
    <row r="1154" spans="1:10">
      <c r="A1154" s="43">
        <v>42383</v>
      </c>
      <c r="B1154">
        <v>2007</v>
      </c>
      <c r="C1154">
        <v>1740</v>
      </c>
      <c r="D1154">
        <v>1153</v>
      </c>
      <c r="E1154">
        <v>7000</v>
      </c>
      <c r="F1154" t="s">
        <v>59</v>
      </c>
      <c r="G1154">
        <v>5</v>
      </c>
      <c r="H1154" t="s">
        <v>133</v>
      </c>
      <c r="I1154">
        <v>12</v>
      </c>
      <c r="J1154" s="54">
        <f t="shared" ref="J1154:J1217" si="18">IF(H1154="days",ROUND(G1154/30,0),IF(H1154="years",G1154*12,G1154))</f>
        <v>5</v>
      </c>
    </row>
    <row r="1155" spans="1:10">
      <c r="A1155" s="43">
        <v>43344</v>
      </c>
      <c r="B1155">
        <v>2008</v>
      </c>
      <c r="C1155">
        <v>1794</v>
      </c>
      <c r="D1155">
        <v>1154</v>
      </c>
      <c r="E1155">
        <v>9500</v>
      </c>
      <c r="F1155" t="s">
        <v>59</v>
      </c>
      <c r="G1155">
        <v>2</v>
      </c>
      <c r="H1155" t="s">
        <v>133</v>
      </c>
      <c r="I1155">
        <v>11</v>
      </c>
      <c r="J1155" s="54">
        <f t="shared" si="18"/>
        <v>2</v>
      </c>
    </row>
    <row r="1156" spans="1:10">
      <c r="A1156" s="43">
        <v>43209</v>
      </c>
      <c r="B1156">
        <v>2008</v>
      </c>
      <c r="C1156">
        <v>1794</v>
      </c>
      <c r="D1156">
        <v>1155</v>
      </c>
      <c r="E1156">
        <v>10800</v>
      </c>
      <c r="F1156" t="s">
        <v>59</v>
      </c>
      <c r="G1156">
        <v>6</v>
      </c>
      <c r="H1156" t="s">
        <v>133</v>
      </c>
      <c r="I1156">
        <v>11</v>
      </c>
      <c r="J1156" s="54">
        <f t="shared" si="18"/>
        <v>6</v>
      </c>
    </row>
    <row r="1157" spans="1:10">
      <c r="A1157" s="43">
        <v>43201</v>
      </c>
      <c r="B1157">
        <v>2008</v>
      </c>
      <c r="C1157">
        <v>1794</v>
      </c>
      <c r="D1157">
        <v>1156</v>
      </c>
      <c r="E1157">
        <v>10700</v>
      </c>
      <c r="F1157" t="s">
        <v>59</v>
      </c>
      <c r="G1157">
        <v>12</v>
      </c>
      <c r="H1157" t="s">
        <v>133</v>
      </c>
      <c r="I1157">
        <v>11</v>
      </c>
      <c r="J1157" s="54">
        <f t="shared" si="18"/>
        <v>12</v>
      </c>
    </row>
    <row r="1158" spans="1:10">
      <c r="A1158" s="43">
        <v>42741</v>
      </c>
      <c r="B1158">
        <v>2008</v>
      </c>
      <c r="C1158">
        <v>1794</v>
      </c>
      <c r="D1158">
        <v>1157</v>
      </c>
      <c r="E1158">
        <v>7450</v>
      </c>
      <c r="F1158" t="s">
        <v>59</v>
      </c>
      <c r="G1158">
        <v>12</v>
      </c>
      <c r="H1158" t="s">
        <v>133</v>
      </c>
      <c r="I1158">
        <v>11</v>
      </c>
      <c r="J1158" s="54">
        <f t="shared" si="18"/>
        <v>12</v>
      </c>
    </row>
    <row r="1159" spans="1:10">
      <c r="A1159" s="43">
        <v>43619</v>
      </c>
      <c r="B1159">
        <v>2008</v>
      </c>
      <c r="C1159">
        <v>1795</v>
      </c>
      <c r="D1159">
        <v>1158</v>
      </c>
      <c r="E1159">
        <v>9200</v>
      </c>
      <c r="F1159" t="s">
        <v>59</v>
      </c>
      <c r="G1159">
        <v>5</v>
      </c>
      <c r="H1159" t="s">
        <v>133</v>
      </c>
      <c r="I1159">
        <v>11</v>
      </c>
      <c r="J1159" s="54">
        <f t="shared" si="18"/>
        <v>5</v>
      </c>
    </row>
    <row r="1160" spans="1:10">
      <c r="A1160" s="43">
        <v>43619</v>
      </c>
      <c r="B1160">
        <v>2010</v>
      </c>
      <c r="C1160">
        <v>1795</v>
      </c>
      <c r="D1160">
        <v>1159</v>
      </c>
      <c r="E1160">
        <v>8200</v>
      </c>
      <c r="F1160" t="s">
        <v>59</v>
      </c>
      <c r="G1160">
        <v>5</v>
      </c>
      <c r="H1160" t="s">
        <v>133</v>
      </c>
      <c r="I1160">
        <v>9</v>
      </c>
      <c r="J1160" s="54">
        <f t="shared" si="18"/>
        <v>5</v>
      </c>
    </row>
    <row r="1161" spans="1:10">
      <c r="A1161" s="43">
        <v>43570</v>
      </c>
      <c r="B1161">
        <v>2007</v>
      </c>
      <c r="C1161">
        <v>1795</v>
      </c>
      <c r="D1161">
        <v>1160</v>
      </c>
      <c r="E1161">
        <v>7950</v>
      </c>
      <c r="F1161" t="s">
        <v>59</v>
      </c>
      <c r="G1161">
        <v>9</v>
      </c>
      <c r="H1161" t="s">
        <v>133</v>
      </c>
      <c r="I1161">
        <v>12</v>
      </c>
      <c r="J1161" s="54">
        <f t="shared" si="18"/>
        <v>9</v>
      </c>
    </row>
    <row r="1162" spans="1:10">
      <c r="A1162" s="43">
        <v>43553</v>
      </c>
      <c r="B1162">
        <v>2008</v>
      </c>
      <c r="C1162">
        <v>1795</v>
      </c>
      <c r="D1162">
        <v>1161</v>
      </c>
      <c r="E1162">
        <v>8000</v>
      </c>
      <c r="F1162" t="s">
        <v>59</v>
      </c>
      <c r="G1162">
        <v>7</v>
      </c>
      <c r="H1162" t="s">
        <v>133</v>
      </c>
      <c r="I1162">
        <v>11</v>
      </c>
      <c r="J1162" s="54">
        <f t="shared" si="18"/>
        <v>7</v>
      </c>
    </row>
    <row r="1163" spans="1:10">
      <c r="A1163" s="43">
        <v>43503</v>
      </c>
      <c r="B1163">
        <v>2010</v>
      </c>
      <c r="C1163">
        <v>1795</v>
      </c>
      <c r="D1163">
        <v>1162</v>
      </c>
      <c r="E1163">
        <v>7000</v>
      </c>
      <c r="F1163" t="s">
        <v>59</v>
      </c>
      <c r="G1163">
        <v>7</v>
      </c>
      <c r="H1163" t="s">
        <v>133</v>
      </c>
      <c r="I1163">
        <v>9</v>
      </c>
      <c r="J1163" s="54">
        <f t="shared" si="18"/>
        <v>7</v>
      </c>
    </row>
    <row r="1164" spans="1:10">
      <c r="A1164" s="43">
        <v>43455</v>
      </c>
      <c r="B1164">
        <v>2010</v>
      </c>
      <c r="C1164">
        <v>1795</v>
      </c>
      <c r="D1164">
        <v>1163</v>
      </c>
      <c r="E1164">
        <v>6500</v>
      </c>
      <c r="F1164" t="s">
        <v>59</v>
      </c>
      <c r="G1164">
        <v>5</v>
      </c>
      <c r="H1164" t="s">
        <v>133</v>
      </c>
      <c r="I1164">
        <v>9</v>
      </c>
      <c r="J1164" s="54">
        <f t="shared" si="18"/>
        <v>5</v>
      </c>
    </row>
    <row r="1165" spans="1:10">
      <c r="A1165" s="43">
        <v>43438</v>
      </c>
      <c r="B1165">
        <v>2008</v>
      </c>
      <c r="C1165">
        <v>1795</v>
      </c>
      <c r="D1165">
        <v>1164</v>
      </c>
      <c r="E1165">
        <v>8000</v>
      </c>
      <c r="F1165" t="s">
        <v>59</v>
      </c>
      <c r="G1165">
        <v>6</v>
      </c>
      <c r="H1165" t="s">
        <v>133</v>
      </c>
      <c r="I1165">
        <v>11</v>
      </c>
      <c r="J1165" s="54">
        <f t="shared" si="18"/>
        <v>6</v>
      </c>
    </row>
    <row r="1166" spans="1:10">
      <c r="A1166" s="43">
        <v>43403</v>
      </c>
      <c r="B1166">
        <v>2008</v>
      </c>
      <c r="C1166">
        <v>1795</v>
      </c>
      <c r="D1166">
        <v>1165</v>
      </c>
      <c r="E1166">
        <v>7500</v>
      </c>
      <c r="F1166" t="s">
        <v>59</v>
      </c>
      <c r="G1166">
        <v>10</v>
      </c>
      <c r="H1166" t="s">
        <v>133</v>
      </c>
      <c r="I1166">
        <v>11</v>
      </c>
      <c r="J1166" s="54">
        <f t="shared" si="18"/>
        <v>10</v>
      </c>
    </row>
    <row r="1167" spans="1:10">
      <c r="A1167" s="43">
        <v>43391</v>
      </c>
      <c r="B1167">
        <v>2009</v>
      </c>
      <c r="C1167">
        <v>1795</v>
      </c>
      <c r="D1167">
        <v>1166</v>
      </c>
      <c r="E1167">
        <v>8800</v>
      </c>
      <c r="F1167" t="s">
        <v>59</v>
      </c>
      <c r="G1167">
        <v>12</v>
      </c>
      <c r="H1167" t="s">
        <v>133</v>
      </c>
      <c r="I1167">
        <v>10</v>
      </c>
      <c r="J1167" s="54">
        <f t="shared" si="18"/>
        <v>12</v>
      </c>
    </row>
    <row r="1168" spans="1:10">
      <c r="A1168" s="43">
        <v>43346</v>
      </c>
      <c r="B1168">
        <v>2008</v>
      </c>
      <c r="C1168">
        <v>1795</v>
      </c>
      <c r="D1168">
        <v>1167</v>
      </c>
      <c r="E1168">
        <v>10250</v>
      </c>
      <c r="F1168" t="s">
        <v>59</v>
      </c>
      <c r="G1168">
        <v>8</v>
      </c>
      <c r="H1168" t="s">
        <v>133</v>
      </c>
      <c r="I1168">
        <v>11</v>
      </c>
      <c r="J1168" s="54">
        <f t="shared" si="18"/>
        <v>8</v>
      </c>
    </row>
    <row r="1169" spans="1:10">
      <c r="A1169" s="43">
        <v>43340</v>
      </c>
      <c r="B1169">
        <v>2009</v>
      </c>
      <c r="C1169">
        <v>1795</v>
      </c>
      <c r="D1169">
        <v>1168</v>
      </c>
      <c r="E1169">
        <v>10500</v>
      </c>
      <c r="F1169" t="s">
        <v>59</v>
      </c>
      <c r="G1169">
        <v>9</v>
      </c>
      <c r="H1169" t="s">
        <v>133</v>
      </c>
      <c r="I1169">
        <v>10</v>
      </c>
      <c r="J1169" s="54">
        <f t="shared" si="18"/>
        <v>9</v>
      </c>
    </row>
    <row r="1170" spans="1:10">
      <c r="A1170" s="43">
        <v>43238</v>
      </c>
      <c r="B1170">
        <v>2010</v>
      </c>
      <c r="C1170">
        <v>1795</v>
      </c>
      <c r="D1170">
        <v>1169</v>
      </c>
      <c r="E1170">
        <v>10900</v>
      </c>
      <c r="F1170" t="s">
        <v>59</v>
      </c>
      <c r="G1170">
        <v>6</v>
      </c>
      <c r="H1170" t="s">
        <v>133</v>
      </c>
      <c r="I1170">
        <v>9</v>
      </c>
      <c r="J1170" s="54">
        <f t="shared" si="18"/>
        <v>6</v>
      </c>
    </row>
    <row r="1171" spans="1:10">
      <c r="A1171" s="43">
        <v>43209</v>
      </c>
      <c r="B1171">
        <v>2010</v>
      </c>
      <c r="C1171">
        <v>1795</v>
      </c>
      <c r="D1171">
        <v>1170</v>
      </c>
      <c r="E1171">
        <v>10800</v>
      </c>
      <c r="F1171" t="s">
        <v>59</v>
      </c>
      <c r="G1171">
        <v>7</v>
      </c>
      <c r="H1171" t="s">
        <v>133</v>
      </c>
      <c r="I1171">
        <v>9</v>
      </c>
      <c r="J1171" s="54">
        <f t="shared" si="18"/>
        <v>7</v>
      </c>
    </row>
    <row r="1172" spans="1:10">
      <c r="A1172" s="43">
        <v>43166</v>
      </c>
      <c r="B1172">
        <v>2010</v>
      </c>
      <c r="C1172">
        <v>1795</v>
      </c>
      <c r="D1172">
        <v>1171</v>
      </c>
      <c r="E1172">
        <v>10800</v>
      </c>
      <c r="F1172" t="s">
        <v>59</v>
      </c>
      <c r="G1172">
        <v>4</v>
      </c>
      <c r="H1172" t="s">
        <v>133</v>
      </c>
      <c r="I1172">
        <v>9</v>
      </c>
      <c r="J1172" s="54">
        <f t="shared" si="18"/>
        <v>4</v>
      </c>
    </row>
    <row r="1173" spans="1:10">
      <c r="A1173" s="43">
        <v>43161</v>
      </c>
      <c r="B1173">
        <v>2007</v>
      </c>
      <c r="C1173">
        <v>1795</v>
      </c>
      <c r="D1173">
        <v>1172</v>
      </c>
      <c r="E1173">
        <v>9700</v>
      </c>
      <c r="F1173" t="s">
        <v>59</v>
      </c>
      <c r="G1173">
        <v>6</v>
      </c>
      <c r="H1173" t="s">
        <v>133</v>
      </c>
      <c r="I1173">
        <v>12</v>
      </c>
      <c r="J1173" s="54">
        <f t="shared" si="18"/>
        <v>6</v>
      </c>
    </row>
    <row r="1174" spans="1:10">
      <c r="A1174" s="43">
        <v>43160</v>
      </c>
      <c r="B1174">
        <v>2009</v>
      </c>
      <c r="C1174">
        <v>1795</v>
      </c>
      <c r="D1174">
        <v>1173</v>
      </c>
      <c r="E1174">
        <v>9850</v>
      </c>
      <c r="F1174" t="s">
        <v>59</v>
      </c>
      <c r="G1174">
        <v>12</v>
      </c>
      <c r="H1174" t="s">
        <v>133</v>
      </c>
      <c r="I1174">
        <v>10</v>
      </c>
      <c r="J1174" s="54">
        <f t="shared" si="18"/>
        <v>12</v>
      </c>
    </row>
    <row r="1175" spans="1:10">
      <c r="A1175" s="43">
        <v>43159</v>
      </c>
      <c r="B1175">
        <v>2008</v>
      </c>
      <c r="C1175">
        <v>1795</v>
      </c>
      <c r="D1175">
        <v>1174</v>
      </c>
      <c r="E1175">
        <v>10250</v>
      </c>
      <c r="F1175" t="s">
        <v>59</v>
      </c>
      <c r="G1175">
        <v>7</v>
      </c>
      <c r="H1175" t="s">
        <v>133</v>
      </c>
      <c r="I1175">
        <v>11</v>
      </c>
      <c r="J1175" s="54">
        <f t="shared" si="18"/>
        <v>7</v>
      </c>
    </row>
    <row r="1176" spans="1:10">
      <c r="A1176" s="43">
        <v>43102</v>
      </c>
      <c r="B1176">
        <v>2010</v>
      </c>
      <c r="C1176">
        <v>1795</v>
      </c>
      <c r="D1176">
        <v>1175</v>
      </c>
      <c r="E1176">
        <v>8950</v>
      </c>
      <c r="F1176" t="s">
        <v>59</v>
      </c>
      <c r="G1176">
        <v>3</v>
      </c>
      <c r="H1176" t="s">
        <v>133</v>
      </c>
      <c r="I1176">
        <v>9</v>
      </c>
      <c r="J1176" s="54">
        <f t="shared" si="18"/>
        <v>3</v>
      </c>
    </row>
    <row r="1177" spans="1:10">
      <c r="A1177" s="43">
        <v>43089</v>
      </c>
      <c r="B1177">
        <v>2010</v>
      </c>
      <c r="C1177">
        <v>1795</v>
      </c>
      <c r="D1177">
        <v>1176</v>
      </c>
      <c r="E1177">
        <v>8975</v>
      </c>
      <c r="F1177" t="s">
        <v>59</v>
      </c>
      <c r="G1177">
        <v>40</v>
      </c>
      <c r="H1177" t="s">
        <v>60</v>
      </c>
      <c r="I1177">
        <v>9</v>
      </c>
      <c r="J1177" s="54">
        <f t="shared" si="18"/>
        <v>1</v>
      </c>
    </row>
    <row r="1178" spans="1:10">
      <c r="A1178" s="43">
        <v>43075</v>
      </c>
      <c r="B1178">
        <v>2010</v>
      </c>
      <c r="C1178">
        <v>1795</v>
      </c>
      <c r="D1178">
        <v>1177</v>
      </c>
      <c r="E1178">
        <v>8450</v>
      </c>
      <c r="F1178" t="s">
        <v>59</v>
      </c>
      <c r="G1178">
        <v>5</v>
      </c>
      <c r="H1178" t="s">
        <v>133</v>
      </c>
      <c r="I1178">
        <v>9</v>
      </c>
      <c r="J1178" s="54">
        <f t="shared" si="18"/>
        <v>5</v>
      </c>
    </row>
    <row r="1179" spans="1:10">
      <c r="A1179" s="43">
        <v>43020</v>
      </c>
      <c r="B1179">
        <v>2008</v>
      </c>
      <c r="C1179">
        <v>1795</v>
      </c>
      <c r="D1179">
        <v>1178</v>
      </c>
      <c r="E1179">
        <v>7900</v>
      </c>
      <c r="F1179" t="s">
        <v>59</v>
      </c>
      <c r="G1179">
        <v>10</v>
      </c>
      <c r="H1179" t="s">
        <v>133</v>
      </c>
      <c r="I1179">
        <v>11</v>
      </c>
      <c r="J1179" s="54">
        <f t="shared" si="18"/>
        <v>10</v>
      </c>
    </row>
    <row r="1180" spans="1:10">
      <c r="A1180" s="43">
        <v>42989</v>
      </c>
      <c r="B1180">
        <v>2008</v>
      </c>
      <c r="C1180">
        <v>1795</v>
      </c>
      <c r="D1180">
        <v>1179</v>
      </c>
      <c r="E1180">
        <v>7500</v>
      </c>
      <c r="F1180" t="s">
        <v>59</v>
      </c>
      <c r="G1180">
        <v>8</v>
      </c>
      <c r="H1180" t="s">
        <v>133</v>
      </c>
      <c r="I1180">
        <v>11</v>
      </c>
      <c r="J1180" s="54">
        <f t="shared" si="18"/>
        <v>8</v>
      </c>
    </row>
    <row r="1181" spans="1:10">
      <c r="A1181" s="43">
        <v>42977</v>
      </c>
      <c r="B1181">
        <v>2008</v>
      </c>
      <c r="C1181">
        <v>1795</v>
      </c>
      <c r="D1181">
        <v>1180</v>
      </c>
      <c r="E1181">
        <v>7950</v>
      </c>
      <c r="F1181" t="s">
        <v>59</v>
      </c>
      <c r="G1181">
        <v>6</v>
      </c>
      <c r="H1181" t="s">
        <v>133</v>
      </c>
      <c r="I1181">
        <v>11</v>
      </c>
      <c r="J1181" s="54">
        <f t="shared" si="18"/>
        <v>6</v>
      </c>
    </row>
    <row r="1182" spans="1:10">
      <c r="A1182" s="43">
        <v>42873</v>
      </c>
      <c r="B1182">
        <v>2008</v>
      </c>
      <c r="C1182">
        <v>1795</v>
      </c>
      <c r="D1182">
        <v>1181</v>
      </c>
      <c r="E1182">
        <v>7400</v>
      </c>
      <c r="F1182" t="s">
        <v>59</v>
      </c>
      <c r="G1182">
        <v>70</v>
      </c>
      <c r="H1182" t="s">
        <v>60</v>
      </c>
      <c r="I1182">
        <v>11</v>
      </c>
      <c r="J1182" s="54">
        <f t="shared" si="18"/>
        <v>2</v>
      </c>
    </row>
    <row r="1183" spans="1:10">
      <c r="A1183" s="43">
        <v>42846</v>
      </c>
      <c r="B1183">
        <v>2010</v>
      </c>
      <c r="C1183">
        <v>1795</v>
      </c>
      <c r="D1183">
        <v>1182</v>
      </c>
      <c r="E1183">
        <v>7450</v>
      </c>
      <c r="F1183" t="s">
        <v>59</v>
      </c>
      <c r="G1183">
        <v>4</v>
      </c>
      <c r="H1183" t="s">
        <v>133</v>
      </c>
      <c r="I1183">
        <v>9</v>
      </c>
      <c r="J1183" s="54">
        <f t="shared" si="18"/>
        <v>4</v>
      </c>
    </row>
    <row r="1184" spans="1:10">
      <c r="A1184" s="43">
        <v>42828</v>
      </c>
      <c r="B1184">
        <v>2009</v>
      </c>
      <c r="C1184">
        <v>1795</v>
      </c>
      <c r="D1184">
        <v>1183</v>
      </c>
      <c r="E1184">
        <v>7000</v>
      </c>
      <c r="F1184" t="s">
        <v>59</v>
      </c>
      <c r="G1184">
        <v>6</v>
      </c>
      <c r="H1184" t="s">
        <v>133</v>
      </c>
      <c r="I1184">
        <v>10</v>
      </c>
      <c r="J1184" s="54">
        <f t="shared" si="18"/>
        <v>6</v>
      </c>
    </row>
    <row r="1185" spans="1:10">
      <c r="A1185" s="43">
        <v>42793</v>
      </c>
      <c r="B1185">
        <v>2007</v>
      </c>
      <c r="C1185">
        <v>1795</v>
      </c>
      <c r="D1185">
        <v>1184</v>
      </c>
      <c r="E1185">
        <v>6300</v>
      </c>
      <c r="F1185" t="s">
        <v>59</v>
      </c>
      <c r="G1185">
        <v>6</v>
      </c>
      <c r="H1185" t="s">
        <v>133</v>
      </c>
      <c r="I1185">
        <v>12</v>
      </c>
      <c r="J1185" s="54">
        <f t="shared" si="18"/>
        <v>6</v>
      </c>
    </row>
    <row r="1186" spans="1:10">
      <c r="A1186" s="43">
        <v>42724</v>
      </c>
      <c r="B1186">
        <v>2010</v>
      </c>
      <c r="C1186">
        <v>1795</v>
      </c>
      <c r="D1186">
        <v>1185</v>
      </c>
      <c r="E1186">
        <v>6700</v>
      </c>
      <c r="F1186" t="s">
        <v>59</v>
      </c>
      <c r="G1186">
        <v>6</v>
      </c>
      <c r="H1186" t="s">
        <v>133</v>
      </c>
      <c r="I1186">
        <v>9</v>
      </c>
      <c r="J1186" s="54">
        <f t="shared" si="18"/>
        <v>6</v>
      </c>
    </row>
    <row r="1187" spans="1:10">
      <c r="A1187" s="43">
        <v>42705</v>
      </c>
      <c r="B1187">
        <v>2010</v>
      </c>
      <c r="C1187">
        <v>1795</v>
      </c>
      <c r="D1187">
        <v>1186</v>
      </c>
      <c r="E1187">
        <v>6900</v>
      </c>
      <c r="F1187" t="s">
        <v>59</v>
      </c>
      <c r="G1187">
        <v>4</v>
      </c>
      <c r="H1187" t="s">
        <v>133</v>
      </c>
      <c r="I1187">
        <v>9</v>
      </c>
      <c r="J1187" s="54">
        <f t="shared" si="18"/>
        <v>4</v>
      </c>
    </row>
    <row r="1188" spans="1:10">
      <c r="A1188" s="43">
        <v>42684</v>
      </c>
      <c r="B1188">
        <v>2008</v>
      </c>
      <c r="C1188">
        <v>1795</v>
      </c>
      <c r="D1188">
        <v>1187</v>
      </c>
      <c r="E1188">
        <v>6000</v>
      </c>
      <c r="F1188" t="s">
        <v>59</v>
      </c>
      <c r="G1188">
        <v>7</v>
      </c>
      <c r="H1188" t="s">
        <v>133</v>
      </c>
      <c r="I1188">
        <v>11</v>
      </c>
      <c r="J1188" s="54">
        <f t="shared" si="18"/>
        <v>7</v>
      </c>
    </row>
    <row r="1189" spans="1:10">
      <c r="A1189" s="43">
        <v>42663</v>
      </c>
      <c r="B1189">
        <v>2010</v>
      </c>
      <c r="C1189">
        <v>1795</v>
      </c>
      <c r="D1189">
        <v>1188</v>
      </c>
      <c r="E1189">
        <v>6750</v>
      </c>
      <c r="F1189" t="s">
        <v>59</v>
      </c>
      <c r="G1189">
        <v>3</v>
      </c>
      <c r="H1189" t="s">
        <v>133</v>
      </c>
      <c r="I1189">
        <v>9</v>
      </c>
      <c r="J1189" s="54">
        <f t="shared" si="18"/>
        <v>3</v>
      </c>
    </row>
    <row r="1190" spans="1:10">
      <c r="A1190" s="43">
        <v>42632</v>
      </c>
      <c r="B1190">
        <v>2010</v>
      </c>
      <c r="C1190">
        <v>1795</v>
      </c>
      <c r="D1190">
        <v>1189</v>
      </c>
      <c r="E1190">
        <v>7000</v>
      </c>
      <c r="F1190" t="s">
        <v>59</v>
      </c>
      <c r="G1190">
        <v>30</v>
      </c>
      <c r="H1190" t="s">
        <v>60</v>
      </c>
      <c r="I1190">
        <v>9</v>
      </c>
      <c r="J1190" s="54">
        <f t="shared" si="18"/>
        <v>1</v>
      </c>
    </row>
    <row r="1191" spans="1:10">
      <c r="A1191" s="43">
        <v>42620</v>
      </c>
      <c r="B1191">
        <v>2008</v>
      </c>
      <c r="C1191">
        <v>1795</v>
      </c>
      <c r="D1191">
        <v>1190</v>
      </c>
      <c r="E1191">
        <v>7250</v>
      </c>
      <c r="F1191" t="s">
        <v>59</v>
      </c>
      <c r="G1191">
        <v>12</v>
      </c>
      <c r="H1191" t="s">
        <v>133</v>
      </c>
      <c r="I1191">
        <v>11</v>
      </c>
      <c r="J1191" s="54">
        <f t="shared" si="18"/>
        <v>12</v>
      </c>
    </row>
    <row r="1192" spans="1:10">
      <c r="A1192" s="43">
        <v>42618</v>
      </c>
      <c r="B1192">
        <v>2009</v>
      </c>
      <c r="C1192">
        <v>1795</v>
      </c>
      <c r="D1192">
        <v>1191</v>
      </c>
      <c r="E1192">
        <v>6500</v>
      </c>
      <c r="F1192" t="s">
        <v>59</v>
      </c>
      <c r="G1192">
        <v>7</v>
      </c>
      <c r="H1192" t="s">
        <v>133</v>
      </c>
      <c r="I1192">
        <v>10</v>
      </c>
      <c r="J1192" s="54">
        <f t="shared" si="18"/>
        <v>7</v>
      </c>
    </row>
    <row r="1193" spans="1:10">
      <c r="A1193" s="43">
        <v>42607</v>
      </c>
      <c r="B1193">
        <v>2009</v>
      </c>
      <c r="C1193">
        <v>1795</v>
      </c>
      <c r="D1193">
        <v>1192</v>
      </c>
      <c r="E1193">
        <v>7150</v>
      </c>
      <c r="F1193" t="s">
        <v>59</v>
      </c>
      <c r="G1193">
        <v>12</v>
      </c>
      <c r="H1193" t="s">
        <v>133</v>
      </c>
      <c r="I1193">
        <v>10</v>
      </c>
      <c r="J1193" s="54">
        <f t="shared" si="18"/>
        <v>12</v>
      </c>
    </row>
    <row r="1194" spans="1:10">
      <c r="A1194" s="43">
        <v>42598</v>
      </c>
      <c r="B1194">
        <v>2008</v>
      </c>
      <c r="C1194">
        <v>1795</v>
      </c>
      <c r="D1194">
        <v>1193</v>
      </c>
      <c r="E1194">
        <v>7000</v>
      </c>
      <c r="F1194" t="s">
        <v>59</v>
      </c>
      <c r="G1194">
        <v>7</v>
      </c>
      <c r="H1194" t="s">
        <v>133</v>
      </c>
      <c r="I1194">
        <v>11</v>
      </c>
      <c r="J1194" s="54">
        <f t="shared" si="18"/>
        <v>7</v>
      </c>
    </row>
    <row r="1195" spans="1:10">
      <c r="A1195" s="43">
        <v>42597</v>
      </c>
      <c r="B1195">
        <v>2010</v>
      </c>
      <c r="C1195">
        <v>1795</v>
      </c>
      <c r="D1195">
        <v>1194</v>
      </c>
      <c r="E1195">
        <v>7150</v>
      </c>
      <c r="F1195" t="s">
        <v>59</v>
      </c>
      <c r="G1195">
        <v>3</v>
      </c>
      <c r="H1195" t="s">
        <v>133</v>
      </c>
      <c r="I1195">
        <v>9</v>
      </c>
      <c r="J1195" s="54">
        <f t="shared" si="18"/>
        <v>3</v>
      </c>
    </row>
    <row r="1196" spans="1:10">
      <c r="A1196" s="43">
        <v>42578</v>
      </c>
      <c r="B1196">
        <v>2008</v>
      </c>
      <c r="C1196">
        <v>1795</v>
      </c>
      <c r="D1196">
        <v>1195</v>
      </c>
      <c r="E1196">
        <v>6750</v>
      </c>
      <c r="F1196" t="s">
        <v>59</v>
      </c>
      <c r="G1196">
        <v>42</v>
      </c>
      <c r="H1196" t="s">
        <v>60</v>
      </c>
      <c r="I1196">
        <v>11</v>
      </c>
      <c r="J1196" s="54">
        <f t="shared" si="18"/>
        <v>1</v>
      </c>
    </row>
    <row r="1197" spans="1:10">
      <c r="A1197" s="43">
        <v>42577</v>
      </c>
      <c r="B1197">
        <v>2008</v>
      </c>
      <c r="C1197">
        <v>1795</v>
      </c>
      <c r="D1197">
        <v>1196</v>
      </c>
      <c r="E1197">
        <v>6700</v>
      </c>
      <c r="F1197" t="s">
        <v>59</v>
      </c>
      <c r="G1197">
        <v>8</v>
      </c>
      <c r="H1197" t="s">
        <v>133</v>
      </c>
      <c r="I1197">
        <v>11</v>
      </c>
      <c r="J1197" s="54">
        <f t="shared" si="18"/>
        <v>8</v>
      </c>
    </row>
    <row r="1198" spans="1:10">
      <c r="A1198" s="43">
        <v>42515</v>
      </c>
      <c r="B1198">
        <v>2008</v>
      </c>
      <c r="C1198">
        <v>1795</v>
      </c>
      <c r="D1198">
        <v>1197</v>
      </c>
      <c r="E1198">
        <v>7000</v>
      </c>
      <c r="F1198" t="s">
        <v>59</v>
      </c>
      <c r="G1198">
        <v>5</v>
      </c>
      <c r="H1198" t="s">
        <v>133</v>
      </c>
      <c r="I1198">
        <v>11</v>
      </c>
      <c r="J1198" s="54">
        <f t="shared" si="18"/>
        <v>5</v>
      </c>
    </row>
    <row r="1199" spans="1:10">
      <c r="A1199" s="43">
        <v>42515</v>
      </c>
      <c r="B1199">
        <v>2010</v>
      </c>
      <c r="C1199">
        <v>1795</v>
      </c>
      <c r="D1199">
        <v>1198</v>
      </c>
      <c r="E1199">
        <v>7000</v>
      </c>
      <c r="F1199" t="s">
        <v>59</v>
      </c>
      <c r="G1199">
        <v>5</v>
      </c>
      <c r="H1199" t="s">
        <v>133</v>
      </c>
      <c r="I1199">
        <v>9</v>
      </c>
      <c r="J1199" s="54">
        <f t="shared" si="18"/>
        <v>5</v>
      </c>
    </row>
    <row r="1200" spans="1:10">
      <c r="A1200" s="43">
        <v>42499</v>
      </c>
      <c r="B1200">
        <v>2008</v>
      </c>
      <c r="C1200">
        <v>1795</v>
      </c>
      <c r="D1200">
        <v>1199</v>
      </c>
      <c r="E1200">
        <v>7000</v>
      </c>
      <c r="F1200" t="s">
        <v>59</v>
      </c>
      <c r="G1200">
        <v>42</v>
      </c>
      <c r="H1200" t="s">
        <v>60</v>
      </c>
      <c r="I1200">
        <v>11</v>
      </c>
      <c r="J1200" s="54">
        <f t="shared" si="18"/>
        <v>1</v>
      </c>
    </row>
    <row r="1201" spans="1:10">
      <c r="A1201" s="43">
        <v>42460</v>
      </c>
      <c r="B1201">
        <v>2008</v>
      </c>
      <c r="C1201">
        <v>1795</v>
      </c>
      <c r="D1201">
        <v>1200</v>
      </c>
      <c r="E1201">
        <v>7000</v>
      </c>
      <c r="F1201" t="s">
        <v>59</v>
      </c>
      <c r="G1201">
        <v>30</v>
      </c>
      <c r="H1201" t="s">
        <v>60</v>
      </c>
      <c r="I1201">
        <v>11</v>
      </c>
      <c r="J1201" s="54">
        <f t="shared" si="18"/>
        <v>1</v>
      </c>
    </row>
    <row r="1202" spans="1:10">
      <c r="A1202" s="43">
        <v>42439</v>
      </c>
      <c r="B1202">
        <v>2008</v>
      </c>
      <c r="C1202">
        <v>1795</v>
      </c>
      <c r="D1202">
        <v>1201</v>
      </c>
      <c r="E1202">
        <v>6800</v>
      </c>
      <c r="F1202" t="s">
        <v>59</v>
      </c>
      <c r="G1202">
        <v>60</v>
      </c>
      <c r="H1202" t="s">
        <v>60</v>
      </c>
      <c r="I1202">
        <v>11</v>
      </c>
      <c r="J1202" s="54">
        <f t="shared" si="18"/>
        <v>2</v>
      </c>
    </row>
    <row r="1203" spans="1:10">
      <c r="A1203" s="43">
        <v>42432</v>
      </c>
      <c r="B1203">
        <v>2009</v>
      </c>
      <c r="C1203">
        <v>1795</v>
      </c>
      <c r="D1203">
        <v>1202</v>
      </c>
      <c r="E1203">
        <v>8000</v>
      </c>
      <c r="F1203" t="s">
        <v>59</v>
      </c>
      <c r="G1203">
        <v>7</v>
      </c>
      <c r="H1203" t="s">
        <v>133</v>
      </c>
      <c r="I1203">
        <v>10</v>
      </c>
      <c r="J1203" s="54">
        <f t="shared" si="18"/>
        <v>7</v>
      </c>
    </row>
    <row r="1204" spans="1:10">
      <c r="A1204" s="43">
        <v>42432</v>
      </c>
      <c r="B1204">
        <v>2008</v>
      </c>
      <c r="C1204">
        <v>1795</v>
      </c>
      <c r="D1204">
        <v>1203</v>
      </c>
      <c r="E1204">
        <v>8000</v>
      </c>
      <c r="F1204" t="s">
        <v>59</v>
      </c>
      <c r="G1204">
        <v>6</v>
      </c>
      <c r="H1204" t="s">
        <v>133</v>
      </c>
      <c r="I1204">
        <v>11</v>
      </c>
      <c r="J1204" s="54">
        <f t="shared" si="18"/>
        <v>6</v>
      </c>
    </row>
    <row r="1205" spans="1:10">
      <c r="A1205" s="43">
        <v>42417</v>
      </c>
      <c r="B1205">
        <v>2008</v>
      </c>
      <c r="C1205">
        <v>1795</v>
      </c>
      <c r="D1205">
        <v>1204</v>
      </c>
      <c r="E1205">
        <v>7000</v>
      </c>
      <c r="F1205" t="s">
        <v>59</v>
      </c>
      <c r="G1205">
        <v>3</v>
      </c>
      <c r="H1205" t="s">
        <v>133</v>
      </c>
      <c r="I1205">
        <v>11</v>
      </c>
      <c r="J1205" s="54">
        <f t="shared" si="18"/>
        <v>3</v>
      </c>
    </row>
    <row r="1206" spans="1:10">
      <c r="A1206" s="43">
        <v>42415</v>
      </c>
      <c r="B1206">
        <v>2008</v>
      </c>
      <c r="C1206">
        <v>1795</v>
      </c>
      <c r="D1206">
        <v>1205</v>
      </c>
      <c r="E1206">
        <v>7950</v>
      </c>
      <c r="F1206" t="s">
        <v>59</v>
      </c>
      <c r="G1206">
        <v>7</v>
      </c>
      <c r="H1206" t="s">
        <v>133</v>
      </c>
      <c r="I1206">
        <v>11</v>
      </c>
      <c r="J1206" s="54">
        <f t="shared" si="18"/>
        <v>7</v>
      </c>
    </row>
    <row r="1207" spans="1:10">
      <c r="A1207" s="43">
        <v>42383</v>
      </c>
      <c r="B1207">
        <v>2009</v>
      </c>
      <c r="C1207">
        <v>1795</v>
      </c>
      <c r="D1207">
        <v>1206</v>
      </c>
      <c r="E1207">
        <v>7000</v>
      </c>
      <c r="F1207" t="s">
        <v>59</v>
      </c>
      <c r="G1207">
        <v>12</v>
      </c>
      <c r="H1207" t="s">
        <v>133</v>
      </c>
      <c r="I1207">
        <v>10</v>
      </c>
      <c r="J1207" s="54">
        <f t="shared" si="18"/>
        <v>12</v>
      </c>
    </row>
    <row r="1208" spans="1:10">
      <c r="A1208" s="43">
        <v>42380</v>
      </c>
      <c r="B1208">
        <v>2007</v>
      </c>
      <c r="C1208">
        <v>1795</v>
      </c>
      <c r="D1208">
        <v>1207</v>
      </c>
      <c r="E1208">
        <v>7000</v>
      </c>
      <c r="F1208" t="s">
        <v>59</v>
      </c>
      <c r="G1208">
        <v>6</v>
      </c>
      <c r="H1208" t="s">
        <v>133</v>
      </c>
      <c r="I1208">
        <v>12</v>
      </c>
      <c r="J1208" s="54">
        <f t="shared" si="18"/>
        <v>6</v>
      </c>
    </row>
    <row r="1209" spans="1:10">
      <c r="A1209" s="43">
        <v>42846</v>
      </c>
      <c r="B1209">
        <v>2008</v>
      </c>
      <c r="C1209">
        <v>1800</v>
      </c>
      <c r="D1209">
        <v>1208</v>
      </c>
      <c r="E1209">
        <v>7250</v>
      </c>
      <c r="F1209" t="s">
        <v>59</v>
      </c>
      <c r="G1209">
        <v>7</v>
      </c>
      <c r="H1209" t="s">
        <v>133</v>
      </c>
      <c r="I1209">
        <v>11</v>
      </c>
      <c r="J1209" s="54">
        <f t="shared" si="18"/>
        <v>7</v>
      </c>
    </row>
    <row r="1210" spans="1:10">
      <c r="A1210" s="43">
        <v>42836</v>
      </c>
      <c r="B1210">
        <v>2008</v>
      </c>
      <c r="C1210">
        <v>1800</v>
      </c>
      <c r="D1210">
        <v>1209</v>
      </c>
      <c r="E1210">
        <v>6600</v>
      </c>
      <c r="F1210" t="s">
        <v>59</v>
      </c>
      <c r="G1210">
        <v>6</v>
      </c>
      <c r="H1210" t="s">
        <v>133</v>
      </c>
      <c r="I1210">
        <v>11</v>
      </c>
      <c r="J1210" s="54">
        <f t="shared" si="18"/>
        <v>6</v>
      </c>
    </row>
    <row r="1211" spans="1:10">
      <c r="A1211" s="43">
        <v>42570</v>
      </c>
      <c r="B1211">
        <v>2008</v>
      </c>
      <c r="C1211">
        <v>1800</v>
      </c>
      <c r="D1211">
        <v>1210</v>
      </c>
      <c r="E1211">
        <v>6300</v>
      </c>
      <c r="F1211" t="s">
        <v>59</v>
      </c>
      <c r="G1211">
        <v>6</v>
      </c>
      <c r="H1211" t="s">
        <v>133</v>
      </c>
      <c r="I1211">
        <v>11</v>
      </c>
      <c r="J1211" s="54">
        <f t="shared" si="18"/>
        <v>6</v>
      </c>
    </row>
    <row r="1212" spans="1:10">
      <c r="A1212" s="43">
        <v>43570</v>
      </c>
      <c r="B1212">
        <v>2007</v>
      </c>
      <c r="C1212">
        <v>1819</v>
      </c>
      <c r="D1212">
        <v>1211</v>
      </c>
      <c r="E1212">
        <v>8000</v>
      </c>
      <c r="F1212" t="s">
        <v>59</v>
      </c>
      <c r="G1212">
        <v>4</v>
      </c>
      <c r="H1212" t="s">
        <v>133</v>
      </c>
      <c r="I1212">
        <v>12</v>
      </c>
      <c r="J1212" s="54">
        <f t="shared" si="18"/>
        <v>4</v>
      </c>
    </row>
    <row r="1213" spans="1:10">
      <c r="A1213" s="43">
        <v>43570</v>
      </c>
      <c r="B1213">
        <v>2008</v>
      </c>
      <c r="C1213">
        <v>1819</v>
      </c>
      <c r="D1213">
        <v>1212</v>
      </c>
      <c r="E1213">
        <v>8100</v>
      </c>
      <c r="F1213" t="s">
        <v>59</v>
      </c>
      <c r="G1213">
        <v>14</v>
      </c>
      <c r="H1213" t="s">
        <v>133</v>
      </c>
      <c r="I1213">
        <v>11</v>
      </c>
      <c r="J1213" s="54">
        <f t="shared" si="18"/>
        <v>14</v>
      </c>
    </row>
    <row r="1214" spans="1:10">
      <c r="A1214" s="43">
        <v>43405</v>
      </c>
      <c r="B1214">
        <v>2008</v>
      </c>
      <c r="C1214">
        <v>1819</v>
      </c>
      <c r="D1214">
        <v>1213</v>
      </c>
      <c r="E1214">
        <v>9800</v>
      </c>
      <c r="F1214" t="s">
        <v>59</v>
      </c>
      <c r="G1214">
        <v>12</v>
      </c>
      <c r="H1214" t="s">
        <v>133</v>
      </c>
      <c r="I1214">
        <v>11</v>
      </c>
      <c r="J1214" s="54">
        <f t="shared" si="18"/>
        <v>12</v>
      </c>
    </row>
    <row r="1215" spans="1:10">
      <c r="A1215" s="43">
        <v>43398</v>
      </c>
      <c r="B1215">
        <v>2008</v>
      </c>
      <c r="C1215">
        <v>1819</v>
      </c>
      <c r="D1215">
        <v>1214</v>
      </c>
      <c r="E1215">
        <v>8000</v>
      </c>
      <c r="F1215" t="s">
        <v>59</v>
      </c>
      <c r="G1215">
        <v>60</v>
      </c>
      <c r="H1215" t="s">
        <v>60</v>
      </c>
      <c r="I1215">
        <v>11</v>
      </c>
      <c r="J1215" s="54">
        <f t="shared" si="18"/>
        <v>2</v>
      </c>
    </row>
    <row r="1216" spans="1:10">
      <c r="A1216" s="43">
        <v>43384</v>
      </c>
      <c r="B1216">
        <v>2007</v>
      </c>
      <c r="C1216">
        <v>1819</v>
      </c>
      <c r="D1216">
        <v>1215</v>
      </c>
      <c r="E1216">
        <v>10500</v>
      </c>
      <c r="F1216" t="s">
        <v>59</v>
      </c>
      <c r="G1216">
        <v>12</v>
      </c>
      <c r="H1216" t="s">
        <v>133</v>
      </c>
      <c r="I1216">
        <v>12</v>
      </c>
      <c r="J1216" s="54">
        <f t="shared" si="18"/>
        <v>12</v>
      </c>
    </row>
    <row r="1217" spans="1:10">
      <c r="A1217" s="43">
        <v>43361</v>
      </c>
      <c r="B1217">
        <v>2007</v>
      </c>
      <c r="C1217">
        <v>1819</v>
      </c>
      <c r="D1217">
        <v>1216</v>
      </c>
      <c r="E1217">
        <v>9750</v>
      </c>
      <c r="F1217" t="s">
        <v>59</v>
      </c>
      <c r="G1217">
        <v>10</v>
      </c>
      <c r="H1217" t="s">
        <v>133</v>
      </c>
      <c r="I1217">
        <v>12</v>
      </c>
      <c r="J1217" s="54">
        <f t="shared" si="18"/>
        <v>10</v>
      </c>
    </row>
    <row r="1218" spans="1:10">
      <c r="A1218" s="43">
        <v>43355</v>
      </c>
      <c r="B1218">
        <v>2008</v>
      </c>
      <c r="C1218">
        <v>1819</v>
      </c>
      <c r="D1218">
        <v>1217</v>
      </c>
      <c r="E1218">
        <v>9750</v>
      </c>
      <c r="F1218" t="s">
        <v>59</v>
      </c>
      <c r="G1218">
        <v>12</v>
      </c>
      <c r="H1218" t="s">
        <v>133</v>
      </c>
      <c r="I1218">
        <v>11</v>
      </c>
      <c r="J1218" s="54">
        <f t="shared" ref="J1218:J1281" si="19">IF(H1218="days",ROUND(G1218/30,0),IF(H1218="years",G1218*12,G1218))</f>
        <v>12</v>
      </c>
    </row>
    <row r="1219" spans="1:10">
      <c r="A1219" s="43">
        <v>43327</v>
      </c>
      <c r="B1219">
        <v>2008</v>
      </c>
      <c r="C1219">
        <v>1819</v>
      </c>
      <c r="D1219">
        <v>1218</v>
      </c>
      <c r="E1219">
        <v>10500</v>
      </c>
      <c r="F1219" t="s">
        <v>59</v>
      </c>
      <c r="G1219">
        <v>12</v>
      </c>
      <c r="H1219" t="s">
        <v>133</v>
      </c>
      <c r="I1219">
        <v>11</v>
      </c>
      <c r="J1219" s="54">
        <f t="shared" si="19"/>
        <v>12</v>
      </c>
    </row>
    <row r="1220" spans="1:10">
      <c r="A1220" s="43">
        <v>43255</v>
      </c>
      <c r="B1220">
        <v>2008</v>
      </c>
      <c r="C1220">
        <v>1819</v>
      </c>
      <c r="D1220">
        <v>1219</v>
      </c>
      <c r="E1220">
        <v>11250</v>
      </c>
      <c r="F1220" t="s">
        <v>59</v>
      </c>
      <c r="G1220">
        <v>5</v>
      </c>
      <c r="H1220" t="s">
        <v>133</v>
      </c>
      <c r="I1220">
        <v>11</v>
      </c>
      <c r="J1220" s="54">
        <f t="shared" si="19"/>
        <v>5</v>
      </c>
    </row>
    <row r="1221" spans="1:10">
      <c r="A1221" s="43">
        <v>43185</v>
      </c>
      <c r="B1221">
        <v>2008</v>
      </c>
      <c r="C1221">
        <v>1819</v>
      </c>
      <c r="D1221">
        <v>1220</v>
      </c>
      <c r="E1221">
        <v>11250</v>
      </c>
      <c r="F1221" t="s">
        <v>59</v>
      </c>
      <c r="G1221">
        <v>12</v>
      </c>
      <c r="H1221" t="s">
        <v>133</v>
      </c>
      <c r="I1221">
        <v>11</v>
      </c>
      <c r="J1221" s="54">
        <f t="shared" si="19"/>
        <v>12</v>
      </c>
    </row>
    <row r="1222" spans="1:10">
      <c r="A1222" s="43">
        <v>43151</v>
      </c>
      <c r="B1222">
        <v>2008</v>
      </c>
      <c r="C1222">
        <v>1819</v>
      </c>
      <c r="D1222">
        <v>1221</v>
      </c>
      <c r="E1222">
        <v>9500</v>
      </c>
      <c r="F1222" t="s">
        <v>59</v>
      </c>
      <c r="G1222">
        <v>30</v>
      </c>
      <c r="H1222" t="s">
        <v>60</v>
      </c>
      <c r="I1222">
        <v>11</v>
      </c>
      <c r="J1222" s="54">
        <f t="shared" si="19"/>
        <v>1</v>
      </c>
    </row>
    <row r="1223" spans="1:10">
      <c r="A1223" s="43">
        <v>42860</v>
      </c>
      <c r="B1223">
        <v>2008</v>
      </c>
      <c r="C1223">
        <v>1819</v>
      </c>
      <c r="D1223">
        <v>1222</v>
      </c>
      <c r="E1223">
        <v>8500</v>
      </c>
      <c r="F1223" t="s">
        <v>59</v>
      </c>
      <c r="G1223">
        <v>5</v>
      </c>
      <c r="H1223" t="s">
        <v>133</v>
      </c>
      <c r="I1223">
        <v>11</v>
      </c>
      <c r="J1223" s="54">
        <f t="shared" si="19"/>
        <v>5</v>
      </c>
    </row>
    <row r="1224" spans="1:10">
      <c r="A1224" s="43">
        <v>42853</v>
      </c>
      <c r="B1224">
        <v>2008</v>
      </c>
      <c r="C1224">
        <v>1819</v>
      </c>
      <c r="D1224">
        <v>1223</v>
      </c>
      <c r="E1224">
        <v>8250</v>
      </c>
      <c r="F1224" t="s">
        <v>59</v>
      </c>
      <c r="G1224">
        <v>12</v>
      </c>
      <c r="H1224" t="s">
        <v>133</v>
      </c>
      <c r="I1224">
        <v>11</v>
      </c>
      <c r="J1224" s="54">
        <f t="shared" si="19"/>
        <v>12</v>
      </c>
    </row>
    <row r="1225" spans="1:10">
      <c r="A1225" s="43">
        <v>42789</v>
      </c>
      <c r="B1225">
        <v>2008</v>
      </c>
      <c r="C1225">
        <v>1819</v>
      </c>
      <c r="D1225">
        <v>1224</v>
      </c>
      <c r="E1225">
        <v>6500</v>
      </c>
      <c r="F1225" t="s">
        <v>59</v>
      </c>
      <c r="G1225">
        <v>4</v>
      </c>
      <c r="H1225" t="s">
        <v>133</v>
      </c>
      <c r="I1225">
        <v>11</v>
      </c>
      <c r="J1225" s="54">
        <f t="shared" si="19"/>
        <v>4</v>
      </c>
    </row>
    <row r="1226" spans="1:10">
      <c r="A1226" s="43">
        <v>42647</v>
      </c>
      <c r="B1226">
        <v>2008</v>
      </c>
      <c r="C1226">
        <v>1819</v>
      </c>
      <c r="D1226">
        <v>1225</v>
      </c>
      <c r="E1226">
        <v>6400</v>
      </c>
      <c r="F1226" t="s">
        <v>59</v>
      </c>
      <c r="G1226">
        <v>8</v>
      </c>
      <c r="H1226" t="s">
        <v>133</v>
      </c>
      <c r="I1226">
        <v>11</v>
      </c>
      <c r="J1226" s="54">
        <f t="shared" si="19"/>
        <v>8</v>
      </c>
    </row>
    <row r="1227" spans="1:10">
      <c r="A1227" s="43">
        <v>42461</v>
      </c>
      <c r="B1227">
        <v>2008</v>
      </c>
      <c r="C1227">
        <v>1819</v>
      </c>
      <c r="D1227">
        <v>1226</v>
      </c>
      <c r="E1227">
        <v>7400</v>
      </c>
      <c r="F1227" t="s">
        <v>59</v>
      </c>
      <c r="G1227">
        <v>5</v>
      </c>
      <c r="H1227" t="s">
        <v>133</v>
      </c>
      <c r="I1227">
        <v>11</v>
      </c>
      <c r="J1227" s="54">
        <f t="shared" si="19"/>
        <v>5</v>
      </c>
    </row>
    <row r="1228" spans="1:10">
      <c r="A1228" s="43">
        <v>43553</v>
      </c>
      <c r="B1228">
        <v>2006</v>
      </c>
      <c r="C1228">
        <v>1856</v>
      </c>
      <c r="D1228">
        <v>1227</v>
      </c>
      <c r="E1228">
        <v>8400</v>
      </c>
      <c r="F1228" t="s">
        <v>59</v>
      </c>
      <c r="G1228">
        <v>40</v>
      </c>
      <c r="H1228" t="s">
        <v>60</v>
      </c>
      <c r="I1228">
        <v>13</v>
      </c>
      <c r="J1228" s="54">
        <f t="shared" si="19"/>
        <v>1</v>
      </c>
    </row>
    <row r="1229" spans="1:10">
      <c r="A1229" s="43">
        <v>43496</v>
      </c>
      <c r="B1229">
        <v>2006</v>
      </c>
      <c r="C1229">
        <v>1856</v>
      </c>
      <c r="D1229">
        <v>1228</v>
      </c>
      <c r="E1229">
        <v>7150</v>
      </c>
      <c r="F1229" t="s">
        <v>59</v>
      </c>
      <c r="G1229">
        <v>4</v>
      </c>
      <c r="H1229" t="s">
        <v>133</v>
      </c>
      <c r="I1229">
        <v>13</v>
      </c>
      <c r="J1229" s="54">
        <f t="shared" si="19"/>
        <v>4</v>
      </c>
    </row>
    <row r="1230" spans="1:10">
      <c r="A1230" s="43">
        <v>43335</v>
      </c>
      <c r="B1230">
        <v>2006</v>
      </c>
      <c r="C1230">
        <v>1856</v>
      </c>
      <c r="D1230">
        <v>1229</v>
      </c>
      <c r="E1230">
        <v>10250</v>
      </c>
      <c r="F1230" t="s">
        <v>59</v>
      </c>
      <c r="G1230">
        <v>7</v>
      </c>
      <c r="H1230" t="s">
        <v>133</v>
      </c>
      <c r="I1230">
        <v>13</v>
      </c>
      <c r="J1230" s="54">
        <f t="shared" si="19"/>
        <v>7</v>
      </c>
    </row>
    <row r="1231" spans="1:10">
      <c r="A1231" s="43">
        <v>43185</v>
      </c>
      <c r="B1231">
        <v>2006</v>
      </c>
      <c r="C1231">
        <v>1856</v>
      </c>
      <c r="D1231">
        <v>1230</v>
      </c>
      <c r="E1231">
        <v>11800</v>
      </c>
      <c r="F1231" t="s">
        <v>59</v>
      </c>
      <c r="G1231">
        <v>12</v>
      </c>
      <c r="H1231" t="s">
        <v>133</v>
      </c>
      <c r="I1231">
        <v>13</v>
      </c>
      <c r="J1231" s="54">
        <f t="shared" si="19"/>
        <v>12</v>
      </c>
    </row>
    <row r="1232" spans="1:10">
      <c r="A1232" s="43">
        <v>42996</v>
      </c>
      <c r="B1232">
        <v>2006</v>
      </c>
      <c r="C1232">
        <v>1856</v>
      </c>
      <c r="D1232">
        <v>1231</v>
      </c>
      <c r="E1232">
        <v>7500</v>
      </c>
      <c r="F1232" t="s">
        <v>59</v>
      </c>
      <c r="G1232">
        <v>8</v>
      </c>
      <c r="H1232" t="s">
        <v>133</v>
      </c>
      <c r="I1232">
        <v>13</v>
      </c>
      <c r="J1232" s="54">
        <f t="shared" si="19"/>
        <v>8</v>
      </c>
    </row>
    <row r="1233" spans="1:10">
      <c r="A1233" s="43">
        <v>42941</v>
      </c>
      <c r="B1233">
        <v>2006</v>
      </c>
      <c r="C1233">
        <v>1856</v>
      </c>
      <c r="D1233">
        <v>1232</v>
      </c>
      <c r="E1233">
        <v>7250</v>
      </c>
      <c r="F1233" t="s">
        <v>59</v>
      </c>
      <c r="G1233">
        <v>40</v>
      </c>
      <c r="H1233" t="s">
        <v>60</v>
      </c>
      <c r="I1233">
        <v>13</v>
      </c>
      <c r="J1233" s="54">
        <f t="shared" si="19"/>
        <v>1</v>
      </c>
    </row>
    <row r="1234" spans="1:10">
      <c r="A1234" s="43">
        <v>42873</v>
      </c>
      <c r="B1234">
        <v>2006</v>
      </c>
      <c r="C1234">
        <v>1856</v>
      </c>
      <c r="D1234">
        <v>1233</v>
      </c>
      <c r="E1234">
        <v>7250</v>
      </c>
      <c r="F1234" t="s">
        <v>59</v>
      </c>
      <c r="G1234">
        <v>70</v>
      </c>
      <c r="H1234" t="s">
        <v>60</v>
      </c>
      <c r="I1234">
        <v>13</v>
      </c>
      <c r="J1234" s="54">
        <f t="shared" si="19"/>
        <v>2</v>
      </c>
    </row>
    <row r="1235" spans="1:10">
      <c r="A1235" s="43">
        <v>42736</v>
      </c>
      <c r="B1235">
        <v>2006</v>
      </c>
      <c r="C1235">
        <v>1856</v>
      </c>
      <c r="D1235">
        <v>1234</v>
      </c>
      <c r="E1235">
        <v>8250</v>
      </c>
      <c r="F1235" t="s">
        <v>59</v>
      </c>
      <c r="G1235">
        <v>12</v>
      </c>
      <c r="H1235" t="s">
        <v>133</v>
      </c>
      <c r="I1235">
        <v>13</v>
      </c>
      <c r="J1235" s="54">
        <f t="shared" si="19"/>
        <v>12</v>
      </c>
    </row>
    <row r="1236" spans="1:10">
      <c r="A1236" s="43">
        <v>42491</v>
      </c>
      <c r="B1236">
        <v>2006</v>
      </c>
      <c r="C1236">
        <v>1856</v>
      </c>
      <c r="D1236">
        <v>1235</v>
      </c>
      <c r="E1236">
        <v>9750</v>
      </c>
      <c r="F1236" t="s">
        <v>59</v>
      </c>
      <c r="G1236">
        <v>12</v>
      </c>
      <c r="H1236" t="s">
        <v>133</v>
      </c>
      <c r="I1236">
        <v>13</v>
      </c>
      <c r="J1236" s="54">
        <f t="shared" si="19"/>
        <v>12</v>
      </c>
    </row>
    <row r="1237" spans="1:10">
      <c r="A1237" s="43">
        <v>42444</v>
      </c>
      <c r="B1237">
        <v>2006</v>
      </c>
      <c r="C1237">
        <v>1856</v>
      </c>
      <c r="D1237">
        <v>1236</v>
      </c>
      <c r="E1237">
        <v>9900</v>
      </c>
      <c r="F1237" t="s">
        <v>59</v>
      </c>
      <c r="G1237">
        <v>13</v>
      </c>
      <c r="H1237" t="s">
        <v>133</v>
      </c>
      <c r="I1237">
        <v>13</v>
      </c>
      <c r="J1237" s="54">
        <f t="shared" si="19"/>
        <v>13</v>
      </c>
    </row>
    <row r="1238" spans="1:10">
      <c r="A1238" s="43">
        <v>42423</v>
      </c>
      <c r="B1238">
        <v>2006</v>
      </c>
      <c r="C1238">
        <v>1856</v>
      </c>
      <c r="D1238">
        <v>1237</v>
      </c>
      <c r="E1238">
        <v>6250</v>
      </c>
      <c r="F1238" t="s">
        <v>59</v>
      </c>
      <c r="G1238">
        <v>9</v>
      </c>
      <c r="H1238" t="s">
        <v>133</v>
      </c>
      <c r="I1238">
        <v>13</v>
      </c>
      <c r="J1238" s="54">
        <f t="shared" si="19"/>
        <v>9</v>
      </c>
    </row>
    <row r="1239" spans="1:10">
      <c r="A1239" s="43">
        <v>43313</v>
      </c>
      <c r="B1239">
        <v>2006</v>
      </c>
      <c r="C1239">
        <v>1858</v>
      </c>
      <c r="D1239">
        <v>1238</v>
      </c>
      <c r="E1239">
        <v>8100</v>
      </c>
      <c r="F1239" t="s">
        <v>59</v>
      </c>
      <c r="G1239">
        <v>12</v>
      </c>
      <c r="H1239" t="s">
        <v>133</v>
      </c>
      <c r="I1239">
        <v>13</v>
      </c>
      <c r="J1239" s="54">
        <f t="shared" si="19"/>
        <v>12</v>
      </c>
    </row>
    <row r="1240" spans="1:10">
      <c r="A1240" s="43">
        <v>43164</v>
      </c>
      <c r="B1240">
        <v>2006</v>
      </c>
      <c r="C1240">
        <v>1858</v>
      </c>
      <c r="D1240">
        <v>1239</v>
      </c>
      <c r="E1240">
        <v>8500</v>
      </c>
      <c r="F1240" t="s">
        <v>59</v>
      </c>
      <c r="G1240">
        <v>6</v>
      </c>
      <c r="H1240" t="s">
        <v>133</v>
      </c>
      <c r="I1240">
        <v>13</v>
      </c>
      <c r="J1240" s="54">
        <f t="shared" si="19"/>
        <v>6</v>
      </c>
    </row>
    <row r="1241" spans="1:10">
      <c r="A1241" s="43">
        <v>42751</v>
      </c>
      <c r="B1241">
        <v>2006</v>
      </c>
      <c r="C1241">
        <v>1858</v>
      </c>
      <c r="D1241">
        <v>1240</v>
      </c>
      <c r="E1241">
        <v>6000</v>
      </c>
      <c r="F1241" t="s">
        <v>59</v>
      </c>
      <c r="G1241">
        <v>12</v>
      </c>
      <c r="H1241" t="s">
        <v>133</v>
      </c>
      <c r="I1241">
        <v>13</v>
      </c>
      <c r="J1241" s="54">
        <f t="shared" si="19"/>
        <v>12</v>
      </c>
    </row>
    <row r="1242" spans="1:10">
      <c r="A1242" s="43">
        <v>42430</v>
      </c>
      <c r="B1242">
        <v>2006</v>
      </c>
      <c r="C1242">
        <v>1858</v>
      </c>
      <c r="D1242">
        <v>1241</v>
      </c>
      <c r="E1242">
        <v>7000</v>
      </c>
      <c r="F1242" t="s">
        <v>59</v>
      </c>
      <c r="G1242">
        <v>12</v>
      </c>
      <c r="H1242" t="s">
        <v>133</v>
      </c>
      <c r="I1242">
        <v>13</v>
      </c>
      <c r="J1242" s="54">
        <f t="shared" si="19"/>
        <v>12</v>
      </c>
    </row>
    <row r="1243" spans="1:10">
      <c r="A1243" s="43">
        <v>43584</v>
      </c>
      <c r="B1243">
        <v>2006</v>
      </c>
      <c r="C1243">
        <v>1875</v>
      </c>
      <c r="D1243">
        <v>1242</v>
      </c>
      <c r="E1243">
        <v>8500</v>
      </c>
      <c r="F1243" t="s">
        <v>59</v>
      </c>
      <c r="G1243">
        <v>42</v>
      </c>
      <c r="H1243" t="s">
        <v>60</v>
      </c>
      <c r="I1243">
        <v>13</v>
      </c>
      <c r="J1243" s="54">
        <f t="shared" si="19"/>
        <v>1</v>
      </c>
    </row>
    <row r="1244" spans="1:10">
      <c r="A1244" s="43">
        <v>43391</v>
      </c>
      <c r="B1244">
        <v>2006</v>
      </c>
      <c r="C1244">
        <v>1875</v>
      </c>
      <c r="D1244">
        <v>1243</v>
      </c>
      <c r="E1244">
        <v>8500</v>
      </c>
      <c r="F1244" t="s">
        <v>59</v>
      </c>
      <c r="G1244">
        <v>12</v>
      </c>
      <c r="H1244" t="s">
        <v>133</v>
      </c>
      <c r="I1244">
        <v>13</v>
      </c>
      <c r="J1244" s="54">
        <f t="shared" si="19"/>
        <v>12</v>
      </c>
    </row>
    <row r="1245" spans="1:10">
      <c r="A1245" s="43">
        <v>43391</v>
      </c>
      <c r="B1245">
        <v>2006</v>
      </c>
      <c r="C1245">
        <v>1875</v>
      </c>
      <c r="D1245">
        <v>1244</v>
      </c>
      <c r="E1245">
        <v>8500</v>
      </c>
      <c r="F1245" t="s">
        <v>59</v>
      </c>
      <c r="G1245">
        <v>12</v>
      </c>
      <c r="H1245" t="s">
        <v>133</v>
      </c>
      <c r="I1245">
        <v>13</v>
      </c>
      <c r="J1245" s="54">
        <f t="shared" si="19"/>
        <v>12</v>
      </c>
    </row>
    <row r="1246" spans="1:10">
      <c r="A1246" s="43">
        <v>43203</v>
      </c>
      <c r="B1246">
        <v>2006</v>
      </c>
      <c r="C1246">
        <v>1875</v>
      </c>
      <c r="D1246">
        <v>1245</v>
      </c>
      <c r="E1246">
        <v>11500</v>
      </c>
      <c r="F1246" t="s">
        <v>59</v>
      </c>
      <c r="G1246">
        <v>7</v>
      </c>
      <c r="H1246" t="s">
        <v>133</v>
      </c>
      <c r="I1246">
        <v>13</v>
      </c>
      <c r="J1246" s="54">
        <f t="shared" si="19"/>
        <v>7</v>
      </c>
    </row>
    <row r="1247" spans="1:10">
      <c r="A1247" s="43">
        <v>43185</v>
      </c>
      <c r="B1247">
        <v>2007</v>
      </c>
      <c r="C1247">
        <v>1875</v>
      </c>
      <c r="D1247">
        <v>1246</v>
      </c>
      <c r="E1247">
        <v>11800</v>
      </c>
      <c r="F1247" t="s">
        <v>59</v>
      </c>
      <c r="G1247">
        <v>13</v>
      </c>
      <c r="H1247" t="s">
        <v>133</v>
      </c>
      <c r="I1247">
        <v>12</v>
      </c>
      <c r="J1247" s="54">
        <f t="shared" si="19"/>
        <v>13</v>
      </c>
    </row>
    <row r="1248" spans="1:10">
      <c r="A1248" s="43">
        <v>43185</v>
      </c>
      <c r="B1248">
        <v>2007</v>
      </c>
      <c r="C1248">
        <v>1875</v>
      </c>
      <c r="D1248">
        <v>1247</v>
      </c>
      <c r="E1248">
        <v>11800</v>
      </c>
      <c r="F1248" t="s">
        <v>59</v>
      </c>
      <c r="G1248">
        <v>12</v>
      </c>
      <c r="H1248" t="s">
        <v>133</v>
      </c>
      <c r="I1248">
        <v>12</v>
      </c>
      <c r="J1248" s="54">
        <f t="shared" si="19"/>
        <v>12</v>
      </c>
    </row>
    <row r="1249" spans="1:10">
      <c r="A1249" s="43">
        <v>42736</v>
      </c>
      <c r="B1249">
        <v>2007</v>
      </c>
      <c r="C1249">
        <v>1875</v>
      </c>
      <c r="D1249">
        <v>1248</v>
      </c>
      <c r="E1249">
        <v>8250</v>
      </c>
      <c r="F1249" t="s">
        <v>59</v>
      </c>
      <c r="G1249">
        <v>12</v>
      </c>
      <c r="H1249" t="s">
        <v>133</v>
      </c>
      <c r="I1249">
        <v>12</v>
      </c>
      <c r="J1249" s="54">
        <f t="shared" si="19"/>
        <v>12</v>
      </c>
    </row>
    <row r="1250" spans="1:10">
      <c r="A1250" s="43">
        <v>42736</v>
      </c>
      <c r="B1250">
        <v>2007</v>
      </c>
      <c r="C1250">
        <v>1875</v>
      </c>
      <c r="D1250">
        <v>1249</v>
      </c>
      <c r="E1250">
        <v>8250</v>
      </c>
      <c r="F1250" t="s">
        <v>59</v>
      </c>
      <c r="G1250">
        <v>15</v>
      </c>
      <c r="H1250" t="s">
        <v>133</v>
      </c>
      <c r="I1250">
        <v>12</v>
      </c>
      <c r="J1250" s="54">
        <f t="shared" si="19"/>
        <v>15</v>
      </c>
    </row>
    <row r="1251" spans="1:10">
      <c r="A1251" s="43">
        <v>42450</v>
      </c>
      <c r="B1251">
        <v>2006</v>
      </c>
      <c r="C1251">
        <v>1875</v>
      </c>
      <c r="D1251">
        <v>1250</v>
      </c>
      <c r="E1251">
        <v>9750</v>
      </c>
      <c r="F1251" t="s">
        <v>59</v>
      </c>
      <c r="G1251">
        <v>13</v>
      </c>
      <c r="H1251" t="s">
        <v>133</v>
      </c>
      <c r="I1251">
        <v>13</v>
      </c>
      <c r="J1251" s="54">
        <f t="shared" si="19"/>
        <v>13</v>
      </c>
    </row>
    <row r="1252" spans="1:10">
      <c r="A1252" s="43">
        <v>42449</v>
      </c>
      <c r="B1252">
        <v>2006</v>
      </c>
      <c r="C1252">
        <v>1875</v>
      </c>
      <c r="D1252">
        <v>1251</v>
      </c>
      <c r="E1252">
        <v>9750</v>
      </c>
      <c r="F1252" t="s">
        <v>59</v>
      </c>
      <c r="G1252">
        <v>13</v>
      </c>
      <c r="H1252" t="s">
        <v>133</v>
      </c>
      <c r="I1252">
        <v>13</v>
      </c>
      <c r="J1252" s="54">
        <f t="shared" si="19"/>
        <v>13</v>
      </c>
    </row>
    <row r="1253" spans="1:10">
      <c r="A1253" s="43">
        <v>42444</v>
      </c>
      <c r="B1253">
        <v>2007</v>
      </c>
      <c r="C1253">
        <v>1875</v>
      </c>
      <c r="D1253">
        <v>1252</v>
      </c>
      <c r="E1253">
        <v>9700</v>
      </c>
      <c r="F1253" t="s">
        <v>59</v>
      </c>
      <c r="G1253">
        <v>13</v>
      </c>
      <c r="H1253" t="s">
        <v>133</v>
      </c>
      <c r="I1253">
        <v>12</v>
      </c>
      <c r="J1253" s="54">
        <f t="shared" si="19"/>
        <v>13</v>
      </c>
    </row>
    <row r="1254" spans="1:10">
      <c r="A1254" s="43">
        <v>43634</v>
      </c>
      <c r="B1254">
        <v>2008</v>
      </c>
      <c r="C1254">
        <v>1878</v>
      </c>
      <c r="D1254">
        <v>1253</v>
      </c>
      <c r="E1254">
        <v>9750</v>
      </c>
      <c r="F1254" t="s">
        <v>59</v>
      </c>
      <c r="G1254">
        <v>6</v>
      </c>
      <c r="H1254" t="s">
        <v>133</v>
      </c>
      <c r="I1254">
        <v>11</v>
      </c>
      <c r="J1254" s="54">
        <f t="shared" si="19"/>
        <v>6</v>
      </c>
    </row>
    <row r="1255" spans="1:10">
      <c r="A1255" s="43">
        <v>43495</v>
      </c>
      <c r="B1255">
        <v>2008</v>
      </c>
      <c r="C1255">
        <v>1878</v>
      </c>
      <c r="D1255">
        <v>1254</v>
      </c>
      <c r="E1255">
        <v>9000</v>
      </c>
      <c r="F1255" t="s">
        <v>59</v>
      </c>
      <c r="G1255">
        <v>4</v>
      </c>
      <c r="H1255" t="s">
        <v>133</v>
      </c>
      <c r="I1255">
        <v>11</v>
      </c>
      <c r="J1255" s="54">
        <f t="shared" si="19"/>
        <v>4</v>
      </c>
    </row>
    <row r="1256" spans="1:10">
      <c r="A1256" s="43">
        <v>43361</v>
      </c>
      <c r="B1256">
        <v>2008</v>
      </c>
      <c r="C1256">
        <v>1878</v>
      </c>
      <c r="D1256">
        <v>1255</v>
      </c>
      <c r="E1256">
        <v>10100</v>
      </c>
      <c r="F1256" t="s">
        <v>59</v>
      </c>
      <c r="G1256">
        <v>9</v>
      </c>
      <c r="H1256" t="s">
        <v>133</v>
      </c>
      <c r="I1256">
        <v>11</v>
      </c>
      <c r="J1256" s="54">
        <f t="shared" si="19"/>
        <v>9</v>
      </c>
    </row>
    <row r="1257" spans="1:10">
      <c r="A1257" s="43">
        <v>43358</v>
      </c>
      <c r="B1257">
        <v>2008</v>
      </c>
      <c r="C1257">
        <v>1878</v>
      </c>
      <c r="D1257">
        <v>1256</v>
      </c>
      <c r="E1257">
        <v>10000</v>
      </c>
      <c r="F1257" t="s">
        <v>59</v>
      </c>
      <c r="G1257">
        <v>3</v>
      </c>
      <c r="H1257" t="s">
        <v>133</v>
      </c>
      <c r="I1257">
        <v>11</v>
      </c>
      <c r="J1257" s="54">
        <f t="shared" si="19"/>
        <v>3</v>
      </c>
    </row>
    <row r="1258" spans="1:10">
      <c r="A1258" s="43">
        <v>43627</v>
      </c>
      <c r="B1258">
        <v>2010</v>
      </c>
      <c r="C1258">
        <v>1970</v>
      </c>
      <c r="D1258">
        <v>1257</v>
      </c>
      <c r="E1258">
        <v>8500</v>
      </c>
      <c r="F1258" t="s">
        <v>59</v>
      </c>
      <c r="G1258">
        <v>4</v>
      </c>
      <c r="H1258" t="s">
        <v>133</v>
      </c>
      <c r="I1258">
        <v>9</v>
      </c>
      <c r="J1258" s="54">
        <f t="shared" si="19"/>
        <v>4</v>
      </c>
    </row>
    <row r="1259" spans="1:10">
      <c r="A1259" s="43">
        <v>43417</v>
      </c>
      <c r="B1259">
        <v>2010</v>
      </c>
      <c r="C1259">
        <v>1970</v>
      </c>
      <c r="D1259">
        <v>1258</v>
      </c>
      <c r="E1259">
        <v>8000</v>
      </c>
      <c r="F1259" t="s">
        <v>59</v>
      </c>
      <c r="G1259">
        <v>7</v>
      </c>
      <c r="H1259" t="s">
        <v>133</v>
      </c>
      <c r="I1259">
        <v>9</v>
      </c>
      <c r="J1259" s="54">
        <f t="shared" si="19"/>
        <v>7</v>
      </c>
    </row>
    <row r="1260" spans="1:10">
      <c r="A1260" s="43">
        <v>43398</v>
      </c>
      <c r="B1260">
        <v>2010</v>
      </c>
      <c r="C1260">
        <v>1970</v>
      </c>
      <c r="D1260">
        <v>1259</v>
      </c>
      <c r="E1260">
        <v>8000</v>
      </c>
      <c r="F1260" t="s">
        <v>59</v>
      </c>
      <c r="G1260">
        <v>30</v>
      </c>
      <c r="H1260" t="s">
        <v>60</v>
      </c>
      <c r="I1260">
        <v>9</v>
      </c>
      <c r="J1260" s="54">
        <f t="shared" si="19"/>
        <v>1</v>
      </c>
    </row>
    <row r="1261" spans="1:10">
      <c r="A1261" s="43">
        <v>43206</v>
      </c>
      <c r="B1261">
        <v>2010</v>
      </c>
      <c r="C1261">
        <v>1970</v>
      </c>
      <c r="D1261">
        <v>1260</v>
      </c>
      <c r="E1261">
        <v>10800</v>
      </c>
      <c r="F1261" t="s">
        <v>59</v>
      </c>
      <c r="G1261">
        <v>6</v>
      </c>
      <c r="H1261" t="s">
        <v>133</v>
      </c>
      <c r="I1261">
        <v>9</v>
      </c>
      <c r="J1261" s="54">
        <f t="shared" si="19"/>
        <v>6</v>
      </c>
    </row>
    <row r="1262" spans="1:10">
      <c r="A1262" s="43">
        <v>43152</v>
      </c>
      <c r="B1262">
        <v>2010</v>
      </c>
      <c r="C1262">
        <v>1970</v>
      </c>
      <c r="D1262">
        <v>1261</v>
      </c>
      <c r="E1262">
        <v>8600</v>
      </c>
      <c r="F1262" t="s">
        <v>59</v>
      </c>
      <c r="G1262">
        <v>4</v>
      </c>
      <c r="H1262" t="s">
        <v>133</v>
      </c>
      <c r="I1262">
        <v>9</v>
      </c>
      <c r="J1262" s="54">
        <f t="shared" si="19"/>
        <v>4</v>
      </c>
    </row>
    <row r="1263" spans="1:10">
      <c r="A1263" s="43">
        <v>43059</v>
      </c>
      <c r="B1263">
        <v>2010</v>
      </c>
      <c r="C1263">
        <v>1970</v>
      </c>
      <c r="D1263">
        <v>1262</v>
      </c>
      <c r="E1263">
        <v>8300</v>
      </c>
      <c r="F1263" t="s">
        <v>59</v>
      </c>
      <c r="G1263">
        <v>4</v>
      </c>
      <c r="H1263" t="s">
        <v>133</v>
      </c>
      <c r="I1263">
        <v>9</v>
      </c>
      <c r="J1263" s="54">
        <f t="shared" si="19"/>
        <v>4</v>
      </c>
    </row>
    <row r="1264" spans="1:10">
      <c r="A1264" s="43">
        <v>42996</v>
      </c>
      <c r="B1264">
        <v>2010</v>
      </c>
      <c r="C1264">
        <v>1970</v>
      </c>
      <c r="D1264">
        <v>1263</v>
      </c>
      <c r="E1264">
        <v>8100</v>
      </c>
      <c r="F1264" t="s">
        <v>59</v>
      </c>
      <c r="G1264">
        <v>12</v>
      </c>
      <c r="H1264" t="s">
        <v>133</v>
      </c>
      <c r="I1264">
        <v>9</v>
      </c>
      <c r="J1264" s="54">
        <f t="shared" si="19"/>
        <v>12</v>
      </c>
    </row>
    <row r="1265" spans="1:10">
      <c r="A1265" s="43">
        <v>42817</v>
      </c>
      <c r="B1265">
        <v>2010</v>
      </c>
      <c r="C1265">
        <v>1970</v>
      </c>
      <c r="D1265">
        <v>1264</v>
      </c>
      <c r="E1265">
        <v>7100</v>
      </c>
      <c r="F1265" t="s">
        <v>59</v>
      </c>
      <c r="G1265">
        <v>9</v>
      </c>
      <c r="H1265" t="s">
        <v>133</v>
      </c>
      <c r="I1265">
        <v>9</v>
      </c>
      <c r="J1265" s="54">
        <f t="shared" si="19"/>
        <v>9</v>
      </c>
    </row>
    <row r="1266" spans="1:10">
      <c r="A1266" s="43">
        <v>42741</v>
      </c>
      <c r="B1266">
        <v>2010</v>
      </c>
      <c r="C1266">
        <v>1970</v>
      </c>
      <c r="D1266">
        <v>1265</v>
      </c>
      <c r="E1266">
        <v>7000</v>
      </c>
      <c r="F1266" t="s">
        <v>59</v>
      </c>
      <c r="G1266">
        <v>60</v>
      </c>
      <c r="H1266" t="s">
        <v>60</v>
      </c>
      <c r="I1266">
        <v>9</v>
      </c>
      <c r="J1266" s="54">
        <f t="shared" si="19"/>
        <v>2</v>
      </c>
    </row>
    <row r="1267" spans="1:10">
      <c r="A1267" s="43">
        <v>42688</v>
      </c>
      <c r="B1267">
        <v>2010</v>
      </c>
      <c r="C1267">
        <v>1970</v>
      </c>
      <c r="D1267">
        <v>1266</v>
      </c>
      <c r="E1267">
        <v>6150</v>
      </c>
      <c r="F1267" t="s">
        <v>59</v>
      </c>
      <c r="G1267">
        <v>60</v>
      </c>
      <c r="H1267" t="s">
        <v>60</v>
      </c>
      <c r="I1267">
        <v>9</v>
      </c>
      <c r="J1267" s="54">
        <f t="shared" si="19"/>
        <v>2</v>
      </c>
    </row>
    <row r="1268" spans="1:10">
      <c r="A1268" s="43">
        <v>42394</v>
      </c>
      <c r="B1268">
        <v>2010</v>
      </c>
      <c r="C1268">
        <v>1970</v>
      </c>
      <c r="D1268">
        <v>1267</v>
      </c>
      <c r="E1268">
        <v>7250</v>
      </c>
      <c r="F1268" t="s">
        <v>59</v>
      </c>
      <c r="G1268">
        <v>2</v>
      </c>
      <c r="H1268" t="s">
        <v>133</v>
      </c>
      <c r="I1268">
        <v>9</v>
      </c>
      <c r="J1268" s="54">
        <f t="shared" si="19"/>
        <v>2</v>
      </c>
    </row>
    <row r="1269" spans="1:10">
      <c r="A1269" s="43">
        <v>42387</v>
      </c>
      <c r="B1269">
        <v>2010</v>
      </c>
      <c r="C1269">
        <v>1970</v>
      </c>
      <c r="D1269">
        <v>1268</v>
      </c>
      <c r="E1269">
        <v>6800</v>
      </c>
      <c r="F1269" t="s">
        <v>59</v>
      </c>
      <c r="G1269">
        <v>7</v>
      </c>
      <c r="H1269" t="s">
        <v>133</v>
      </c>
      <c r="I1269">
        <v>9</v>
      </c>
      <c r="J1269" s="54">
        <f t="shared" si="19"/>
        <v>7</v>
      </c>
    </row>
    <row r="1270" spans="1:10">
      <c r="A1270" s="43">
        <v>43469</v>
      </c>
      <c r="B1270">
        <v>2008</v>
      </c>
      <c r="C1270">
        <v>2007</v>
      </c>
      <c r="D1270">
        <v>1269</v>
      </c>
      <c r="E1270">
        <v>5800</v>
      </c>
      <c r="F1270" t="s">
        <v>59</v>
      </c>
      <c r="G1270">
        <v>6</v>
      </c>
      <c r="H1270" t="s">
        <v>133</v>
      </c>
      <c r="I1270">
        <v>11</v>
      </c>
      <c r="J1270" s="54">
        <f t="shared" si="19"/>
        <v>6</v>
      </c>
    </row>
    <row r="1271" spans="1:10">
      <c r="A1271" s="43">
        <v>43397</v>
      </c>
      <c r="B1271">
        <v>2008</v>
      </c>
      <c r="C1271">
        <v>2007</v>
      </c>
      <c r="D1271">
        <v>1270</v>
      </c>
      <c r="E1271">
        <v>9500</v>
      </c>
      <c r="F1271" t="s">
        <v>59</v>
      </c>
      <c r="G1271">
        <v>42</v>
      </c>
      <c r="H1271" t="s">
        <v>60</v>
      </c>
      <c r="I1271">
        <v>11</v>
      </c>
      <c r="J1271" s="54">
        <f t="shared" si="19"/>
        <v>1</v>
      </c>
    </row>
    <row r="1272" spans="1:10">
      <c r="A1272" s="43">
        <v>43154</v>
      </c>
      <c r="B1272">
        <v>2008</v>
      </c>
      <c r="C1272">
        <v>2007</v>
      </c>
      <c r="D1272">
        <v>1271</v>
      </c>
      <c r="E1272">
        <v>9500</v>
      </c>
      <c r="F1272" t="s">
        <v>59</v>
      </c>
      <c r="G1272">
        <v>6</v>
      </c>
      <c r="H1272" t="s">
        <v>133</v>
      </c>
      <c r="I1272">
        <v>11</v>
      </c>
      <c r="J1272" s="54">
        <f t="shared" si="19"/>
        <v>6</v>
      </c>
    </row>
    <row r="1273" spans="1:10">
      <c r="A1273" s="43">
        <v>43132</v>
      </c>
      <c r="B1273">
        <v>2008</v>
      </c>
      <c r="C1273">
        <v>2007</v>
      </c>
      <c r="D1273">
        <v>1272</v>
      </c>
      <c r="E1273">
        <v>8350</v>
      </c>
      <c r="F1273" t="s">
        <v>59</v>
      </c>
      <c r="G1273">
        <v>8</v>
      </c>
      <c r="H1273" t="s">
        <v>133</v>
      </c>
      <c r="I1273">
        <v>11</v>
      </c>
      <c r="J1273" s="54">
        <f t="shared" si="19"/>
        <v>8</v>
      </c>
    </row>
    <row r="1274" spans="1:10">
      <c r="A1274" s="43">
        <v>43074</v>
      </c>
      <c r="B1274">
        <v>2008</v>
      </c>
      <c r="C1274">
        <v>2007</v>
      </c>
      <c r="D1274">
        <v>1273</v>
      </c>
      <c r="E1274">
        <v>8500</v>
      </c>
      <c r="F1274" t="s">
        <v>59</v>
      </c>
      <c r="G1274">
        <v>35</v>
      </c>
      <c r="H1274" t="s">
        <v>60</v>
      </c>
      <c r="I1274">
        <v>11</v>
      </c>
      <c r="J1274" s="54">
        <f t="shared" si="19"/>
        <v>1</v>
      </c>
    </row>
    <row r="1275" spans="1:10">
      <c r="A1275" s="43">
        <v>43061</v>
      </c>
      <c r="B1275">
        <v>2008</v>
      </c>
      <c r="C1275">
        <v>2007</v>
      </c>
      <c r="D1275">
        <v>1274</v>
      </c>
      <c r="E1275">
        <v>8500</v>
      </c>
      <c r="F1275" t="s">
        <v>59</v>
      </c>
      <c r="G1275">
        <v>40</v>
      </c>
      <c r="H1275" t="s">
        <v>60</v>
      </c>
      <c r="I1275">
        <v>11</v>
      </c>
      <c r="J1275" s="54">
        <f t="shared" si="19"/>
        <v>1</v>
      </c>
    </row>
    <row r="1276" spans="1:10">
      <c r="A1276" s="43">
        <v>43007</v>
      </c>
      <c r="B1276">
        <v>2008</v>
      </c>
      <c r="C1276">
        <v>2007</v>
      </c>
      <c r="D1276">
        <v>1275</v>
      </c>
      <c r="E1276">
        <v>8300</v>
      </c>
      <c r="F1276" t="s">
        <v>59</v>
      </c>
      <c r="G1276">
        <v>42</v>
      </c>
      <c r="H1276" t="s">
        <v>60</v>
      </c>
      <c r="I1276">
        <v>11</v>
      </c>
      <c r="J1276" s="54">
        <f t="shared" si="19"/>
        <v>1</v>
      </c>
    </row>
    <row r="1277" spans="1:10">
      <c r="A1277" s="43">
        <v>42993</v>
      </c>
      <c r="B1277">
        <v>2007</v>
      </c>
      <c r="C1277">
        <v>2007</v>
      </c>
      <c r="D1277">
        <v>1276</v>
      </c>
      <c r="E1277">
        <v>7750</v>
      </c>
      <c r="F1277" t="s">
        <v>59</v>
      </c>
      <c r="G1277">
        <v>12</v>
      </c>
      <c r="H1277" t="s">
        <v>133</v>
      </c>
      <c r="I1277">
        <v>12</v>
      </c>
      <c r="J1277" s="54">
        <f t="shared" si="19"/>
        <v>12</v>
      </c>
    </row>
    <row r="1278" spans="1:10">
      <c r="A1278" s="43">
        <v>42948</v>
      </c>
      <c r="B1278">
        <v>2007</v>
      </c>
      <c r="C1278">
        <v>2007</v>
      </c>
      <c r="D1278">
        <v>1277</v>
      </c>
      <c r="E1278">
        <v>7500</v>
      </c>
      <c r="F1278" t="s">
        <v>59</v>
      </c>
      <c r="G1278">
        <v>30</v>
      </c>
      <c r="H1278" t="s">
        <v>60</v>
      </c>
      <c r="I1278">
        <v>12</v>
      </c>
      <c r="J1278" s="54">
        <f t="shared" si="19"/>
        <v>1</v>
      </c>
    </row>
    <row r="1279" spans="1:10">
      <c r="A1279" s="43">
        <v>42859</v>
      </c>
      <c r="B1279">
        <v>2007</v>
      </c>
      <c r="C1279">
        <v>2007</v>
      </c>
      <c r="D1279">
        <v>1278</v>
      </c>
      <c r="E1279">
        <v>7925</v>
      </c>
      <c r="F1279" t="s">
        <v>59</v>
      </c>
      <c r="G1279">
        <v>7</v>
      </c>
      <c r="H1279" t="s">
        <v>133</v>
      </c>
      <c r="I1279">
        <v>12</v>
      </c>
      <c r="J1279" s="54">
        <f t="shared" si="19"/>
        <v>7</v>
      </c>
    </row>
    <row r="1280" spans="1:10">
      <c r="A1280" s="43">
        <v>42794</v>
      </c>
      <c r="B1280">
        <v>2008</v>
      </c>
      <c r="C1280">
        <v>2007</v>
      </c>
      <c r="D1280">
        <v>1279</v>
      </c>
      <c r="E1280">
        <v>5850</v>
      </c>
      <c r="F1280" t="s">
        <v>59</v>
      </c>
      <c r="G1280">
        <v>90</v>
      </c>
      <c r="H1280" t="s">
        <v>60</v>
      </c>
      <c r="I1280">
        <v>11</v>
      </c>
      <c r="J1280" s="54">
        <f t="shared" si="19"/>
        <v>3</v>
      </c>
    </row>
    <row r="1281" spans="1:10">
      <c r="A1281" s="43">
        <v>42775</v>
      </c>
      <c r="B1281">
        <v>2008</v>
      </c>
      <c r="C1281">
        <v>2007</v>
      </c>
      <c r="D1281">
        <v>1280</v>
      </c>
      <c r="E1281">
        <v>5500</v>
      </c>
      <c r="F1281" t="s">
        <v>59</v>
      </c>
      <c r="G1281">
        <v>9</v>
      </c>
      <c r="H1281" t="s">
        <v>133</v>
      </c>
      <c r="I1281">
        <v>11</v>
      </c>
      <c r="J1281" s="54">
        <f t="shared" si="19"/>
        <v>9</v>
      </c>
    </row>
    <row r="1282" spans="1:10">
      <c r="A1282" s="43">
        <v>42692</v>
      </c>
      <c r="B1282">
        <v>2008</v>
      </c>
      <c r="C1282">
        <v>2007</v>
      </c>
      <c r="D1282">
        <v>1281</v>
      </c>
      <c r="E1282">
        <v>5500</v>
      </c>
      <c r="F1282" t="s">
        <v>59</v>
      </c>
      <c r="G1282">
        <v>30</v>
      </c>
      <c r="H1282" t="s">
        <v>60</v>
      </c>
      <c r="I1282">
        <v>11</v>
      </c>
      <c r="J1282" s="54">
        <f t="shared" ref="J1282:J1345" si="20">IF(H1282="days",ROUND(G1282/30,0),IF(H1282="years",G1282*12,G1282))</f>
        <v>1</v>
      </c>
    </row>
    <row r="1283" spans="1:10">
      <c r="A1283" s="43">
        <v>42675</v>
      </c>
      <c r="B1283">
        <v>2008</v>
      </c>
      <c r="C1283">
        <v>2007</v>
      </c>
      <c r="D1283">
        <v>1282</v>
      </c>
      <c r="E1283">
        <v>5500</v>
      </c>
      <c r="F1283" t="s">
        <v>59</v>
      </c>
      <c r="G1283">
        <v>30</v>
      </c>
      <c r="H1283" t="s">
        <v>60</v>
      </c>
      <c r="I1283">
        <v>11</v>
      </c>
      <c r="J1283" s="54">
        <f t="shared" si="20"/>
        <v>1</v>
      </c>
    </row>
    <row r="1284" spans="1:10">
      <c r="A1284" s="43">
        <v>42639</v>
      </c>
      <c r="B1284">
        <v>2008</v>
      </c>
      <c r="C1284">
        <v>2007</v>
      </c>
      <c r="D1284">
        <v>1283</v>
      </c>
      <c r="E1284">
        <v>6150</v>
      </c>
      <c r="F1284" t="s">
        <v>59</v>
      </c>
      <c r="G1284">
        <v>6</v>
      </c>
      <c r="H1284" t="s">
        <v>133</v>
      </c>
      <c r="I1284">
        <v>11</v>
      </c>
      <c r="J1284" s="54">
        <f t="shared" si="20"/>
        <v>6</v>
      </c>
    </row>
    <row r="1285" spans="1:10">
      <c r="A1285" s="43">
        <v>42515</v>
      </c>
      <c r="B1285">
        <v>2008</v>
      </c>
      <c r="C1285">
        <v>2007</v>
      </c>
      <c r="D1285">
        <v>1284</v>
      </c>
      <c r="E1285">
        <v>6000</v>
      </c>
      <c r="F1285" t="s">
        <v>59</v>
      </c>
      <c r="G1285">
        <v>4</v>
      </c>
      <c r="H1285" t="s">
        <v>133</v>
      </c>
      <c r="I1285">
        <v>11</v>
      </c>
      <c r="J1285" s="54">
        <f t="shared" si="20"/>
        <v>4</v>
      </c>
    </row>
    <row r="1286" spans="1:10">
      <c r="A1286" s="43">
        <v>42436</v>
      </c>
      <c r="B1286">
        <v>2008</v>
      </c>
      <c r="C1286">
        <v>2007</v>
      </c>
      <c r="D1286">
        <v>1285</v>
      </c>
      <c r="E1286">
        <v>6500</v>
      </c>
      <c r="F1286" t="s">
        <v>59</v>
      </c>
      <c r="G1286">
        <v>7</v>
      </c>
      <c r="H1286" t="s">
        <v>133</v>
      </c>
      <c r="I1286">
        <v>11</v>
      </c>
      <c r="J1286" s="54">
        <f t="shared" si="20"/>
        <v>7</v>
      </c>
    </row>
    <row r="1287" spans="1:10">
      <c r="A1287" s="43">
        <v>42396</v>
      </c>
      <c r="B1287">
        <v>2006</v>
      </c>
      <c r="C1287">
        <v>2007</v>
      </c>
      <c r="D1287">
        <v>1286</v>
      </c>
      <c r="E1287">
        <v>6000</v>
      </c>
      <c r="F1287" t="s">
        <v>59</v>
      </c>
      <c r="G1287">
        <v>6</v>
      </c>
      <c r="H1287" t="s">
        <v>133</v>
      </c>
      <c r="I1287">
        <v>13</v>
      </c>
      <c r="J1287" s="54">
        <f t="shared" si="20"/>
        <v>6</v>
      </c>
    </row>
    <row r="1288" spans="1:10">
      <c r="A1288" s="43">
        <v>42394</v>
      </c>
      <c r="B1288">
        <v>2008</v>
      </c>
      <c r="C1288">
        <v>2007</v>
      </c>
      <c r="D1288">
        <v>1287</v>
      </c>
      <c r="E1288">
        <v>5800</v>
      </c>
      <c r="F1288" t="s">
        <v>59</v>
      </c>
      <c r="G1288">
        <v>10</v>
      </c>
      <c r="H1288" t="s">
        <v>133</v>
      </c>
      <c r="I1288">
        <v>11</v>
      </c>
      <c r="J1288" s="54">
        <f t="shared" si="20"/>
        <v>10</v>
      </c>
    </row>
    <row r="1289" spans="1:10">
      <c r="A1289" s="43">
        <v>43606</v>
      </c>
      <c r="B1289">
        <v>2007</v>
      </c>
      <c r="C1289">
        <v>2122</v>
      </c>
      <c r="D1289">
        <v>1288</v>
      </c>
      <c r="E1289">
        <v>9800</v>
      </c>
      <c r="F1289" t="s">
        <v>59</v>
      </c>
      <c r="G1289">
        <v>4</v>
      </c>
      <c r="H1289" t="s">
        <v>133</v>
      </c>
      <c r="I1289">
        <v>12</v>
      </c>
      <c r="J1289" s="54">
        <f t="shared" si="20"/>
        <v>4</v>
      </c>
    </row>
    <row r="1290" spans="1:10">
      <c r="A1290" s="43">
        <v>43486</v>
      </c>
      <c r="B1290">
        <v>2008</v>
      </c>
      <c r="C1290">
        <v>2122</v>
      </c>
      <c r="D1290">
        <v>1289</v>
      </c>
      <c r="E1290">
        <v>10000</v>
      </c>
      <c r="F1290" t="s">
        <v>59</v>
      </c>
      <c r="G1290">
        <v>6</v>
      </c>
      <c r="H1290" t="s">
        <v>133</v>
      </c>
      <c r="I1290">
        <v>11</v>
      </c>
      <c r="J1290" s="54">
        <f t="shared" si="20"/>
        <v>6</v>
      </c>
    </row>
    <row r="1291" spans="1:10">
      <c r="A1291" s="43">
        <v>43451</v>
      </c>
      <c r="B1291">
        <v>2007</v>
      </c>
      <c r="C1291">
        <v>2122</v>
      </c>
      <c r="D1291">
        <v>1290</v>
      </c>
      <c r="E1291">
        <v>10000</v>
      </c>
      <c r="F1291" t="s">
        <v>59</v>
      </c>
      <c r="G1291">
        <v>6</v>
      </c>
      <c r="H1291" t="s">
        <v>133</v>
      </c>
      <c r="I1291">
        <v>12</v>
      </c>
      <c r="J1291" s="54">
        <f t="shared" si="20"/>
        <v>6</v>
      </c>
    </row>
    <row r="1292" spans="1:10">
      <c r="A1292" s="43">
        <v>43391</v>
      </c>
      <c r="B1292">
        <v>2007</v>
      </c>
      <c r="C1292">
        <v>2122</v>
      </c>
      <c r="D1292">
        <v>1291</v>
      </c>
      <c r="E1292">
        <v>9950</v>
      </c>
      <c r="F1292" t="s">
        <v>59</v>
      </c>
      <c r="G1292">
        <v>45</v>
      </c>
      <c r="H1292" t="s">
        <v>60</v>
      </c>
      <c r="I1292">
        <v>12</v>
      </c>
      <c r="J1292" s="54">
        <f t="shared" si="20"/>
        <v>2</v>
      </c>
    </row>
    <row r="1293" spans="1:10">
      <c r="A1293" s="43">
        <v>43282</v>
      </c>
      <c r="B1293">
        <v>2008</v>
      </c>
      <c r="C1293">
        <v>2122</v>
      </c>
      <c r="D1293">
        <v>1292</v>
      </c>
      <c r="E1293">
        <v>12250</v>
      </c>
      <c r="F1293" t="s">
        <v>59</v>
      </c>
      <c r="G1293">
        <v>9</v>
      </c>
      <c r="H1293" t="s">
        <v>133</v>
      </c>
      <c r="I1293">
        <v>11</v>
      </c>
      <c r="J1293" s="54">
        <f t="shared" si="20"/>
        <v>9</v>
      </c>
    </row>
    <row r="1294" spans="1:10">
      <c r="A1294" s="43">
        <v>43217</v>
      </c>
      <c r="B1294">
        <v>2007</v>
      </c>
      <c r="C1294">
        <v>2122</v>
      </c>
      <c r="D1294">
        <v>1293</v>
      </c>
      <c r="E1294">
        <v>10900</v>
      </c>
      <c r="F1294" t="s">
        <v>59</v>
      </c>
      <c r="G1294">
        <v>6</v>
      </c>
      <c r="H1294" t="s">
        <v>133</v>
      </c>
      <c r="I1294">
        <v>12</v>
      </c>
      <c r="J1294" s="54">
        <f t="shared" si="20"/>
        <v>6</v>
      </c>
    </row>
    <row r="1295" spans="1:10">
      <c r="A1295" s="43">
        <v>43143</v>
      </c>
      <c r="B1295">
        <v>2008</v>
      </c>
      <c r="C1295">
        <v>2122</v>
      </c>
      <c r="D1295">
        <v>1294</v>
      </c>
      <c r="E1295">
        <v>11250</v>
      </c>
      <c r="F1295" t="s">
        <v>59</v>
      </c>
      <c r="G1295">
        <v>5</v>
      </c>
      <c r="H1295" t="s">
        <v>133</v>
      </c>
      <c r="I1295">
        <v>11</v>
      </c>
      <c r="J1295" s="54">
        <f t="shared" si="20"/>
        <v>5</v>
      </c>
    </row>
    <row r="1296" spans="1:10">
      <c r="A1296" s="43">
        <v>43005</v>
      </c>
      <c r="B1296">
        <v>2007</v>
      </c>
      <c r="C1296">
        <v>2122</v>
      </c>
      <c r="D1296">
        <v>1295</v>
      </c>
      <c r="E1296">
        <v>8000</v>
      </c>
      <c r="F1296" t="s">
        <v>59</v>
      </c>
      <c r="G1296">
        <v>6</v>
      </c>
      <c r="H1296" t="s">
        <v>133</v>
      </c>
      <c r="I1296">
        <v>12</v>
      </c>
      <c r="J1296" s="54">
        <f t="shared" si="20"/>
        <v>6</v>
      </c>
    </row>
    <row r="1297" spans="1:10">
      <c r="A1297" s="43">
        <v>42978</v>
      </c>
      <c r="B1297">
        <v>2008</v>
      </c>
      <c r="C1297">
        <v>2122</v>
      </c>
      <c r="D1297">
        <v>1296</v>
      </c>
      <c r="E1297">
        <v>8300</v>
      </c>
      <c r="F1297" t="s">
        <v>59</v>
      </c>
      <c r="G1297">
        <v>7</v>
      </c>
      <c r="H1297" t="s">
        <v>133</v>
      </c>
      <c r="I1297">
        <v>11</v>
      </c>
      <c r="J1297" s="54">
        <f t="shared" si="20"/>
        <v>7</v>
      </c>
    </row>
    <row r="1298" spans="1:10">
      <c r="A1298" s="43">
        <v>42887</v>
      </c>
      <c r="B1298">
        <v>2007</v>
      </c>
      <c r="C1298">
        <v>2122</v>
      </c>
      <c r="D1298">
        <v>1297</v>
      </c>
      <c r="E1298">
        <v>7600</v>
      </c>
      <c r="F1298" t="s">
        <v>59</v>
      </c>
      <c r="G1298">
        <v>24</v>
      </c>
      <c r="H1298" t="s">
        <v>133</v>
      </c>
      <c r="I1298">
        <v>12</v>
      </c>
      <c r="J1298" s="54">
        <f t="shared" si="20"/>
        <v>24</v>
      </c>
    </row>
    <row r="1299" spans="1:10">
      <c r="A1299" s="43">
        <v>42802</v>
      </c>
      <c r="B1299">
        <v>2007</v>
      </c>
      <c r="C1299">
        <v>2122</v>
      </c>
      <c r="D1299">
        <v>1298</v>
      </c>
      <c r="E1299">
        <v>6500</v>
      </c>
      <c r="F1299" t="s">
        <v>59</v>
      </c>
      <c r="G1299">
        <v>8</v>
      </c>
      <c r="H1299" t="s">
        <v>133</v>
      </c>
      <c r="I1299">
        <v>12</v>
      </c>
      <c r="J1299" s="54">
        <f t="shared" si="20"/>
        <v>8</v>
      </c>
    </row>
    <row r="1300" spans="1:10">
      <c r="A1300" s="43">
        <v>42781</v>
      </c>
      <c r="B1300">
        <v>2008</v>
      </c>
      <c r="C1300">
        <v>2122</v>
      </c>
      <c r="D1300">
        <v>1299</v>
      </c>
      <c r="E1300">
        <v>6550</v>
      </c>
      <c r="F1300" t="s">
        <v>59</v>
      </c>
      <c r="G1300">
        <v>7</v>
      </c>
      <c r="H1300" t="s">
        <v>133</v>
      </c>
      <c r="I1300">
        <v>11</v>
      </c>
      <c r="J1300" s="54">
        <f t="shared" si="20"/>
        <v>7</v>
      </c>
    </row>
    <row r="1301" spans="1:10">
      <c r="A1301" s="43">
        <v>42639</v>
      </c>
      <c r="B1301">
        <v>2008</v>
      </c>
      <c r="C1301">
        <v>2122</v>
      </c>
      <c r="D1301">
        <v>1300</v>
      </c>
      <c r="E1301">
        <v>6700</v>
      </c>
      <c r="F1301" t="s">
        <v>59</v>
      </c>
      <c r="G1301">
        <v>6</v>
      </c>
      <c r="H1301" t="s">
        <v>133</v>
      </c>
      <c r="I1301">
        <v>11</v>
      </c>
      <c r="J1301" s="54">
        <f t="shared" si="20"/>
        <v>6</v>
      </c>
    </row>
    <row r="1302" spans="1:10">
      <c r="A1302" s="43">
        <v>42531</v>
      </c>
      <c r="B1302">
        <v>2007</v>
      </c>
      <c r="C1302">
        <v>2122</v>
      </c>
      <c r="D1302">
        <v>1301</v>
      </c>
      <c r="E1302">
        <v>7650</v>
      </c>
      <c r="F1302" t="s">
        <v>59</v>
      </c>
      <c r="G1302">
        <v>12</v>
      </c>
      <c r="H1302" t="s">
        <v>133</v>
      </c>
      <c r="I1302">
        <v>12</v>
      </c>
      <c r="J1302" s="54">
        <f t="shared" si="20"/>
        <v>12</v>
      </c>
    </row>
    <row r="1303" spans="1:10">
      <c r="A1303" s="43">
        <v>42470</v>
      </c>
      <c r="B1303">
        <v>2007</v>
      </c>
      <c r="C1303">
        <v>2122</v>
      </c>
      <c r="D1303">
        <v>1302</v>
      </c>
      <c r="E1303">
        <v>6600</v>
      </c>
      <c r="F1303" t="s">
        <v>59</v>
      </c>
      <c r="G1303">
        <v>12</v>
      </c>
      <c r="H1303" t="s">
        <v>133</v>
      </c>
      <c r="I1303">
        <v>12</v>
      </c>
      <c r="J1303" s="54">
        <f t="shared" si="20"/>
        <v>12</v>
      </c>
    </row>
    <row r="1304" spans="1:10">
      <c r="A1304" s="43">
        <v>42459</v>
      </c>
      <c r="B1304">
        <v>2007</v>
      </c>
      <c r="C1304">
        <v>2122</v>
      </c>
      <c r="D1304">
        <v>1303</v>
      </c>
      <c r="E1304">
        <v>7100</v>
      </c>
      <c r="F1304" t="s">
        <v>59</v>
      </c>
      <c r="G1304">
        <v>30</v>
      </c>
      <c r="H1304" t="s">
        <v>60</v>
      </c>
      <c r="I1304">
        <v>12</v>
      </c>
      <c r="J1304" s="54">
        <f t="shared" si="20"/>
        <v>1</v>
      </c>
    </row>
    <row r="1305" spans="1:10">
      <c r="A1305" s="43">
        <v>42444</v>
      </c>
      <c r="B1305">
        <v>2007</v>
      </c>
      <c r="C1305">
        <v>2122</v>
      </c>
      <c r="D1305">
        <v>1304</v>
      </c>
      <c r="E1305">
        <v>6800</v>
      </c>
      <c r="F1305" t="s">
        <v>59</v>
      </c>
      <c r="G1305">
        <v>30</v>
      </c>
      <c r="H1305" t="s">
        <v>60</v>
      </c>
      <c r="I1305">
        <v>12</v>
      </c>
      <c r="J1305" s="54">
        <f t="shared" si="20"/>
        <v>1</v>
      </c>
    </row>
    <row r="1306" spans="1:10">
      <c r="A1306" s="43">
        <v>42423</v>
      </c>
      <c r="B1306">
        <v>2007</v>
      </c>
      <c r="C1306">
        <v>2122</v>
      </c>
      <c r="D1306">
        <v>1305</v>
      </c>
      <c r="E1306">
        <v>6500</v>
      </c>
      <c r="F1306" t="s">
        <v>59</v>
      </c>
      <c r="G1306">
        <v>7</v>
      </c>
      <c r="H1306" t="s">
        <v>133</v>
      </c>
      <c r="I1306">
        <v>12</v>
      </c>
      <c r="J1306" s="54">
        <f t="shared" si="20"/>
        <v>7</v>
      </c>
    </row>
    <row r="1307" spans="1:10">
      <c r="A1307" s="43">
        <v>42395</v>
      </c>
      <c r="B1307">
        <v>2007</v>
      </c>
      <c r="C1307">
        <v>2122</v>
      </c>
      <c r="D1307">
        <v>1306</v>
      </c>
      <c r="E1307">
        <v>6400</v>
      </c>
      <c r="F1307" t="s">
        <v>59</v>
      </c>
      <c r="G1307">
        <v>6</v>
      </c>
      <c r="H1307" t="s">
        <v>133</v>
      </c>
      <c r="I1307">
        <v>12</v>
      </c>
      <c r="J1307" s="54">
        <f t="shared" si="20"/>
        <v>6</v>
      </c>
    </row>
    <row r="1308" spans="1:10">
      <c r="A1308" s="43">
        <v>42387</v>
      </c>
      <c r="B1308">
        <v>2007</v>
      </c>
      <c r="C1308">
        <v>2122</v>
      </c>
      <c r="D1308">
        <v>1307</v>
      </c>
      <c r="E1308">
        <v>6000</v>
      </c>
      <c r="F1308" t="s">
        <v>59</v>
      </c>
      <c r="G1308">
        <v>5</v>
      </c>
      <c r="H1308" t="s">
        <v>133</v>
      </c>
      <c r="I1308">
        <v>12</v>
      </c>
      <c r="J1308" s="54">
        <f t="shared" si="20"/>
        <v>5</v>
      </c>
    </row>
    <row r="1309" spans="1:10">
      <c r="A1309" s="43">
        <v>42627</v>
      </c>
      <c r="B1309">
        <v>2007</v>
      </c>
      <c r="C1309">
        <v>2401</v>
      </c>
      <c r="D1309">
        <v>1308</v>
      </c>
      <c r="E1309">
        <v>6000</v>
      </c>
      <c r="F1309" t="s">
        <v>59</v>
      </c>
      <c r="G1309">
        <v>6</v>
      </c>
      <c r="H1309" t="s">
        <v>133</v>
      </c>
      <c r="I1309">
        <v>12</v>
      </c>
      <c r="J1309" s="54">
        <f t="shared" si="20"/>
        <v>6</v>
      </c>
    </row>
    <row r="1310" spans="1:10">
      <c r="A1310" s="43">
        <v>43416</v>
      </c>
      <c r="B1310">
        <v>2007</v>
      </c>
      <c r="C1310">
        <v>2450</v>
      </c>
      <c r="D1310">
        <v>1309</v>
      </c>
      <c r="E1310">
        <v>9600</v>
      </c>
      <c r="F1310" t="s">
        <v>59</v>
      </c>
      <c r="G1310">
        <v>7</v>
      </c>
      <c r="H1310" t="s">
        <v>133</v>
      </c>
      <c r="I1310">
        <v>12</v>
      </c>
      <c r="J1310" s="54">
        <f t="shared" si="20"/>
        <v>7</v>
      </c>
    </row>
    <row r="1311" spans="1:10">
      <c r="A1311" s="43">
        <v>43396</v>
      </c>
      <c r="B1311">
        <v>2006</v>
      </c>
      <c r="C1311">
        <v>2450</v>
      </c>
      <c r="D1311">
        <v>1310</v>
      </c>
      <c r="E1311">
        <v>10000</v>
      </c>
      <c r="F1311" t="s">
        <v>59</v>
      </c>
      <c r="G1311">
        <v>6</v>
      </c>
      <c r="H1311" t="s">
        <v>133</v>
      </c>
      <c r="I1311">
        <v>13</v>
      </c>
      <c r="J1311" s="54">
        <f t="shared" si="20"/>
        <v>6</v>
      </c>
    </row>
    <row r="1312" spans="1:10">
      <c r="A1312" s="43">
        <v>43374</v>
      </c>
      <c r="B1312">
        <v>2007</v>
      </c>
      <c r="C1312">
        <v>2450</v>
      </c>
      <c r="D1312">
        <v>1311</v>
      </c>
      <c r="E1312">
        <v>9600</v>
      </c>
      <c r="F1312" t="s">
        <v>59</v>
      </c>
      <c r="G1312">
        <v>6</v>
      </c>
      <c r="H1312" t="s">
        <v>133</v>
      </c>
      <c r="I1312">
        <v>12</v>
      </c>
      <c r="J1312" s="54">
        <f t="shared" si="20"/>
        <v>6</v>
      </c>
    </row>
    <row r="1313" spans="1:10">
      <c r="A1313" s="43">
        <v>43256</v>
      </c>
      <c r="B1313">
        <v>2006</v>
      </c>
      <c r="C1313">
        <v>2450</v>
      </c>
      <c r="D1313">
        <v>1312</v>
      </c>
      <c r="E1313">
        <v>12000</v>
      </c>
      <c r="F1313" t="s">
        <v>59</v>
      </c>
      <c r="G1313">
        <v>5</v>
      </c>
      <c r="H1313" t="s">
        <v>133</v>
      </c>
      <c r="I1313">
        <v>13</v>
      </c>
      <c r="J1313" s="54">
        <f t="shared" si="20"/>
        <v>5</v>
      </c>
    </row>
    <row r="1314" spans="1:10">
      <c r="A1314" s="43">
        <v>43061</v>
      </c>
      <c r="B1314">
        <v>2007</v>
      </c>
      <c r="C1314">
        <v>2450</v>
      </c>
      <c r="D1314">
        <v>1313</v>
      </c>
      <c r="E1314">
        <v>8500</v>
      </c>
      <c r="F1314" t="s">
        <v>59</v>
      </c>
      <c r="G1314">
        <v>6</v>
      </c>
      <c r="H1314" t="s">
        <v>133</v>
      </c>
      <c r="I1314">
        <v>12</v>
      </c>
      <c r="J1314" s="54">
        <f t="shared" si="20"/>
        <v>6</v>
      </c>
    </row>
    <row r="1315" spans="1:10">
      <c r="A1315" s="43">
        <v>43054</v>
      </c>
      <c r="B1315">
        <v>2008</v>
      </c>
      <c r="C1315">
        <v>2450</v>
      </c>
      <c r="D1315">
        <v>1314</v>
      </c>
      <c r="E1315">
        <v>8700</v>
      </c>
      <c r="F1315" t="s">
        <v>59</v>
      </c>
      <c r="G1315">
        <v>7</v>
      </c>
      <c r="H1315" t="s">
        <v>133</v>
      </c>
      <c r="I1315">
        <v>11</v>
      </c>
      <c r="J1315" s="54">
        <f t="shared" si="20"/>
        <v>7</v>
      </c>
    </row>
    <row r="1316" spans="1:10">
      <c r="A1316" s="43">
        <v>43054</v>
      </c>
      <c r="B1316">
        <v>2006</v>
      </c>
      <c r="C1316">
        <v>2450</v>
      </c>
      <c r="D1316">
        <v>1315</v>
      </c>
      <c r="E1316">
        <v>9750</v>
      </c>
      <c r="F1316" t="s">
        <v>59</v>
      </c>
      <c r="G1316">
        <v>7</v>
      </c>
      <c r="H1316" t="s">
        <v>133</v>
      </c>
      <c r="I1316">
        <v>13</v>
      </c>
      <c r="J1316" s="54">
        <f t="shared" si="20"/>
        <v>7</v>
      </c>
    </row>
    <row r="1317" spans="1:10">
      <c r="A1317" s="43">
        <v>42948</v>
      </c>
      <c r="B1317">
        <v>2007</v>
      </c>
      <c r="C1317">
        <v>2450</v>
      </c>
      <c r="D1317">
        <v>1316</v>
      </c>
      <c r="E1317">
        <v>8750</v>
      </c>
      <c r="F1317" t="s">
        <v>59</v>
      </c>
      <c r="G1317">
        <v>60</v>
      </c>
      <c r="H1317" t="s">
        <v>60</v>
      </c>
      <c r="I1317">
        <v>12</v>
      </c>
      <c r="J1317" s="54">
        <f t="shared" si="20"/>
        <v>2</v>
      </c>
    </row>
    <row r="1318" spans="1:10">
      <c r="A1318" s="43">
        <v>42843</v>
      </c>
      <c r="B1318">
        <v>2010</v>
      </c>
      <c r="C1318">
        <v>2450</v>
      </c>
      <c r="D1318">
        <v>1317</v>
      </c>
      <c r="E1318">
        <v>9300</v>
      </c>
      <c r="F1318" t="s">
        <v>59</v>
      </c>
      <c r="G1318">
        <v>7</v>
      </c>
      <c r="H1318" t="s">
        <v>133</v>
      </c>
      <c r="I1318">
        <v>9</v>
      </c>
      <c r="J1318" s="54">
        <f t="shared" si="20"/>
        <v>7</v>
      </c>
    </row>
    <row r="1319" spans="1:10">
      <c r="A1319" s="43">
        <v>42750</v>
      </c>
      <c r="B1319">
        <v>2007</v>
      </c>
      <c r="C1319">
        <v>2450</v>
      </c>
      <c r="D1319">
        <v>1318</v>
      </c>
      <c r="E1319">
        <v>5500</v>
      </c>
      <c r="F1319" t="s">
        <v>59</v>
      </c>
      <c r="G1319">
        <v>8</v>
      </c>
      <c r="H1319" t="s">
        <v>133</v>
      </c>
      <c r="I1319">
        <v>12</v>
      </c>
      <c r="J1319" s="54">
        <f t="shared" si="20"/>
        <v>8</v>
      </c>
    </row>
    <row r="1320" spans="1:10">
      <c r="A1320" s="43">
        <v>42689</v>
      </c>
      <c r="B1320">
        <v>2010</v>
      </c>
      <c r="C1320">
        <v>2450</v>
      </c>
      <c r="D1320">
        <v>1319</v>
      </c>
      <c r="E1320">
        <v>5500</v>
      </c>
      <c r="F1320" t="s">
        <v>59</v>
      </c>
      <c r="G1320">
        <v>3</v>
      </c>
      <c r="H1320" t="s">
        <v>133</v>
      </c>
      <c r="I1320">
        <v>9</v>
      </c>
      <c r="J1320" s="54">
        <f t="shared" si="20"/>
        <v>3</v>
      </c>
    </row>
    <row r="1321" spans="1:10">
      <c r="A1321" s="43">
        <v>42688</v>
      </c>
      <c r="B1321">
        <v>2007</v>
      </c>
      <c r="C1321">
        <v>2450</v>
      </c>
      <c r="D1321">
        <v>1320</v>
      </c>
      <c r="E1321">
        <v>5400</v>
      </c>
      <c r="F1321" t="s">
        <v>59</v>
      </c>
      <c r="G1321">
        <v>8</v>
      </c>
      <c r="H1321" t="s">
        <v>133</v>
      </c>
      <c r="I1321">
        <v>12</v>
      </c>
      <c r="J1321" s="54">
        <f t="shared" si="20"/>
        <v>8</v>
      </c>
    </row>
    <row r="1322" spans="1:10">
      <c r="A1322" s="43">
        <v>42644</v>
      </c>
      <c r="B1322">
        <v>2007</v>
      </c>
      <c r="C1322">
        <v>2450</v>
      </c>
      <c r="D1322">
        <v>1321</v>
      </c>
      <c r="E1322">
        <v>5500</v>
      </c>
      <c r="F1322" t="s">
        <v>59</v>
      </c>
      <c r="G1322">
        <v>12</v>
      </c>
      <c r="H1322" t="s">
        <v>133</v>
      </c>
      <c r="I1322">
        <v>12</v>
      </c>
      <c r="J1322" s="54">
        <f t="shared" si="20"/>
        <v>12</v>
      </c>
    </row>
    <row r="1323" spans="1:10">
      <c r="A1323" s="43">
        <v>42604</v>
      </c>
      <c r="B1323">
        <v>2007</v>
      </c>
      <c r="C1323">
        <v>2450</v>
      </c>
      <c r="D1323">
        <v>1322</v>
      </c>
      <c r="E1323">
        <v>6100</v>
      </c>
      <c r="F1323" t="s">
        <v>59</v>
      </c>
      <c r="G1323">
        <v>9</v>
      </c>
      <c r="H1323" t="s">
        <v>133</v>
      </c>
      <c r="I1323">
        <v>12</v>
      </c>
      <c r="J1323" s="54">
        <f t="shared" si="20"/>
        <v>9</v>
      </c>
    </row>
    <row r="1324" spans="1:10">
      <c r="A1324" s="43">
        <v>42479</v>
      </c>
      <c r="B1324">
        <v>2007</v>
      </c>
      <c r="C1324">
        <v>2450</v>
      </c>
      <c r="D1324">
        <v>1323</v>
      </c>
      <c r="E1324">
        <v>6300</v>
      </c>
      <c r="F1324" t="s">
        <v>59</v>
      </c>
      <c r="G1324">
        <v>6</v>
      </c>
      <c r="H1324" t="s">
        <v>133</v>
      </c>
      <c r="I1324">
        <v>12</v>
      </c>
      <c r="J1324" s="54">
        <f t="shared" si="20"/>
        <v>6</v>
      </c>
    </row>
    <row r="1325" spans="1:10">
      <c r="A1325" s="43">
        <v>42440</v>
      </c>
      <c r="B1325">
        <v>2007</v>
      </c>
      <c r="C1325">
        <v>2450</v>
      </c>
      <c r="D1325">
        <v>1324</v>
      </c>
      <c r="E1325">
        <v>7100</v>
      </c>
      <c r="F1325" t="s">
        <v>59</v>
      </c>
      <c r="G1325">
        <v>12</v>
      </c>
      <c r="H1325" t="s">
        <v>133</v>
      </c>
      <c r="I1325">
        <v>12</v>
      </c>
      <c r="J1325" s="54">
        <f t="shared" si="20"/>
        <v>12</v>
      </c>
    </row>
    <row r="1326" spans="1:10">
      <c r="A1326" s="43">
        <v>42423</v>
      </c>
      <c r="B1326">
        <v>2007</v>
      </c>
      <c r="C1326">
        <v>2450</v>
      </c>
      <c r="D1326">
        <v>1325</v>
      </c>
      <c r="E1326">
        <v>6000</v>
      </c>
      <c r="F1326" t="s">
        <v>59</v>
      </c>
      <c r="G1326">
        <v>9</v>
      </c>
      <c r="H1326" t="s">
        <v>133</v>
      </c>
      <c r="I1326">
        <v>12</v>
      </c>
      <c r="J1326" s="54">
        <f t="shared" si="20"/>
        <v>9</v>
      </c>
    </row>
    <row r="1327" spans="1:10">
      <c r="A1327" s="43">
        <v>42914</v>
      </c>
      <c r="B1327">
        <v>2009</v>
      </c>
      <c r="C1327">
        <v>2478</v>
      </c>
      <c r="D1327">
        <v>1326</v>
      </c>
      <c r="E1327">
        <v>7800</v>
      </c>
      <c r="F1327" t="s">
        <v>59</v>
      </c>
      <c r="G1327">
        <v>6</v>
      </c>
      <c r="H1327" t="s">
        <v>133</v>
      </c>
      <c r="I1327">
        <v>10</v>
      </c>
      <c r="J1327" s="54">
        <f t="shared" si="20"/>
        <v>6</v>
      </c>
    </row>
    <row r="1328" spans="1:10">
      <c r="A1328" s="43">
        <v>42893</v>
      </c>
      <c r="B1328">
        <v>2006</v>
      </c>
      <c r="C1328">
        <v>2478</v>
      </c>
      <c r="D1328">
        <v>1327</v>
      </c>
      <c r="E1328">
        <v>8500</v>
      </c>
      <c r="F1328" t="s">
        <v>59</v>
      </c>
      <c r="G1328">
        <v>6</v>
      </c>
      <c r="H1328" t="s">
        <v>133</v>
      </c>
      <c r="I1328">
        <v>13</v>
      </c>
      <c r="J1328" s="54">
        <f t="shared" si="20"/>
        <v>6</v>
      </c>
    </row>
    <row r="1329" spans="1:10">
      <c r="A1329" s="43">
        <v>42709</v>
      </c>
      <c r="B1329">
        <v>2006</v>
      </c>
      <c r="C1329">
        <v>2478</v>
      </c>
      <c r="D1329">
        <v>1328</v>
      </c>
      <c r="E1329">
        <v>5300</v>
      </c>
      <c r="F1329" t="s">
        <v>59</v>
      </c>
      <c r="G1329">
        <v>11</v>
      </c>
      <c r="H1329" t="s">
        <v>133</v>
      </c>
      <c r="I1329">
        <v>13</v>
      </c>
      <c r="J1329" s="54">
        <f t="shared" si="20"/>
        <v>11</v>
      </c>
    </row>
    <row r="1330" spans="1:10">
      <c r="A1330" s="43">
        <v>42622</v>
      </c>
      <c r="B1330">
        <v>2006</v>
      </c>
      <c r="C1330">
        <v>2478</v>
      </c>
      <c r="D1330">
        <v>1329</v>
      </c>
      <c r="E1330">
        <v>5500</v>
      </c>
      <c r="F1330" t="s">
        <v>59</v>
      </c>
      <c r="G1330">
        <v>9</v>
      </c>
      <c r="H1330" t="s">
        <v>133</v>
      </c>
      <c r="I1330">
        <v>13</v>
      </c>
      <c r="J1330" s="54">
        <f t="shared" si="20"/>
        <v>9</v>
      </c>
    </row>
    <row r="1331" spans="1:10">
      <c r="A1331" s="43">
        <v>42604</v>
      </c>
      <c r="B1331">
        <v>2006</v>
      </c>
      <c r="C1331">
        <v>2478</v>
      </c>
      <c r="D1331">
        <v>1330</v>
      </c>
      <c r="E1331">
        <v>6000</v>
      </c>
      <c r="F1331" t="s">
        <v>59</v>
      </c>
      <c r="G1331">
        <v>12</v>
      </c>
      <c r="H1331" t="s">
        <v>133</v>
      </c>
      <c r="I1331">
        <v>13</v>
      </c>
      <c r="J1331" s="54">
        <f t="shared" si="20"/>
        <v>12</v>
      </c>
    </row>
    <row r="1332" spans="1:10">
      <c r="A1332" s="43">
        <v>43493</v>
      </c>
      <c r="B1332">
        <v>2006</v>
      </c>
      <c r="C1332">
        <v>2490</v>
      </c>
      <c r="D1332">
        <v>1331</v>
      </c>
      <c r="E1332">
        <v>10400</v>
      </c>
      <c r="F1332" t="s">
        <v>59</v>
      </c>
      <c r="G1332">
        <v>12</v>
      </c>
      <c r="H1332" t="s">
        <v>133</v>
      </c>
      <c r="I1332">
        <v>13</v>
      </c>
      <c r="J1332" s="54">
        <f t="shared" si="20"/>
        <v>12</v>
      </c>
    </row>
    <row r="1333" spans="1:10">
      <c r="A1333" s="43">
        <v>43363</v>
      </c>
      <c r="B1333">
        <v>2006</v>
      </c>
      <c r="C1333">
        <v>2490</v>
      </c>
      <c r="D1333">
        <v>1332</v>
      </c>
      <c r="E1333">
        <v>12000</v>
      </c>
      <c r="F1333" t="s">
        <v>59</v>
      </c>
      <c r="G1333">
        <v>7</v>
      </c>
      <c r="H1333" t="s">
        <v>133</v>
      </c>
      <c r="I1333">
        <v>13</v>
      </c>
      <c r="J1333" s="54">
        <f t="shared" si="20"/>
        <v>7</v>
      </c>
    </row>
    <row r="1334" spans="1:10">
      <c r="A1334" s="43">
        <v>43245</v>
      </c>
      <c r="B1334">
        <v>2006</v>
      </c>
      <c r="C1334">
        <v>2490</v>
      </c>
      <c r="D1334">
        <v>1333</v>
      </c>
      <c r="E1334">
        <v>12750</v>
      </c>
      <c r="F1334" t="s">
        <v>59</v>
      </c>
      <c r="G1334">
        <v>5</v>
      </c>
      <c r="H1334" t="s">
        <v>133</v>
      </c>
      <c r="I1334">
        <v>13</v>
      </c>
      <c r="J1334" s="54">
        <f t="shared" si="20"/>
        <v>5</v>
      </c>
    </row>
    <row r="1335" spans="1:10">
      <c r="A1335" s="43">
        <v>42993</v>
      </c>
      <c r="B1335">
        <v>2006</v>
      </c>
      <c r="C1335">
        <v>2490</v>
      </c>
      <c r="D1335">
        <v>1334</v>
      </c>
      <c r="E1335">
        <v>8400</v>
      </c>
      <c r="F1335" t="s">
        <v>59</v>
      </c>
      <c r="G1335">
        <v>30</v>
      </c>
      <c r="H1335" t="s">
        <v>60</v>
      </c>
      <c r="I1335">
        <v>13</v>
      </c>
      <c r="J1335" s="54">
        <f t="shared" si="20"/>
        <v>1</v>
      </c>
    </row>
    <row r="1336" spans="1:10">
      <c r="A1336" s="43">
        <v>42879</v>
      </c>
      <c r="B1336">
        <v>2006</v>
      </c>
      <c r="C1336">
        <v>2490</v>
      </c>
      <c r="D1336">
        <v>1335</v>
      </c>
      <c r="E1336">
        <v>9800</v>
      </c>
      <c r="F1336" t="s">
        <v>59</v>
      </c>
      <c r="G1336">
        <v>3</v>
      </c>
      <c r="H1336" t="s">
        <v>133</v>
      </c>
      <c r="I1336">
        <v>13</v>
      </c>
      <c r="J1336" s="54">
        <f t="shared" si="20"/>
        <v>3</v>
      </c>
    </row>
    <row r="1337" spans="1:10">
      <c r="A1337" s="43">
        <v>42628</v>
      </c>
      <c r="B1337">
        <v>2006</v>
      </c>
      <c r="C1337">
        <v>2490</v>
      </c>
      <c r="D1337">
        <v>1336</v>
      </c>
      <c r="E1337">
        <v>5850</v>
      </c>
      <c r="F1337" t="s">
        <v>59</v>
      </c>
      <c r="G1337">
        <v>8</v>
      </c>
      <c r="H1337" t="s">
        <v>133</v>
      </c>
      <c r="I1337">
        <v>13</v>
      </c>
      <c r="J1337" s="54">
        <f t="shared" si="20"/>
        <v>8</v>
      </c>
    </row>
    <row r="1338" spans="1:10">
      <c r="A1338" s="43">
        <v>42381</v>
      </c>
      <c r="B1338">
        <v>2006</v>
      </c>
      <c r="C1338">
        <v>2490</v>
      </c>
      <c r="D1338">
        <v>1337</v>
      </c>
      <c r="E1338">
        <v>6000</v>
      </c>
      <c r="F1338" t="s">
        <v>59</v>
      </c>
      <c r="G1338">
        <v>6</v>
      </c>
      <c r="H1338" t="s">
        <v>133</v>
      </c>
      <c r="I1338">
        <v>13</v>
      </c>
      <c r="J1338" s="54">
        <f t="shared" si="20"/>
        <v>6</v>
      </c>
    </row>
    <row r="1339" spans="1:10">
      <c r="A1339" s="43">
        <v>43501</v>
      </c>
      <c r="B1339">
        <v>2006</v>
      </c>
      <c r="C1339">
        <v>2492</v>
      </c>
      <c r="D1339">
        <v>1338</v>
      </c>
      <c r="E1339">
        <v>9250</v>
      </c>
      <c r="F1339" t="s">
        <v>59</v>
      </c>
      <c r="G1339">
        <v>6</v>
      </c>
      <c r="H1339" t="s">
        <v>133</v>
      </c>
      <c r="I1339">
        <v>13</v>
      </c>
      <c r="J1339" s="54">
        <f t="shared" si="20"/>
        <v>6</v>
      </c>
    </row>
    <row r="1340" spans="1:10">
      <c r="A1340" s="43">
        <v>43432</v>
      </c>
      <c r="B1340">
        <v>2006</v>
      </c>
      <c r="C1340">
        <v>2492</v>
      </c>
      <c r="D1340">
        <v>1339</v>
      </c>
      <c r="E1340">
        <v>9500</v>
      </c>
      <c r="F1340" t="s">
        <v>59</v>
      </c>
      <c r="G1340">
        <v>4</v>
      </c>
      <c r="H1340" t="s">
        <v>133</v>
      </c>
      <c r="I1340">
        <v>13</v>
      </c>
      <c r="J1340" s="54">
        <f t="shared" si="20"/>
        <v>4</v>
      </c>
    </row>
    <row r="1341" spans="1:10">
      <c r="A1341" s="43">
        <v>43200</v>
      </c>
      <c r="B1341">
        <v>2006</v>
      </c>
      <c r="C1341">
        <v>2492</v>
      </c>
      <c r="D1341">
        <v>1340</v>
      </c>
      <c r="E1341">
        <v>10550</v>
      </c>
      <c r="F1341" t="s">
        <v>59</v>
      </c>
      <c r="G1341">
        <v>7</v>
      </c>
      <c r="H1341" t="s">
        <v>133</v>
      </c>
      <c r="I1341">
        <v>13</v>
      </c>
      <c r="J1341" s="54">
        <f t="shared" si="20"/>
        <v>7</v>
      </c>
    </row>
    <row r="1342" spans="1:10">
      <c r="A1342" s="43">
        <v>43052</v>
      </c>
      <c r="B1342">
        <v>2006</v>
      </c>
      <c r="C1342">
        <v>2492</v>
      </c>
      <c r="D1342">
        <v>1341</v>
      </c>
      <c r="E1342">
        <v>8250</v>
      </c>
      <c r="F1342" t="s">
        <v>59</v>
      </c>
      <c r="G1342">
        <v>5</v>
      </c>
      <c r="H1342" t="s">
        <v>133</v>
      </c>
      <c r="I1342">
        <v>13</v>
      </c>
      <c r="J1342" s="54">
        <f t="shared" si="20"/>
        <v>5</v>
      </c>
    </row>
    <row r="1343" spans="1:10">
      <c r="A1343" s="43">
        <v>42795</v>
      </c>
      <c r="B1343">
        <v>2006</v>
      </c>
      <c r="C1343">
        <v>2492</v>
      </c>
      <c r="D1343">
        <v>1342</v>
      </c>
      <c r="E1343">
        <v>6200</v>
      </c>
      <c r="F1343" t="s">
        <v>59</v>
      </c>
      <c r="G1343">
        <v>8</v>
      </c>
      <c r="H1343" t="s">
        <v>133</v>
      </c>
      <c r="I1343">
        <v>13</v>
      </c>
      <c r="J1343" s="54">
        <f t="shared" si="20"/>
        <v>8</v>
      </c>
    </row>
    <row r="1344" spans="1:10">
      <c r="A1344" s="43">
        <v>42782</v>
      </c>
      <c r="B1344">
        <v>2006</v>
      </c>
      <c r="C1344">
        <v>2492</v>
      </c>
      <c r="D1344">
        <v>1343</v>
      </c>
      <c r="E1344">
        <v>5800</v>
      </c>
      <c r="F1344" t="s">
        <v>59</v>
      </c>
      <c r="G1344">
        <v>3</v>
      </c>
      <c r="H1344" t="s">
        <v>133</v>
      </c>
      <c r="I1344">
        <v>13</v>
      </c>
      <c r="J1344" s="54">
        <f t="shared" si="20"/>
        <v>3</v>
      </c>
    </row>
    <row r="1345" spans="1:10">
      <c r="A1345" s="43">
        <v>42776</v>
      </c>
      <c r="B1345">
        <v>2006</v>
      </c>
      <c r="C1345">
        <v>2492</v>
      </c>
      <c r="D1345">
        <v>1344</v>
      </c>
      <c r="E1345">
        <v>5800</v>
      </c>
      <c r="F1345" t="s">
        <v>59</v>
      </c>
      <c r="G1345">
        <v>90</v>
      </c>
      <c r="H1345" t="s">
        <v>60</v>
      </c>
      <c r="I1345">
        <v>13</v>
      </c>
      <c r="J1345" s="54">
        <f t="shared" si="20"/>
        <v>3</v>
      </c>
    </row>
    <row r="1346" spans="1:10">
      <c r="A1346" s="43">
        <v>42565</v>
      </c>
      <c r="B1346">
        <v>2006</v>
      </c>
      <c r="C1346">
        <v>2492</v>
      </c>
      <c r="D1346">
        <v>1345</v>
      </c>
      <c r="E1346">
        <v>6500</v>
      </c>
      <c r="F1346" t="s">
        <v>59</v>
      </c>
      <c r="G1346">
        <v>7</v>
      </c>
      <c r="H1346" t="s">
        <v>133</v>
      </c>
      <c r="I1346">
        <v>13</v>
      </c>
      <c r="J1346" s="54">
        <f t="shared" ref="J1346:J1409" si="21">IF(H1346="days",ROUND(G1346/30,0),IF(H1346="years",G1346*12,G1346))</f>
        <v>7</v>
      </c>
    </row>
    <row r="1347" spans="1:10">
      <c r="A1347" s="43">
        <v>43629</v>
      </c>
      <c r="B1347">
        <v>2006</v>
      </c>
      <c r="C1347">
        <v>2510</v>
      </c>
      <c r="D1347">
        <v>1346</v>
      </c>
      <c r="E1347">
        <v>8500</v>
      </c>
      <c r="F1347" t="s">
        <v>59</v>
      </c>
      <c r="G1347">
        <v>4</v>
      </c>
      <c r="H1347" t="s">
        <v>133</v>
      </c>
      <c r="I1347">
        <v>13</v>
      </c>
      <c r="J1347" s="54">
        <f t="shared" si="21"/>
        <v>4</v>
      </c>
    </row>
    <row r="1348" spans="1:10">
      <c r="A1348" s="43">
        <v>43559</v>
      </c>
      <c r="B1348">
        <v>2006</v>
      </c>
      <c r="C1348">
        <v>2510</v>
      </c>
      <c r="D1348">
        <v>1347</v>
      </c>
      <c r="E1348">
        <v>8500</v>
      </c>
      <c r="F1348" t="s">
        <v>59</v>
      </c>
      <c r="G1348">
        <v>30</v>
      </c>
      <c r="H1348" t="s">
        <v>60</v>
      </c>
      <c r="I1348">
        <v>13</v>
      </c>
      <c r="J1348" s="54">
        <f t="shared" si="21"/>
        <v>1</v>
      </c>
    </row>
    <row r="1349" spans="1:10">
      <c r="A1349" s="43">
        <v>43532</v>
      </c>
      <c r="B1349">
        <v>2006</v>
      </c>
      <c r="C1349">
        <v>2510</v>
      </c>
      <c r="D1349">
        <v>1348</v>
      </c>
      <c r="E1349">
        <v>8500</v>
      </c>
      <c r="F1349" t="s">
        <v>59</v>
      </c>
      <c r="G1349">
        <v>60</v>
      </c>
      <c r="H1349" t="s">
        <v>60</v>
      </c>
      <c r="I1349">
        <v>13</v>
      </c>
      <c r="J1349" s="54">
        <f t="shared" si="21"/>
        <v>2</v>
      </c>
    </row>
    <row r="1350" spans="1:10">
      <c r="A1350" s="43">
        <v>43468</v>
      </c>
      <c r="B1350">
        <v>2006</v>
      </c>
      <c r="C1350">
        <v>2510</v>
      </c>
      <c r="D1350">
        <v>1349</v>
      </c>
      <c r="E1350">
        <v>8300</v>
      </c>
      <c r="F1350" t="s">
        <v>59</v>
      </c>
      <c r="G1350">
        <v>56</v>
      </c>
      <c r="H1350" t="s">
        <v>60</v>
      </c>
      <c r="I1350">
        <v>13</v>
      </c>
      <c r="J1350" s="54">
        <f t="shared" si="21"/>
        <v>2</v>
      </c>
    </row>
    <row r="1351" spans="1:10">
      <c r="A1351" s="43">
        <v>43389</v>
      </c>
      <c r="B1351">
        <v>2006</v>
      </c>
      <c r="C1351">
        <v>2510</v>
      </c>
      <c r="D1351">
        <v>1350</v>
      </c>
      <c r="E1351">
        <v>10000</v>
      </c>
      <c r="F1351" t="s">
        <v>59</v>
      </c>
      <c r="G1351">
        <v>4</v>
      </c>
      <c r="H1351" t="s">
        <v>133</v>
      </c>
      <c r="I1351">
        <v>13</v>
      </c>
      <c r="J1351" s="54">
        <f t="shared" si="21"/>
        <v>4</v>
      </c>
    </row>
    <row r="1352" spans="1:10">
      <c r="A1352" s="43">
        <v>43207</v>
      </c>
      <c r="B1352">
        <v>2006</v>
      </c>
      <c r="C1352">
        <v>2510</v>
      </c>
      <c r="D1352">
        <v>1351</v>
      </c>
      <c r="E1352">
        <v>11500</v>
      </c>
      <c r="F1352" t="s">
        <v>59</v>
      </c>
      <c r="G1352">
        <v>7</v>
      </c>
      <c r="H1352" t="s">
        <v>133</v>
      </c>
      <c r="I1352">
        <v>13</v>
      </c>
      <c r="J1352" s="54">
        <f t="shared" si="21"/>
        <v>7</v>
      </c>
    </row>
    <row r="1353" spans="1:10">
      <c r="A1353" s="43">
        <v>43129</v>
      </c>
      <c r="B1353">
        <v>2006</v>
      </c>
      <c r="C1353">
        <v>2510</v>
      </c>
      <c r="D1353">
        <v>1352</v>
      </c>
      <c r="E1353">
        <v>9000</v>
      </c>
      <c r="F1353" t="s">
        <v>59</v>
      </c>
      <c r="G1353">
        <v>3</v>
      </c>
      <c r="H1353" t="s">
        <v>133</v>
      </c>
      <c r="I1353">
        <v>13</v>
      </c>
      <c r="J1353" s="54">
        <f t="shared" si="21"/>
        <v>3</v>
      </c>
    </row>
    <row r="1354" spans="1:10">
      <c r="A1354" s="43">
        <v>42906</v>
      </c>
      <c r="B1354">
        <v>2006</v>
      </c>
      <c r="C1354">
        <v>2529</v>
      </c>
      <c r="D1354">
        <v>1353</v>
      </c>
      <c r="E1354">
        <v>8950</v>
      </c>
      <c r="F1354" t="s">
        <v>59</v>
      </c>
      <c r="G1354">
        <v>10</v>
      </c>
      <c r="H1354" t="s">
        <v>133</v>
      </c>
      <c r="I1354">
        <v>13</v>
      </c>
      <c r="J1354" s="54">
        <f t="shared" si="21"/>
        <v>10</v>
      </c>
    </row>
    <row r="1355" spans="1:10">
      <c r="A1355" s="43">
        <v>42537</v>
      </c>
      <c r="B1355">
        <v>2006</v>
      </c>
      <c r="C1355">
        <v>2529</v>
      </c>
      <c r="D1355">
        <v>1354</v>
      </c>
      <c r="E1355">
        <v>7900</v>
      </c>
      <c r="F1355" t="s">
        <v>59</v>
      </c>
      <c r="G1355">
        <v>12</v>
      </c>
      <c r="H1355" t="s">
        <v>133</v>
      </c>
      <c r="I1355">
        <v>13</v>
      </c>
      <c r="J1355" s="54">
        <f t="shared" si="21"/>
        <v>12</v>
      </c>
    </row>
    <row r="1356" spans="1:10">
      <c r="A1356" s="43">
        <v>42423</v>
      </c>
      <c r="B1356">
        <v>2006</v>
      </c>
      <c r="C1356">
        <v>2529</v>
      </c>
      <c r="D1356">
        <v>1355</v>
      </c>
      <c r="E1356">
        <v>6000</v>
      </c>
      <c r="F1356" t="s">
        <v>59</v>
      </c>
      <c r="G1356">
        <v>9</v>
      </c>
      <c r="H1356" t="s">
        <v>133</v>
      </c>
      <c r="I1356">
        <v>13</v>
      </c>
      <c r="J1356" s="54">
        <f t="shared" si="21"/>
        <v>9</v>
      </c>
    </row>
    <row r="1357" spans="1:10">
      <c r="A1357" s="43">
        <v>42660</v>
      </c>
      <c r="B1357">
        <v>2010</v>
      </c>
      <c r="C1357">
        <v>2535</v>
      </c>
      <c r="D1357">
        <v>1356</v>
      </c>
      <c r="E1357">
        <v>5200</v>
      </c>
      <c r="F1357" t="s">
        <v>59</v>
      </c>
      <c r="G1357">
        <v>8</v>
      </c>
      <c r="H1357" t="s">
        <v>133</v>
      </c>
      <c r="I1357">
        <v>9</v>
      </c>
      <c r="J1357" s="54">
        <f t="shared" si="21"/>
        <v>8</v>
      </c>
    </row>
    <row r="1358" spans="1:10">
      <c r="A1358" s="43">
        <v>43599</v>
      </c>
      <c r="B1358">
        <v>2008</v>
      </c>
      <c r="C1358">
        <v>2546</v>
      </c>
      <c r="D1358">
        <v>1357</v>
      </c>
      <c r="E1358">
        <v>9500</v>
      </c>
      <c r="F1358" t="s">
        <v>59</v>
      </c>
      <c r="G1358">
        <v>4</v>
      </c>
      <c r="H1358" t="s">
        <v>133</v>
      </c>
      <c r="I1358">
        <v>11</v>
      </c>
      <c r="J1358" s="54">
        <f t="shared" si="21"/>
        <v>4</v>
      </c>
    </row>
    <row r="1359" spans="1:10">
      <c r="A1359" s="43">
        <v>43572</v>
      </c>
      <c r="B1359">
        <v>2008</v>
      </c>
      <c r="C1359">
        <v>2546</v>
      </c>
      <c r="D1359">
        <v>1358</v>
      </c>
      <c r="E1359">
        <v>8300</v>
      </c>
      <c r="F1359" t="s">
        <v>59</v>
      </c>
      <c r="G1359">
        <v>7</v>
      </c>
      <c r="H1359" t="s">
        <v>133</v>
      </c>
      <c r="I1359">
        <v>11</v>
      </c>
      <c r="J1359" s="54">
        <f t="shared" si="21"/>
        <v>7</v>
      </c>
    </row>
    <row r="1360" spans="1:10">
      <c r="A1360" s="43">
        <v>43564</v>
      </c>
      <c r="B1360">
        <v>2010</v>
      </c>
      <c r="C1360">
        <v>2546</v>
      </c>
      <c r="D1360">
        <v>1359</v>
      </c>
      <c r="E1360">
        <v>8500</v>
      </c>
      <c r="F1360" t="s">
        <v>59</v>
      </c>
      <c r="G1360">
        <v>12</v>
      </c>
      <c r="H1360" t="s">
        <v>133</v>
      </c>
      <c r="I1360">
        <v>9</v>
      </c>
      <c r="J1360" s="54">
        <f t="shared" si="21"/>
        <v>12</v>
      </c>
    </row>
    <row r="1361" spans="1:10">
      <c r="A1361" s="43">
        <v>43563</v>
      </c>
      <c r="B1361">
        <v>2010</v>
      </c>
      <c r="C1361">
        <v>2546</v>
      </c>
      <c r="D1361">
        <v>1360</v>
      </c>
      <c r="E1361">
        <v>8500</v>
      </c>
      <c r="F1361" t="s">
        <v>59</v>
      </c>
      <c r="G1361">
        <v>12</v>
      </c>
      <c r="H1361" t="s">
        <v>133</v>
      </c>
      <c r="I1361">
        <v>9</v>
      </c>
      <c r="J1361" s="54">
        <f t="shared" si="21"/>
        <v>12</v>
      </c>
    </row>
    <row r="1362" spans="1:10">
      <c r="A1362" s="43">
        <v>43549</v>
      </c>
      <c r="B1362">
        <v>2009</v>
      </c>
      <c r="C1362">
        <v>2546</v>
      </c>
      <c r="D1362">
        <v>1361</v>
      </c>
      <c r="E1362">
        <v>9000</v>
      </c>
      <c r="F1362" t="s">
        <v>59</v>
      </c>
      <c r="G1362">
        <v>4</v>
      </c>
      <c r="H1362" t="s">
        <v>133</v>
      </c>
      <c r="I1362">
        <v>10</v>
      </c>
      <c r="J1362" s="54">
        <f t="shared" si="21"/>
        <v>4</v>
      </c>
    </row>
    <row r="1363" spans="1:10">
      <c r="A1363" s="43">
        <v>43536</v>
      </c>
      <c r="B1363">
        <v>2010</v>
      </c>
      <c r="C1363">
        <v>2546</v>
      </c>
      <c r="D1363">
        <v>1362</v>
      </c>
      <c r="E1363">
        <v>9000</v>
      </c>
      <c r="F1363" t="s">
        <v>59</v>
      </c>
      <c r="G1363">
        <v>4</v>
      </c>
      <c r="H1363" t="s">
        <v>133</v>
      </c>
      <c r="I1363">
        <v>9</v>
      </c>
      <c r="J1363" s="54">
        <f t="shared" si="21"/>
        <v>4</v>
      </c>
    </row>
    <row r="1364" spans="1:10">
      <c r="A1364" s="43">
        <v>43533</v>
      </c>
      <c r="B1364">
        <v>2007</v>
      </c>
      <c r="C1364">
        <v>2546</v>
      </c>
      <c r="D1364">
        <v>1363</v>
      </c>
      <c r="E1364">
        <v>10000</v>
      </c>
      <c r="F1364" t="s">
        <v>59</v>
      </c>
      <c r="G1364">
        <v>4</v>
      </c>
      <c r="H1364" t="s">
        <v>133</v>
      </c>
      <c r="I1364">
        <v>12</v>
      </c>
      <c r="J1364" s="54">
        <f t="shared" si="21"/>
        <v>4</v>
      </c>
    </row>
    <row r="1365" spans="1:10">
      <c r="A1365" s="43">
        <v>43524</v>
      </c>
      <c r="B1365">
        <v>2008</v>
      </c>
      <c r="C1365">
        <v>2546</v>
      </c>
      <c r="D1365">
        <v>1364</v>
      </c>
      <c r="E1365">
        <v>10775</v>
      </c>
      <c r="F1365" t="s">
        <v>59</v>
      </c>
      <c r="G1365">
        <v>6</v>
      </c>
      <c r="H1365" t="s">
        <v>133</v>
      </c>
      <c r="I1365">
        <v>11</v>
      </c>
      <c r="J1365" s="54">
        <f t="shared" si="21"/>
        <v>6</v>
      </c>
    </row>
    <row r="1366" spans="1:10">
      <c r="A1366" s="43">
        <v>43439</v>
      </c>
      <c r="B1366">
        <v>2008</v>
      </c>
      <c r="C1366">
        <v>2546</v>
      </c>
      <c r="D1366">
        <v>1365</v>
      </c>
      <c r="E1366">
        <v>11950</v>
      </c>
      <c r="F1366" t="s">
        <v>59</v>
      </c>
      <c r="G1366">
        <v>15</v>
      </c>
      <c r="H1366" t="s">
        <v>133</v>
      </c>
      <c r="I1366">
        <v>11</v>
      </c>
      <c r="J1366" s="54">
        <f t="shared" si="21"/>
        <v>15</v>
      </c>
    </row>
    <row r="1367" spans="1:10">
      <c r="A1367" s="43">
        <v>43385</v>
      </c>
      <c r="B1367">
        <v>2008</v>
      </c>
      <c r="C1367">
        <v>2546</v>
      </c>
      <c r="D1367">
        <v>1366</v>
      </c>
      <c r="E1367">
        <v>12000</v>
      </c>
      <c r="F1367" t="s">
        <v>59</v>
      </c>
      <c r="G1367">
        <v>6</v>
      </c>
      <c r="H1367" t="s">
        <v>133</v>
      </c>
      <c r="I1367">
        <v>11</v>
      </c>
      <c r="J1367" s="54">
        <f t="shared" si="21"/>
        <v>6</v>
      </c>
    </row>
    <row r="1368" spans="1:10">
      <c r="A1368" s="43">
        <v>43252</v>
      </c>
      <c r="B1368">
        <v>2008</v>
      </c>
      <c r="C1368">
        <v>2546</v>
      </c>
      <c r="D1368">
        <v>1367</v>
      </c>
      <c r="E1368">
        <v>12500</v>
      </c>
      <c r="F1368" t="s">
        <v>59</v>
      </c>
      <c r="G1368">
        <v>9</v>
      </c>
      <c r="H1368" t="s">
        <v>133</v>
      </c>
      <c r="I1368">
        <v>11</v>
      </c>
      <c r="J1368" s="54">
        <f t="shared" si="21"/>
        <v>9</v>
      </c>
    </row>
    <row r="1369" spans="1:10">
      <c r="A1369" s="43">
        <v>43238</v>
      </c>
      <c r="B1369">
        <v>2007</v>
      </c>
      <c r="C1369">
        <v>2546</v>
      </c>
      <c r="D1369">
        <v>1368</v>
      </c>
      <c r="E1369">
        <v>12125</v>
      </c>
      <c r="F1369" t="s">
        <v>59</v>
      </c>
      <c r="G1369">
        <v>12</v>
      </c>
      <c r="H1369" t="s">
        <v>133</v>
      </c>
      <c r="I1369">
        <v>12</v>
      </c>
      <c r="J1369" s="54">
        <f t="shared" si="21"/>
        <v>12</v>
      </c>
    </row>
    <row r="1370" spans="1:10">
      <c r="A1370" s="43">
        <v>43235</v>
      </c>
      <c r="B1370">
        <v>2009</v>
      </c>
      <c r="C1370">
        <v>2546</v>
      </c>
      <c r="D1370">
        <v>1369</v>
      </c>
      <c r="E1370">
        <v>12125</v>
      </c>
      <c r="F1370" t="s">
        <v>59</v>
      </c>
      <c r="G1370">
        <v>12</v>
      </c>
      <c r="H1370" t="s">
        <v>133</v>
      </c>
      <c r="I1370">
        <v>10</v>
      </c>
      <c r="J1370" s="54">
        <f t="shared" si="21"/>
        <v>12</v>
      </c>
    </row>
    <row r="1371" spans="1:10">
      <c r="A1371" s="43">
        <v>43225</v>
      </c>
      <c r="B1371">
        <v>2008</v>
      </c>
      <c r="C1371">
        <v>2546</v>
      </c>
      <c r="D1371">
        <v>1370</v>
      </c>
      <c r="E1371">
        <v>11750</v>
      </c>
      <c r="F1371" t="s">
        <v>59</v>
      </c>
      <c r="G1371">
        <v>13</v>
      </c>
      <c r="H1371" t="s">
        <v>133</v>
      </c>
      <c r="I1371">
        <v>11</v>
      </c>
      <c r="J1371" s="54">
        <f t="shared" si="21"/>
        <v>13</v>
      </c>
    </row>
    <row r="1372" spans="1:10">
      <c r="A1372" s="43">
        <v>43096</v>
      </c>
      <c r="B1372">
        <v>2008</v>
      </c>
      <c r="C1372">
        <v>2546</v>
      </c>
      <c r="D1372">
        <v>1371</v>
      </c>
      <c r="E1372">
        <v>10950</v>
      </c>
      <c r="F1372" t="s">
        <v>59</v>
      </c>
      <c r="G1372">
        <v>12</v>
      </c>
      <c r="H1372" t="s">
        <v>133</v>
      </c>
      <c r="I1372">
        <v>11</v>
      </c>
      <c r="J1372" s="54">
        <f t="shared" si="21"/>
        <v>12</v>
      </c>
    </row>
    <row r="1373" spans="1:10">
      <c r="A1373" s="43">
        <v>43052</v>
      </c>
      <c r="B1373">
        <v>2009</v>
      </c>
      <c r="C1373">
        <v>2546</v>
      </c>
      <c r="D1373">
        <v>1372</v>
      </c>
      <c r="E1373">
        <v>8500</v>
      </c>
      <c r="F1373" t="s">
        <v>59</v>
      </c>
      <c r="G1373">
        <v>7</v>
      </c>
      <c r="H1373" t="s">
        <v>133</v>
      </c>
      <c r="I1373">
        <v>10</v>
      </c>
      <c r="J1373" s="54">
        <f t="shared" si="21"/>
        <v>7</v>
      </c>
    </row>
    <row r="1374" spans="1:10">
      <c r="A1374" s="43">
        <v>43049</v>
      </c>
      <c r="B1374">
        <v>2010</v>
      </c>
      <c r="C1374">
        <v>2546</v>
      </c>
      <c r="D1374">
        <v>1373</v>
      </c>
      <c r="E1374">
        <v>8500</v>
      </c>
      <c r="F1374" t="s">
        <v>59</v>
      </c>
      <c r="G1374">
        <v>5</v>
      </c>
      <c r="H1374" t="s">
        <v>133</v>
      </c>
      <c r="I1374">
        <v>9</v>
      </c>
      <c r="J1374" s="54">
        <f t="shared" si="21"/>
        <v>5</v>
      </c>
    </row>
    <row r="1375" spans="1:10">
      <c r="A1375" s="43">
        <v>43040</v>
      </c>
      <c r="B1375">
        <v>2008</v>
      </c>
      <c r="C1375">
        <v>2546</v>
      </c>
      <c r="D1375">
        <v>1374</v>
      </c>
      <c r="E1375">
        <v>9000</v>
      </c>
      <c r="F1375" t="s">
        <v>59</v>
      </c>
      <c r="G1375">
        <v>7</v>
      </c>
      <c r="H1375" t="s">
        <v>133</v>
      </c>
      <c r="I1375">
        <v>11</v>
      </c>
      <c r="J1375" s="54">
        <f t="shared" si="21"/>
        <v>7</v>
      </c>
    </row>
    <row r="1376" spans="1:10">
      <c r="A1376" s="43">
        <v>42968</v>
      </c>
      <c r="B1376">
        <v>2010</v>
      </c>
      <c r="C1376">
        <v>2546</v>
      </c>
      <c r="D1376">
        <v>1375</v>
      </c>
      <c r="E1376">
        <v>8400</v>
      </c>
      <c r="F1376" t="s">
        <v>59</v>
      </c>
      <c r="G1376">
        <v>7</v>
      </c>
      <c r="H1376" t="s">
        <v>133</v>
      </c>
      <c r="I1376">
        <v>9</v>
      </c>
      <c r="J1376" s="54">
        <f t="shared" si="21"/>
        <v>7</v>
      </c>
    </row>
    <row r="1377" spans="1:10">
      <c r="A1377" s="43">
        <v>42921</v>
      </c>
      <c r="B1377">
        <v>2008</v>
      </c>
      <c r="C1377">
        <v>2546</v>
      </c>
      <c r="D1377">
        <v>1376</v>
      </c>
      <c r="E1377">
        <v>8250</v>
      </c>
      <c r="F1377" t="s">
        <v>59</v>
      </c>
      <c r="G1377">
        <v>10</v>
      </c>
      <c r="H1377" t="s">
        <v>133</v>
      </c>
      <c r="I1377">
        <v>11</v>
      </c>
      <c r="J1377" s="54">
        <f t="shared" si="21"/>
        <v>10</v>
      </c>
    </row>
    <row r="1378" spans="1:10">
      <c r="A1378" s="43">
        <v>42916</v>
      </c>
      <c r="B1378">
        <v>2010</v>
      </c>
      <c r="C1378">
        <v>2546</v>
      </c>
      <c r="D1378">
        <v>1377</v>
      </c>
      <c r="E1378">
        <v>7750</v>
      </c>
      <c r="F1378" t="s">
        <v>59</v>
      </c>
      <c r="G1378">
        <v>5</v>
      </c>
      <c r="H1378" t="s">
        <v>133</v>
      </c>
      <c r="I1378">
        <v>9</v>
      </c>
      <c r="J1378" s="54">
        <f t="shared" si="21"/>
        <v>5</v>
      </c>
    </row>
    <row r="1379" spans="1:10">
      <c r="A1379" s="43">
        <v>42873</v>
      </c>
      <c r="B1379">
        <v>2008</v>
      </c>
      <c r="C1379">
        <v>2546</v>
      </c>
      <c r="D1379">
        <v>1378</v>
      </c>
      <c r="E1379">
        <v>10000</v>
      </c>
      <c r="F1379" t="s">
        <v>59</v>
      </c>
      <c r="G1379">
        <v>6</v>
      </c>
      <c r="H1379" t="s">
        <v>133</v>
      </c>
      <c r="I1379">
        <v>11</v>
      </c>
      <c r="J1379" s="54">
        <f t="shared" si="21"/>
        <v>6</v>
      </c>
    </row>
    <row r="1380" spans="1:10">
      <c r="A1380" s="43">
        <v>42860</v>
      </c>
      <c r="B1380">
        <v>2009</v>
      </c>
      <c r="C1380">
        <v>2546</v>
      </c>
      <c r="D1380">
        <v>1379</v>
      </c>
      <c r="E1380">
        <v>9400</v>
      </c>
      <c r="F1380" t="s">
        <v>59</v>
      </c>
      <c r="G1380">
        <v>6</v>
      </c>
      <c r="H1380" t="s">
        <v>133</v>
      </c>
      <c r="I1380">
        <v>10</v>
      </c>
      <c r="J1380" s="54">
        <f t="shared" si="21"/>
        <v>6</v>
      </c>
    </row>
    <row r="1381" spans="1:10">
      <c r="A1381" s="43">
        <v>42836</v>
      </c>
      <c r="B1381">
        <v>2010</v>
      </c>
      <c r="C1381">
        <v>2546</v>
      </c>
      <c r="D1381">
        <v>1380</v>
      </c>
      <c r="E1381">
        <v>8500</v>
      </c>
      <c r="F1381" t="s">
        <v>59</v>
      </c>
      <c r="G1381">
        <v>4</v>
      </c>
      <c r="H1381" t="s">
        <v>133</v>
      </c>
      <c r="I1381">
        <v>9</v>
      </c>
      <c r="J1381" s="54">
        <f t="shared" si="21"/>
        <v>4</v>
      </c>
    </row>
    <row r="1382" spans="1:10">
      <c r="A1382" s="43">
        <v>42829</v>
      </c>
      <c r="B1382">
        <v>2008</v>
      </c>
      <c r="C1382">
        <v>2546</v>
      </c>
      <c r="D1382">
        <v>1381</v>
      </c>
      <c r="E1382">
        <v>10000</v>
      </c>
      <c r="F1382" t="s">
        <v>59</v>
      </c>
      <c r="G1382">
        <v>12</v>
      </c>
      <c r="H1382" t="s">
        <v>133</v>
      </c>
      <c r="I1382">
        <v>11</v>
      </c>
      <c r="J1382" s="54">
        <f t="shared" si="21"/>
        <v>12</v>
      </c>
    </row>
    <row r="1383" spans="1:10">
      <c r="A1383" s="43">
        <v>42809</v>
      </c>
      <c r="B1383">
        <v>2007</v>
      </c>
      <c r="C1383">
        <v>2546</v>
      </c>
      <c r="D1383">
        <v>1382</v>
      </c>
      <c r="E1383">
        <v>9000</v>
      </c>
      <c r="F1383" t="s">
        <v>59</v>
      </c>
      <c r="G1383">
        <v>5</v>
      </c>
      <c r="H1383" t="s">
        <v>134</v>
      </c>
      <c r="I1383">
        <v>12</v>
      </c>
      <c r="J1383" s="54">
        <f t="shared" si="21"/>
        <v>60</v>
      </c>
    </row>
    <row r="1384" spans="1:10">
      <c r="A1384" s="43">
        <v>42681</v>
      </c>
      <c r="B1384">
        <v>2009</v>
      </c>
      <c r="C1384">
        <v>2546</v>
      </c>
      <c r="D1384">
        <v>1383</v>
      </c>
      <c r="E1384">
        <v>5500</v>
      </c>
      <c r="F1384" t="s">
        <v>59</v>
      </c>
      <c r="G1384">
        <v>6</v>
      </c>
      <c r="H1384" t="s">
        <v>133</v>
      </c>
      <c r="I1384">
        <v>10</v>
      </c>
      <c r="J1384" s="54">
        <f t="shared" si="21"/>
        <v>6</v>
      </c>
    </row>
    <row r="1385" spans="1:10">
      <c r="A1385" s="43">
        <v>42670</v>
      </c>
      <c r="B1385">
        <v>2010</v>
      </c>
      <c r="C1385">
        <v>2546</v>
      </c>
      <c r="D1385">
        <v>1384</v>
      </c>
      <c r="E1385">
        <v>5500</v>
      </c>
      <c r="F1385" t="s">
        <v>59</v>
      </c>
      <c r="G1385">
        <v>7</v>
      </c>
      <c r="H1385" t="s">
        <v>133</v>
      </c>
      <c r="I1385">
        <v>9</v>
      </c>
      <c r="J1385" s="54">
        <f t="shared" si="21"/>
        <v>7</v>
      </c>
    </row>
    <row r="1386" spans="1:10">
      <c r="A1386" s="43">
        <v>42612</v>
      </c>
      <c r="B1386">
        <v>2008</v>
      </c>
      <c r="C1386">
        <v>2546</v>
      </c>
      <c r="D1386">
        <v>1385</v>
      </c>
      <c r="E1386">
        <v>6000</v>
      </c>
      <c r="F1386" t="s">
        <v>59</v>
      </c>
      <c r="G1386">
        <v>9</v>
      </c>
      <c r="H1386" t="s">
        <v>133</v>
      </c>
      <c r="I1386">
        <v>11</v>
      </c>
      <c r="J1386" s="54">
        <f t="shared" si="21"/>
        <v>9</v>
      </c>
    </row>
    <row r="1387" spans="1:10">
      <c r="A1387" s="43">
        <v>42583</v>
      </c>
      <c r="B1387">
        <v>2008</v>
      </c>
      <c r="C1387">
        <v>2546</v>
      </c>
      <c r="D1387">
        <v>1386</v>
      </c>
      <c r="E1387">
        <v>11000</v>
      </c>
      <c r="F1387" t="s">
        <v>59</v>
      </c>
      <c r="G1387">
        <v>12</v>
      </c>
      <c r="H1387" t="s">
        <v>133</v>
      </c>
      <c r="I1387">
        <v>11</v>
      </c>
      <c r="J1387" s="54">
        <f t="shared" si="21"/>
        <v>12</v>
      </c>
    </row>
    <row r="1388" spans="1:10">
      <c r="A1388" s="43">
        <v>42583</v>
      </c>
      <c r="B1388">
        <v>2006</v>
      </c>
      <c r="C1388">
        <v>2546</v>
      </c>
      <c r="D1388">
        <v>1387</v>
      </c>
      <c r="E1388">
        <v>11000</v>
      </c>
      <c r="F1388" t="s">
        <v>59</v>
      </c>
      <c r="G1388">
        <v>12</v>
      </c>
      <c r="H1388" t="s">
        <v>133</v>
      </c>
      <c r="I1388">
        <v>13</v>
      </c>
      <c r="J1388" s="54">
        <f t="shared" si="21"/>
        <v>12</v>
      </c>
    </row>
    <row r="1389" spans="1:10">
      <c r="A1389" s="43">
        <v>42578</v>
      </c>
      <c r="B1389">
        <v>2006</v>
      </c>
      <c r="C1389">
        <v>2546</v>
      </c>
      <c r="D1389">
        <v>1388</v>
      </c>
      <c r="E1389">
        <v>5500</v>
      </c>
      <c r="F1389" t="s">
        <v>59</v>
      </c>
      <c r="G1389">
        <v>3</v>
      </c>
      <c r="H1389" t="s">
        <v>133</v>
      </c>
      <c r="I1389">
        <v>13</v>
      </c>
      <c r="J1389" s="54">
        <f t="shared" si="21"/>
        <v>3</v>
      </c>
    </row>
    <row r="1390" spans="1:10">
      <c r="A1390" s="43">
        <v>42571</v>
      </c>
      <c r="B1390">
        <v>2008</v>
      </c>
      <c r="C1390">
        <v>2546</v>
      </c>
      <c r="D1390">
        <v>1389</v>
      </c>
      <c r="E1390">
        <v>6000</v>
      </c>
      <c r="F1390" t="s">
        <v>59</v>
      </c>
      <c r="G1390">
        <v>9</v>
      </c>
      <c r="H1390" t="s">
        <v>133</v>
      </c>
      <c r="I1390">
        <v>11</v>
      </c>
      <c r="J1390" s="54">
        <f t="shared" si="21"/>
        <v>9</v>
      </c>
    </row>
    <row r="1391" spans="1:10">
      <c r="A1391" s="43">
        <v>42559</v>
      </c>
      <c r="B1391">
        <v>2010</v>
      </c>
      <c r="C1391">
        <v>2546</v>
      </c>
      <c r="D1391">
        <v>1390</v>
      </c>
      <c r="E1391">
        <v>5500</v>
      </c>
      <c r="F1391" t="s">
        <v>59</v>
      </c>
      <c r="G1391">
        <v>9</v>
      </c>
      <c r="H1391" t="s">
        <v>133</v>
      </c>
      <c r="I1391">
        <v>9</v>
      </c>
      <c r="J1391" s="54">
        <f t="shared" si="21"/>
        <v>9</v>
      </c>
    </row>
    <row r="1392" spans="1:10">
      <c r="A1392" s="43">
        <v>42542</v>
      </c>
      <c r="B1392">
        <v>2006</v>
      </c>
      <c r="C1392">
        <v>2546</v>
      </c>
      <c r="D1392">
        <v>1391</v>
      </c>
      <c r="E1392">
        <v>9000</v>
      </c>
      <c r="F1392" t="s">
        <v>59</v>
      </c>
      <c r="G1392">
        <v>12</v>
      </c>
      <c r="H1392" t="s">
        <v>133</v>
      </c>
      <c r="I1392">
        <v>13</v>
      </c>
      <c r="J1392" s="54">
        <f t="shared" si="21"/>
        <v>12</v>
      </c>
    </row>
    <row r="1393" spans="1:10">
      <c r="A1393" s="43">
        <v>42536</v>
      </c>
      <c r="B1393">
        <v>2008</v>
      </c>
      <c r="C1393">
        <v>2546</v>
      </c>
      <c r="D1393">
        <v>1392</v>
      </c>
      <c r="E1393">
        <v>6000</v>
      </c>
      <c r="F1393" t="s">
        <v>59</v>
      </c>
      <c r="G1393">
        <v>12</v>
      </c>
      <c r="H1393" t="s">
        <v>133</v>
      </c>
      <c r="I1393">
        <v>11</v>
      </c>
      <c r="J1393" s="54">
        <f t="shared" si="21"/>
        <v>12</v>
      </c>
    </row>
    <row r="1394" spans="1:10">
      <c r="A1394" s="43">
        <v>42536</v>
      </c>
      <c r="B1394">
        <v>2008</v>
      </c>
      <c r="C1394">
        <v>2546</v>
      </c>
      <c r="D1394">
        <v>1393</v>
      </c>
      <c r="E1394">
        <v>6000</v>
      </c>
      <c r="F1394" t="s">
        <v>59</v>
      </c>
      <c r="G1394">
        <v>4</v>
      </c>
      <c r="H1394" t="s">
        <v>133</v>
      </c>
      <c r="I1394">
        <v>11</v>
      </c>
      <c r="J1394" s="54">
        <f t="shared" si="21"/>
        <v>4</v>
      </c>
    </row>
    <row r="1395" spans="1:10">
      <c r="A1395" s="43">
        <v>42491</v>
      </c>
      <c r="B1395">
        <v>2007</v>
      </c>
      <c r="C1395">
        <v>2546</v>
      </c>
      <c r="D1395">
        <v>1394</v>
      </c>
      <c r="E1395">
        <v>9625</v>
      </c>
      <c r="F1395" t="s">
        <v>59</v>
      </c>
      <c r="G1395">
        <v>12</v>
      </c>
      <c r="H1395" t="s">
        <v>133</v>
      </c>
      <c r="I1395">
        <v>12</v>
      </c>
      <c r="J1395" s="54">
        <f t="shared" si="21"/>
        <v>12</v>
      </c>
    </row>
    <row r="1396" spans="1:10">
      <c r="A1396" s="43">
        <v>42482</v>
      </c>
      <c r="B1396">
        <v>2007</v>
      </c>
      <c r="C1396">
        <v>2546</v>
      </c>
      <c r="D1396">
        <v>1395</v>
      </c>
      <c r="E1396">
        <v>9500</v>
      </c>
      <c r="F1396" t="s">
        <v>59</v>
      </c>
      <c r="G1396">
        <v>12</v>
      </c>
      <c r="H1396" t="s">
        <v>133</v>
      </c>
      <c r="I1396">
        <v>12</v>
      </c>
      <c r="J1396" s="54">
        <f t="shared" si="21"/>
        <v>12</v>
      </c>
    </row>
    <row r="1397" spans="1:10">
      <c r="A1397" s="43">
        <v>42467</v>
      </c>
      <c r="B1397">
        <v>2008</v>
      </c>
      <c r="C1397">
        <v>2546</v>
      </c>
      <c r="D1397">
        <v>1396</v>
      </c>
      <c r="E1397">
        <v>6300</v>
      </c>
      <c r="F1397" t="s">
        <v>59</v>
      </c>
      <c r="G1397">
        <v>7</v>
      </c>
      <c r="H1397" t="s">
        <v>133</v>
      </c>
      <c r="I1397">
        <v>11</v>
      </c>
      <c r="J1397" s="54">
        <f t="shared" si="21"/>
        <v>7</v>
      </c>
    </row>
    <row r="1398" spans="1:10">
      <c r="A1398" s="43">
        <v>42425</v>
      </c>
      <c r="B1398">
        <v>2007</v>
      </c>
      <c r="C1398">
        <v>2546</v>
      </c>
      <c r="D1398">
        <v>1397</v>
      </c>
      <c r="E1398">
        <v>6500</v>
      </c>
      <c r="F1398" t="s">
        <v>59</v>
      </c>
      <c r="G1398">
        <v>6</v>
      </c>
      <c r="H1398" t="s">
        <v>133</v>
      </c>
      <c r="I1398">
        <v>12</v>
      </c>
      <c r="J1398" s="54">
        <f t="shared" si="21"/>
        <v>6</v>
      </c>
    </row>
    <row r="1399" spans="1:10">
      <c r="A1399" s="43">
        <v>42423</v>
      </c>
      <c r="B1399">
        <v>2008</v>
      </c>
      <c r="C1399">
        <v>2546</v>
      </c>
      <c r="D1399">
        <v>1398</v>
      </c>
      <c r="E1399">
        <v>6000</v>
      </c>
      <c r="F1399" t="s">
        <v>59</v>
      </c>
      <c r="G1399">
        <v>9</v>
      </c>
      <c r="H1399" t="s">
        <v>133</v>
      </c>
      <c r="I1399">
        <v>11</v>
      </c>
      <c r="J1399" s="54">
        <f t="shared" si="21"/>
        <v>9</v>
      </c>
    </row>
    <row r="1400" spans="1:10">
      <c r="A1400" s="43">
        <v>42423</v>
      </c>
      <c r="B1400">
        <v>2010</v>
      </c>
      <c r="C1400">
        <v>2546</v>
      </c>
      <c r="D1400">
        <v>1399</v>
      </c>
      <c r="E1400">
        <v>6000</v>
      </c>
      <c r="F1400" t="s">
        <v>59</v>
      </c>
      <c r="G1400">
        <v>9</v>
      </c>
      <c r="H1400" t="s">
        <v>133</v>
      </c>
      <c r="I1400">
        <v>9</v>
      </c>
      <c r="J1400" s="54">
        <f t="shared" si="21"/>
        <v>9</v>
      </c>
    </row>
    <row r="1401" spans="1:10">
      <c r="A1401" s="43">
        <v>43563</v>
      </c>
      <c r="B1401">
        <v>2007</v>
      </c>
      <c r="C1401">
        <v>2553</v>
      </c>
      <c r="D1401">
        <v>1400</v>
      </c>
      <c r="E1401">
        <v>8800</v>
      </c>
      <c r="F1401" t="s">
        <v>59</v>
      </c>
      <c r="G1401">
        <v>3</v>
      </c>
      <c r="H1401" t="s">
        <v>133</v>
      </c>
      <c r="I1401">
        <v>12</v>
      </c>
      <c r="J1401" s="54">
        <f t="shared" si="21"/>
        <v>3</v>
      </c>
    </row>
    <row r="1402" spans="1:10">
      <c r="A1402" s="43">
        <v>43551</v>
      </c>
      <c r="B1402">
        <v>2007</v>
      </c>
      <c r="C1402">
        <v>2553</v>
      </c>
      <c r="D1402">
        <v>1401</v>
      </c>
      <c r="E1402">
        <v>9000</v>
      </c>
      <c r="F1402" t="s">
        <v>59</v>
      </c>
      <c r="G1402">
        <v>9</v>
      </c>
      <c r="H1402" t="s">
        <v>133</v>
      </c>
      <c r="I1402">
        <v>12</v>
      </c>
      <c r="J1402" s="54">
        <f t="shared" si="21"/>
        <v>9</v>
      </c>
    </row>
    <row r="1403" spans="1:10">
      <c r="A1403" s="43">
        <v>43453</v>
      </c>
      <c r="B1403">
        <v>2007</v>
      </c>
      <c r="C1403">
        <v>2553</v>
      </c>
      <c r="D1403">
        <v>1402</v>
      </c>
      <c r="E1403">
        <v>9000</v>
      </c>
      <c r="F1403" t="s">
        <v>59</v>
      </c>
      <c r="G1403">
        <v>7</v>
      </c>
      <c r="H1403" t="s">
        <v>133</v>
      </c>
      <c r="I1403">
        <v>12</v>
      </c>
      <c r="J1403" s="54">
        <f t="shared" si="21"/>
        <v>7</v>
      </c>
    </row>
    <row r="1404" spans="1:10">
      <c r="A1404" s="43">
        <v>43374</v>
      </c>
      <c r="B1404">
        <v>2007</v>
      </c>
      <c r="C1404">
        <v>2553</v>
      </c>
      <c r="D1404">
        <v>1403</v>
      </c>
      <c r="E1404">
        <v>9500</v>
      </c>
      <c r="F1404" t="s">
        <v>59</v>
      </c>
      <c r="G1404">
        <v>7</v>
      </c>
      <c r="H1404" t="s">
        <v>133</v>
      </c>
      <c r="I1404">
        <v>12</v>
      </c>
      <c r="J1404" s="54">
        <f t="shared" si="21"/>
        <v>7</v>
      </c>
    </row>
    <row r="1405" spans="1:10">
      <c r="A1405" s="43">
        <v>43031</v>
      </c>
      <c r="B1405">
        <v>2007</v>
      </c>
      <c r="C1405">
        <v>2553</v>
      </c>
      <c r="D1405">
        <v>1404</v>
      </c>
      <c r="E1405">
        <v>9000</v>
      </c>
      <c r="F1405" t="s">
        <v>59</v>
      </c>
      <c r="G1405">
        <v>7</v>
      </c>
      <c r="H1405" t="s">
        <v>133</v>
      </c>
      <c r="I1405">
        <v>12</v>
      </c>
      <c r="J1405" s="54">
        <f t="shared" si="21"/>
        <v>7</v>
      </c>
    </row>
    <row r="1406" spans="1:10">
      <c r="A1406" s="43">
        <v>42765</v>
      </c>
      <c r="B1406">
        <v>2007</v>
      </c>
      <c r="C1406">
        <v>2553</v>
      </c>
      <c r="D1406">
        <v>1405</v>
      </c>
      <c r="E1406">
        <v>6000</v>
      </c>
      <c r="F1406" t="s">
        <v>59</v>
      </c>
      <c r="G1406">
        <v>12</v>
      </c>
      <c r="H1406" t="s">
        <v>133</v>
      </c>
      <c r="I1406">
        <v>12</v>
      </c>
      <c r="J1406" s="54">
        <f t="shared" si="21"/>
        <v>12</v>
      </c>
    </row>
    <row r="1407" spans="1:10">
      <c r="A1407" s="43">
        <v>42697</v>
      </c>
      <c r="B1407">
        <v>2007</v>
      </c>
      <c r="C1407">
        <v>2553</v>
      </c>
      <c r="D1407">
        <v>1406</v>
      </c>
      <c r="E1407">
        <v>5500</v>
      </c>
      <c r="F1407" t="s">
        <v>59</v>
      </c>
      <c r="G1407">
        <v>11</v>
      </c>
      <c r="H1407" t="s">
        <v>133</v>
      </c>
      <c r="I1407">
        <v>12</v>
      </c>
      <c r="J1407" s="54">
        <f t="shared" si="21"/>
        <v>11</v>
      </c>
    </row>
    <row r="1408" spans="1:10">
      <c r="A1408" s="43">
        <v>42517</v>
      </c>
      <c r="B1408">
        <v>2006</v>
      </c>
      <c r="C1408">
        <v>2556</v>
      </c>
      <c r="D1408">
        <v>1407</v>
      </c>
      <c r="E1408">
        <v>11600</v>
      </c>
      <c r="F1408" t="s">
        <v>59</v>
      </c>
      <c r="G1408">
        <v>3</v>
      </c>
      <c r="H1408" t="s">
        <v>134</v>
      </c>
      <c r="I1408">
        <v>13</v>
      </c>
      <c r="J1408" s="54">
        <f t="shared" si="21"/>
        <v>36</v>
      </c>
    </row>
    <row r="1409" spans="1:10">
      <c r="A1409" s="43">
        <v>43539</v>
      </c>
      <c r="B1409">
        <v>2009</v>
      </c>
      <c r="C1409">
        <v>2564</v>
      </c>
      <c r="D1409">
        <v>1408</v>
      </c>
      <c r="E1409">
        <v>8500</v>
      </c>
      <c r="F1409" t="s">
        <v>59</v>
      </c>
      <c r="G1409">
        <v>9</v>
      </c>
      <c r="H1409" t="s">
        <v>133</v>
      </c>
      <c r="I1409">
        <v>10</v>
      </c>
      <c r="J1409" s="54">
        <f t="shared" si="21"/>
        <v>9</v>
      </c>
    </row>
    <row r="1410" spans="1:10">
      <c r="A1410" s="43">
        <v>43174</v>
      </c>
      <c r="B1410">
        <v>2008</v>
      </c>
      <c r="C1410">
        <v>2564</v>
      </c>
      <c r="D1410">
        <v>1409</v>
      </c>
      <c r="E1410">
        <v>11400</v>
      </c>
      <c r="F1410" t="s">
        <v>59</v>
      </c>
      <c r="G1410">
        <v>12</v>
      </c>
      <c r="H1410" t="s">
        <v>133</v>
      </c>
      <c r="I1410">
        <v>11</v>
      </c>
      <c r="J1410" s="54">
        <f t="shared" ref="J1410:J1473" si="22">IF(H1410="days",ROUND(G1410/30,0),IF(H1410="years",G1410*12,G1410))</f>
        <v>12</v>
      </c>
    </row>
    <row r="1411" spans="1:10">
      <c r="A1411" s="43">
        <v>43045</v>
      </c>
      <c r="B1411">
        <v>2009</v>
      </c>
      <c r="C1411">
        <v>2564</v>
      </c>
      <c r="D1411">
        <v>1410</v>
      </c>
      <c r="E1411">
        <v>9250</v>
      </c>
      <c r="F1411" t="s">
        <v>59</v>
      </c>
      <c r="G1411">
        <v>8</v>
      </c>
      <c r="H1411" t="s">
        <v>133</v>
      </c>
      <c r="I1411">
        <v>10</v>
      </c>
      <c r="J1411" s="54">
        <f t="shared" si="22"/>
        <v>8</v>
      </c>
    </row>
    <row r="1412" spans="1:10">
      <c r="A1412" s="43">
        <v>42978</v>
      </c>
      <c r="B1412">
        <v>2008</v>
      </c>
      <c r="C1412">
        <v>2564</v>
      </c>
      <c r="D1412">
        <v>1411</v>
      </c>
      <c r="E1412">
        <v>9250</v>
      </c>
      <c r="F1412" t="s">
        <v>59</v>
      </c>
      <c r="G1412">
        <v>7</v>
      </c>
      <c r="H1412" t="s">
        <v>133</v>
      </c>
      <c r="I1412">
        <v>11</v>
      </c>
      <c r="J1412" s="54">
        <f t="shared" si="22"/>
        <v>7</v>
      </c>
    </row>
    <row r="1413" spans="1:10">
      <c r="A1413" s="43">
        <v>42740</v>
      </c>
      <c r="B1413">
        <v>2008</v>
      </c>
      <c r="C1413">
        <v>2564</v>
      </c>
      <c r="D1413">
        <v>1412</v>
      </c>
      <c r="E1413">
        <v>6250</v>
      </c>
      <c r="F1413" t="s">
        <v>59</v>
      </c>
      <c r="G1413">
        <v>6</v>
      </c>
      <c r="H1413" t="s">
        <v>133</v>
      </c>
      <c r="I1413">
        <v>11</v>
      </c>
      <c r="J1413" s="54">
        <f t="shared" si="22"/>
        <v>6</v>
      </c>
    </row>
    <row r="1414" spans="1:10">
      <c r="A1414" s="43">
        <v>42688</v>
      </c>
      <c r="B1414">
        <v>2009</v>
      </c>
      <c r="C1414">
        <v>2564</v>
      </c>
      <c r="D1414">
        <v>1413</v>
      </c>
      <c r="E1414">
        <v>5300</v>
      </c>
      <c r="F1414" t="s">
        <v>59</v>
      </c>
      <c r="G1414">
        <v>12</v>
      </c>
      <c r="H1414" t="s">
        <v>133</v>
      </c>
      <c r="I1414">
        <v>10</v>
      </c>
      <c r="J1414" s="54">
        <f t="shared" si="22"/>
        <v>12</v>
      </c>
    </row>
    <row r="1415" spans="1:10">
      <c r="A1415" s="43">
        <v>43587</v>
      </c>
      <c r="B1415">
        <v>2006</v>
      </c>
      <c r="C1415">
        <v>2566</v>
      </c>
      <c r="D1415">
        <v>1414</v>
      </c>
      <c r="E1415">
        <v>9000</v>
      </c>
      <c r="F1415" t="s">
        <v>59</v>
      </c>
      <c r="G1415">
        <v>5</v>
      </c>
      <c r="H1415" t="s">
        <v>133</v>
      </c>
      <c r="I1415">
        <v>13</v>
      </c>
      <c r="J1415" s="54">
        <f t="shared" si="22"/>
        <v>5</v>
      </c>
    </row>
    <row r="1416" spans="1:10">
      <c r="A1416" s="43">
        <v>43507</v>
      </c>
      <c r="B1416">
        <v>2007</v>
      </c>
      <c r="C1416">
        <v>2566</v>
      </c>
      <c r="D1416">
        <v>1415</v>
      </c>
      <c r="E1416">
        <v>10500</v>
      </c>
      <c r="F1416" t="s">
        <v>59</v>
      </c>
      <c r="G1416">
        <v>6</v>
      </c>
      <c r="H1416" t="s">
        <v>133</v>
      </c>
      <c r="I1416">
        <v>12</v>
      </c>
      <c r="J1416" s="54">
        <f t="shared" si="22"/>
        <v>6</v>
      </c>
    </row>
    <row r="1417" spans="1:10">
      <c r="A1417" s="43">
        <v>43475</v>
      </c>
      <c r="B1417">
        <v>2006</v>
      </c>
      <c r="C1417">
        <v>2566</v>
      </c>
      <c r="D1417">
        <v>1416</v>
      </c>
      <c r="E1417">
        <v>9350</v>
      </c>
      <c r="F1417" t="s">
        <v>59</v>
      </c>
      <c r="G1417">
        <v>5</v>
      </c>
      <c r="H1417" t="s">
        <v>133</v>
      </c>
      <c r="I1417">
        <v>13</v>
      </c>
      <c r="J1417" s="54">
        <f t="shared" si="22"/>
        <v>5</v>
      </c>
    </row>
    <row r="1418" spans="1:10">
      <c r="A1418" s="43">
        <v>43361</v>
      </c>
      <c r="B1418">
        <v>2007</v>
      </c>
      <c r="C1418">
        <v>2566</v>
      </c>
      <c r="D1418">
        <v>1417</v>
      </c>
      <c r="E1418">
        <v>12000</v>
      </c>
      <c r="F1418" t="s">
        <v>59</v>
      </c>
      <c r="G1418">
        <v>8</v>
      </c>
      <c r="H1418" t="s">
        <v>133</v>
      </c>
      <c r="I1418">
        <v>12</v>
      </c>
      <c r="J1418" s="54">
        <f t="shared" si="22"/>
        <v>8</v>
      </c>
    </row>
    <row r="1419" spans="1:10">
      <c r="A1419" s="43">
        <v>43245</v>
      </c>
      <c r="B1419">
        <v>2007</v>
      </c>
      <c r="C1419">
        <v>2566</v>
      </c>
      <c r="D1419">
        <v>1418</v>
      </c>
      <c r="E1419">
        <v>12750</v>
      </c>
      <c r="F1419" t="s">
        <v>59</v>
      </c>
      <c r="G1419">
        <v>5</v>
      </c>
      <c r="H1419" t="s">
        <v>133</v>
      </c>
      <c r="I1419">
        <v>12</v>
      </c>
      <c r="J1419" s="54">
        <f t="shared" si="22"/>
        <v>5</v>
      </c>
    </row>
    <row r="1420" spans="1:10">
      <c r="A1420" s="43">
        <v>43191</v>
      </c>
      <c r="B1420">
        <v>2006</v>
      </c>
      <c r="C1420">
        <v>2566</v>
      </c>
      <c r="D1420">
        <v>1419</v>
      </c>
      <c r="E1420">
        <v>11200</v>
      </c>
      <c r="F1420" t="s">
        <v>59</v>
      </c>
      <c r="G1420">
        <v>17</v>
      </c>
      <c r="H1420" t="s">
        <v>133</v>
      </c>
      <c r="I1420">
        <v>13</v>
      </c>
      <c r="J1420" s="54">
        <f t="shared" si="22"/>
        <v>17</v>
      </c>
    </row>
    <row r="1421" spans="1:10">
      <c r="A1421" s="43">
        <v>43185</v>
      </c>
      <c r="B1421">
        <v>2006</v>
      </c>
      <c r="C1421">
        <v>2566</v>
      </c>
      <c r="D1421">
        <v>1420</v>
      </c>
      <c r="E1421">
        <v>10450</v>
      </c>
      <c r="F1421" t="s">
        <v>59</v>
      </c>
      <c r="G1421">
        <v>12</v>
      </c>
      <c r="H1421" t="s">
        <v>133</v>
      </c>
      <c r="I1421">
        <v>13</v>
      </c>
      <c r="J1421" s="54">
        <f t="shared" si="22"/>
        <v>12</v>
      </c>
    </row>
    <row r="1422" spans="1:10">
      <c r="A1422" s="43">
        <v>43038</v>
      </c>
      <c r="B1422">
        <v>2007</v>
      </c>
      <c r="C1422">
        <v>2566</v>
      </c>
      <c r="D1422">
        <v>1421</v>
      </c>
      <c r="E1422">
        <v>9100</v>
      </c>
      <c r="F1422" t="s">
        <v>59</v>
      </c>
      <c r="G1422">
        <v>7</v>
      </c>
      <c r="H1422" t="s">
        <v>133</v>
      </c>
      <c r="I1422">
        <v>12</v>
      </c>
      <c r="J1422" s="54">
        <f t="shared" si="22"/>
        <v>7</v>
      </c>
    </row>
    <row r="1423" spans="1:10">
      <c r="A1423" s="43">
        <v>42970</v>
      </c>
      <c r="B1423">
        <v>2006</v>
      </c>
      <c r="C1423">
        <v>2566</v>
      </c>
      <c r="D1423">
        <v>1422</v>
      </c>
      <c r="E1423">
        <v>8500</v>
      </c>
      <c r="F1423" t="s">
        <v>59</v>
      </c>
      <c r="G1423">
        <v>7</v>
      </c>
      <c r="H1423" t="s">
        <v>133</v>
      </c>
      <c r="I1423">
        <v>13</v>
      </c>
      <c r="J1423" s="54">
        <f t="shared" si="22"/>
        <v>7</v>
      </c>
    </row>
    <row r="1424" spans="1:10">
      <c r="A1424" s="43">
        <v>42853</v>
      </c>
      <c r="B1424">
        <v>2006</v>
      </c>
      <c r="C1424">
        <v>2566</v>
      </c>
      <c r="D1424">
        <v>1423</v>
      </c>
      <c r="E1424">
        <v>9500</v>
      </c>
      <c r="F1424" t="s">
        <v>59</v>
      </c>
      <c r="G1424">
        <v>12</v>
      </c>
      <c r="H1424" t="s">
        <v>133</v>
      </c>
      <c r="I1424">
        <v>13</v>
      </c>
      <c r="J1424" s="54">
        <f t="shared" si="22"/>
        <v>12</v>
      </c>
    </row>
    <row r="1425" spans="1:10">
      <c r="A1425" s="43">
        <v>42779</v>
      </c>
      <c r="B1425">
        <v>2007</v>
      </c>
      <c r="C1425">
        <v>2566</v>
      </c>
      <c r="D1425">
        <v>1424</v>
      </c>
      <c r="E1425">
        <v>6950</v>
      </c>
      <c r="F1425" t="s">
        <v>59</v>
      </c>
      <c r="G1425">
        <v>9</v>
      </c>
      <c r="H1425" t="s">
        <v>133</v>
      </c>
      <c r="I1425">
        <v>12</v>
      </c>
      <c r="J1425" s="54">
        <f t="shared" si="22"/>
        <v>9</v>
      </c>
    </row>
    <row r="1426" spans="1:10">
      <c r="A1426" s="43">
        <v>42683</v>
      </c>
      <c r="B1426">
        <v>2006</v>
      </c>
      <c r="C1426">
        <v>2566</v>
      </c>
      <c r="D1426">
        <v>1425</v>
      </c>
      <c r="E1426">
        <v>5500</v>
      </c>
      <c r="F1426" t="s">
        <v>59</v>
      </c>
      <c r="G1426">
        <v>10</v>
      </c>
      <c r="H1426" t="s">
        <v>133</v>
      </c>
      <c r="I1426">
        <v>13</v>
      </c>
      <c r="J1426" s="54">
        <f t="shared" si="22"/>
        <v>10</v>
      </c>
    </row>
    <row r="1427" spans="1:10">
      <c r="A1427" s="43">
        <v>42676</v>
      </c>
      <c r="B1427">
        <v>2007</v>
      </c>
      <c r="C1427">
        <v>2566</v>
      </c>
      <c r="D1427">
        <v>1426</v>
      </c>
      <c r="E1427">
        <v>5500</v>
      </c>
      <c r="F1427" t="s">
        <v>59</v>
      </c>
      <c r="G1427">
        <v>10</v>
      </c>
      <c r="H1427" t="s">
        <v>133</v>
      </c>
      <c r="I1427">
        <v>12</v>
      </c>
      <c r="J1427" s="54">
        <f t="shared" si="22"/>
        <v>10</v>
      </c>
    </row>
    <row r="1428" spans="1:10">
      <c r="A1428" s="43">
        <v>42614</v>
      </c>
      <c r="B1428">
        <v>2006</v>
      </c>
      <c r="C1428">
        <v>2566</v>
      </c>
      <c r="D1428">
        <v>1427</v>
      </c>
      <c r="E1428">
        <v>5000</v>
      </c>
      <c r="F1428" t="s">
        <v>59</v>
      </c>
      <c r="G1428">
        <v>40</v>
      </c>
      <c r="H1428" t="s">
        <v>60</v>
      </c>
      <c r="I1428">
        <v>13</v>
      </c>
      <c r="J1428" s="54">
        <f t="shared" si="22"/>
        <v>1</v>
      </c>
    </row>
    <row r="1429" spans="1:10">
      <c r="A1429" s="43">
        <v>42537</v>
      </c>
      <c r="B1429">
        <v>2006</v>
      </c>
      <c r="C1429">
        <v>2566</v>
      </c>
      <c r="D1429">
        <v>1428</v>
      </c>
      <c r="E1429">
        <v>7700</v>
      </c>
      <c r="F1429" t="s">
        <v>59</v>
      </c>
      <c r="G1429">
        <v>10</v>
      </c>
      <c r="H1429" t="s">
        <v>133</v>
      </c>
      <c r="I1429">
        <v>13</v>
      </c>
      <c r="J1429" s="54">
        <f t="shared" si="22"/>
        <v>10</v>
      </c>
    </row>
    <row r="1430" spans="1:10">
      <c r="A1430" s="43">
        <v>42475</v>
      </c>
      <c r="B1430">
        <v>2006</v>
      </c>
      <c r="C1430">
        <v>2566</v>
      </c>
      <c r="D1430">
        <v>1429</v>
      </c>
      <c r="E1430">
        <v>6000</v>
      </c>
      <c r="F1430" t="s">
        <v>59</v>
      </c>
      <c r="G1430">
        <v>6</v>
      </c>
      <c r="H1430" t="s">
        <v>133</v>
      </c>
      <c r="I1430">
        <v>13</v>
      </c>
      <c r="J1430" s="54">
        <f t="shared" si="22"/>
        <v>6</v>
      </c>
    </row>
    <row r="1431" spans="1:10">
      <c r="A1431" s="43">
        <v>42461</v>
      </c>
      <c r="B1431">
        <v>2007</v>
      </c>
      <c r="C1431">
        <v>2566</v>
      </c>
      <c r="D1431">
        <v>1430</v>
      </c>
      <c r="E1431">
        <v>6000</v>
      </c>
      <c r="F1431" t="s">
        <v>59</v>
      </c>
      <c r="G1431">
        <v>12</v>
      </c>
      <c r="H1431" t="s">
        <v>133</v>
      </c>
      <c r="I1431">
        <v>12</v>
      </c>
      <c r="J1431" s="54">
        <f t="shared" si="22"/>
        <v>12</v>
      </c>
    </row>
    <row r="1432" spans="1:10">
      <c r="A1432" s="43">
        <v>42383</v>
      </c>
      <c r="B1432">
        <v>2006</v>
      </c>
      <c r="C1432">
        <v>2566</v>
      </c>
      <c r="D1432">
        <v>1431</v>
      </c>
      <c r="E1432">
        <v>6250</v>
      </c>
      <c r="F1432" t="s">
        <v>59</v>
      </c>
      <c r="G1432">
        <v>3</v>
      </c>
      <c r="H1432" t="s">
        <v>133</v>
      </c>
      <c r="I1432">
        <v>13</v>
      </c>
      <c r="J1432" s="54">
        <f t="shared" si="22"/>
        <v>3</v>
      </c>
    </row>
    <row r="1433" spans="1:10">
      <c r="A1433" s="43">
        <v>43635</v>
      </c>
      <c r="B1433">
        <v>2006</v>
      </c>
      <c r="C1433">
        <v>2572</v>
      </c>
      <c r="D1433">
        <v>1432</v>
      </c>
      <c r="E1433">
        <v>10500</v>
      </c>
      <c r="F1433" t="s">
        <v>59</v>
      </c>
      <c r="G1433">
        <v>3</v>
      </c>
      <c r="H1433" t="s">
        <v>133</v>
      </c>
      <c r="I1433">
        <v>13</v>
      </c>
      <c r="J1433" s="54">
        <f t="shared" si="22"/>
        <v>3</v>
      </c>
    </row>
    <row r="1434" spans="1:10">
      <c r="A1434" s="43">
        <v>43619</v>
      </c>
      <c r="B1434">
        <v>2006</v>
      </c>
      <c r="C1434">
        <v>2572</v>
      </c>
      <c r="D1434">
        <v>1433</v>
      </c>
      <c r="E1434">
        <v>10750</v>
      </c>
      <c r="F1434" t="s">
        <v>59</v>
      </c>
      <c r="G1434">
        <v>35</v>
      </c>
      <c r="H1434" t="s">
        <v>60</v>
      </c>
      <c r="I1434">
        <v>13</v>
      </c>
      <c r="J1434" s="54">
        <f t="shared" si="22"/>
        <v>1</v>
      </c>
    </row>
    <row r="1435" spans="1:10">
      <c r="A1435" s="43">
        <v>43083</v>
      </c>
      <c r="B1435">
        <v>2006</v>
      </c>
      <c r="C1435">
        <v>2572</v>
      </c>
      <c r="D1435">
        <v>1434</v>
      </c>
      <c r="E1435">
        <v>8650</v>
      </c>
      <c r="F1435" t="s">
        <v>59</v>
      </c>
      <c r="G1435">
        <v>6</v>
      </c>
      <c r="H1435" t="s">
        <v>133</v>
      </c>
      <c r="I1435">
        <v>13</v>
      </c>
      <c r="J1435" s="54">
        <f t="shared" si="22"/>
        <v>6</v>
      </c>
    </row>
    <row r="1436" spans="1:10">
      <c r="A1436" s="43">
        <v>42930</v>
      </c>
      <c r="B1436">
        <v>2006</v>
      </c>
      <c r="C1436">
        <v>2572</v>
      </c>
      <c r="D1436">
        <v>1435</v>
      </c>
      <c r="E1436">
        <v>8500</v>
      </c>
      <c r="F1436" t="s">
        <v>59</v>
      </c>
      <c r="G1436">
        <v>5</v>
      </c>
      <c r="H1436" t="s">
        <v>133</v>
      </c>
      <c r="I1436">
        <v>13</v>
      </c>
      <c r="J1436" s="54">
        <f t="shared" si="22"/>
        <v>5</v>
      </c>
    </row>
    <row r="1437" spans="1:10">
      <c r="A1437" s="43">
        <v>42905</v>
      </c>
      <c r="B1437">
        <v>2006</v>
      </c>
      <c r="C1437">
        <v>2572</v>
      </c>
      <c r="D1437">
        <v>1436</v>
      </c>
      <c r="E1437">
        <v>9300</v>
      </c>
      <c r="F1437" t="s">
        <v>59</v>
      </c>
      <c r="G1437">
        <v>70</v>
      </c>
      <c r="H1437" t="s">
        <v>60</v>
      </c>
      <c r="I1437">
        <v>13</v>
      </c>
      <c r="J1437" s="54">
        <f t="shared" si="22"/>
        <v>2</v>
      </c>
    </row>
    <row r="1438" spans="1:10">
      <c r="A1438" s="43">
        <v>42607</v>
      </c>
      <c r="B1438">
        <v>2006</v>
      </c>
      <c r="C1438">
        <v>2572</v>
      </c>
      <c r="D1438">
        <v>1437</v>
      </c>
      <c r="E1438">
        <v>6000</v>
      </c>
      <c r="F1438" t="s">
        <v>59</v>
      </c>
      <c r="G1438">
        <v>6</v>
      </c>
      <c r="H1438" t="s">
        <v>133</v>
      </c>
      <c r="I1438">
        <v>13</v>
      </c>
      <c r="J1438" s="54">
        <f t="shared" si="22"/>
        <v>6</v>
      </c>
    </row>
    <row r="1439" spans="1:10">
      <c r="A1439" s="43">
        <v>42401</v>
      </c>
      <c r="B1439">
        <v>2006</v>
      </c>
      <c r="C1439">
        <v>2572</v>
      </c>
      <c r="D1439">
        <v>1438</v>
      </c>
      <c r="E1439">
        <v>6000</v>
      </c>
      <c r="F1439" t="s">
        <v>59</v>
      </c>
      <c r="G1439">
        <v>9</v>
      </c>
      <c r="H1439" t="s">
        <v>133</v>
      </c>
      <c r="I1439">
        <v>13</v>
      </c>
      <c r="J1439" s="54">
        <f t="shared" si="22"/>
        <v>9</v>
      </c>
    </row>
    <row r="1440" spans="1:10">
      <c r="A1440" s="43">
        <v>43580</v>
      </c>
      <c r="B1440">
        <v>2008</v>
      </c>
      <c r="C1440">
        <v>2578</v>
      </c>
      <c r="D1440">
        <v>1439</v>
      </c>
      <c r="E1440">
        <v>8800</v>
      </c>
      <c r="F1440" t="s">
        <v>59</v>
      </c>
      <c r="G1440">
        <v>5</v>
      </c>
      <c r="H1440" t="s">
        <v>133</v>
      </c>
      <c r="I1440">
        <v>11</v>
      </c>
      <c r="J1440" s="54">
        <f t="shared" si="22"/>
        <v>5</v>
      </c>
    </row>
    <row r="1441" spans="1:10">
      <c r="A1441" s="43">
        <v>43539</v>
      </c>
      <c r="B1441">
        <v>2009</v>
      </c>
      <c r="C1441">
        <v>2578</v>
      </c>
      <c r="D1441">
        <v>1440</v>
      </c>
      <c r="E1441">
        <v>8500</v>
      </c>
      <c r="F1441" t="s">
        <v>59</v>
      </c>
      <c r="G1441">
        <v>12</v>
      </c>
      <c r="H1441" t="s">
        <v>133</v>
      </c>
      <c r="I1441">
        <v>10</v>
      </c>
      <c r="J1441" s="54">
        <f t="shared" si="22"/>
        <v>12</v>
      </c>
    </row>
    <row r="1442" spans="1:10">
      <c r="A1442" s="43">
        <v>43536</v>
      </c>
      <c r="B1442">
        <v>2009</v>
      </c>
      <c r="C1442">
        <v>2578</v>
      </c>
      <c r="D1442">
        <v>1441</v>
      </c>
      <c r="E1442">
        <v>9250</v>
      </c>
      <c r="F1442" t="s">
        <v>59</v>
      </c>
      <c r="G1442">
        <v>4</v>
      </c>
      <c r="H1442" t="s">
        <v>133</v>
      </c>
      <c r="I1442">
        <v>10</v>
      </c>
      <c r="J1442" s="54">
        <f t="shared" si="22"/>
        <v>4</v>
      </c>
    </row>
    <row r="1443" spans="1:10">
      <c r="A1443" s="43">
        <v>43525</v>
      </c>
      <c r="B1443">
        <v>2009</v>
      </c>
      <c r="C1443">
        <v>2578</v>
      </c>
      <c r="D1443">
        <v>1442</v>
      </c>
      <c r="E1443">
        <v>9000</v>
      </c>
      <c r="F1443" t="s">
        <v>59</v>
      </c>
      <c r="G1443">
        <v>8</v>
      </c>
      <c r="H1443" t="s">
        <v>133</v>
      </c>
      <c r="I1443">
        <v>10</v>
      </c>
      <c r="J1443" s="54">
        <f t="shared" si="22"/>
        <v>8</v>
      </c>
    </row>
    <row r="1444" spans="1:10">
      <c r="A1444" s="43">
        <v>43444</v>
      </c>
      <c r="B1444">
        <v>2008</v>
      </c>
      <c r="C1444">
        <v>2578</v>
      </c>
      <c r="D1444">
        <v>1443</v>
      </c>
      <c r="E1444">
        <v>9500</v>
      </c>
      <c r="F1444" t="s">
        <v>59</v>
      </c>
      <c r="G1444">
        <v>3</v>
      </c>
      <c r="H1444" t="s">
        <v>133</v>
      </c>
      <c r="I1444">
        <v>11</v>
      </c>
      <c r="J1444" s="54">
        <f t="shared" si="22"/>
        <v>3</v>
      </c>
    </row>
    <row r="1445" spans="1:10">
      <c r="A1445" s="43">
        <v>43416</v>
      </c>
      <c r="B1445">
        <v>2009</v>
      </c>
      <c r="C1445">
        <v>2578</v>
      </c>
      <c r="D1445">
        <v>1444</v>
      </c>
      <c r="E1445">
        <v>10250</v>
      </c>
      <c r="F1445" t="s">
        <v>59</v>
      </c>
      <c r="G1445">
        <v>6</v>
      </c>
      <c r="H1445" t="s">
        <v>133</v>
      </c>
      <c r="I1445">
        <v>10</v>
      </c>
      <c r="J1445" s="54">
        <f t="shared" si="22"/>
        <v>6</v>
      </c>
    </row>
    <row r="1446" spans="1:10">
      <c r="A1446" s="43">
        <v>43355</v>
      </c>
      <c r="B1446">
        <v>2008</v>
      </c>
      <c r="C1446">
        <v>2578</v>
      </c>
      <c r="D1446">
        <v>1445</v>
      </c>
      <c r="E1446">
        <v>10500</v>
      </c>
      <c r="F1446" t="s">
        <v>59</v>
      </c>
      <c r="G1446">
        <v>6</v>
      </c>
      <c r="H1446" t="s">
        <v>133</v>
      </c>
      <c r="I1446">
        <v>11</v>
      </c>
      <c r="J1446" s="54">
        <f t="shared" si="22"/>
        <v>6</v>
      </c>
    </row>
    <row r="1447" spans="1:10">
      <c r="A1447" s="43">
        <v>43245</v>
      </c>
      <c r="B1447">
        <v>2009</v>
      </c>
      <c r="C1447">
        <v>2578</v>
      </c>
      <c r="D1447">
        <v>1446</v>
      </c>
      <c r="E1447">
        <v>12150</v>
      </c>
      <c r="F1447" t="s">
        <v>59</v>
      </c>
      <c r="G1447">
        <v>5</v>
      </c>
      <c r="H1447" t="s">
        <v>133</v>
      </c>
      <c r="I1447">
        <v>10</v>
      </c>
      <c r="J1447" s="54">
        <f t="shared" si="22"/>
        <v>5</v>
      </c>
    </row>
    <row r="1448" spans="1:10">
      <c r="A1448" s="43">
        <v>43235</v>
      </c>
      <c r="B1448">
        <v>2009</v>
      </c>
      <c r="C1448">
        <v>2578</v>
      </c>
      <c r="D1448">
        <v>1447</v>
      </c>
      <c r="E1448">
        <v>12450</v>
      </c>
      <c r="F1448" t="s">
        <v>59</v>
      </c>
      <c r="G1448">
        <v>12</v>
      </c>
      <c r="H1448" t="s">
        <v>133</v>
      </c>
      <c r="I1448">
        <v>10</v>
      </c>
      <c r="J1448" s="54">
        <f t="shared" si="22"/>
        <v>12</v>
      </c>
    </row>
    <row r="1449" spans="1:10">
      <c r="A1449" s="43">
        <v>43210</v>
      </c>
      <c r="B1449">
        <v>2009</v>
      </c>
      <c r="C1449">
        <v>2578</v>
      </c>
      <c r="D1449">
        <v>1448</v>
      </c>
      <c r="E1449">
        <v>11000</v>
      </c>
      <c r="F1449" t="s">
        <v>59</v>
      </c>
      <c r="G1449">
        <v>12</v>
      </c>
      <c r="H1449" t="s">
        <v>133</v>
      </c>
      <c r="I1449">
        <v>10</v>
      </c>
      <c r="J1449" s="54">
        <f t="shared" si="22"/>
        <v>12</v>
      </c>
    </row>
    <row r="1450" spans="1:10">
      <c r="A1450" s="43">
        <v>43210</v>
      </c>
      <c r="B1450">
        <v>2009</v>
      </c>
      <c r="C1450">
        <v>2578</v>
      </c>
      <c r="D1450">
        <v>1449</v>
      </c>
      <c r="E1450">
        <v>10250</v>
      </c>
      <c r="F1450" t="s">
        <v>59</v>
      </c>
      <c r="G1450">
        <v>6</v>
      </c>
      <c r="H1450" t="s">
        <v>133</v>
      </c>
      <c r="I1450">
        <v>10</v>
      </c>
      <c r="J1450" s="54">
        <f t="shared" si="22"/>
        <v>6</v>
      </c>
    </row>
    <row r="1451" spans="1:10">
      <c r="A1451" s="43">
        <v>43195</v>
      </c>
      <c r="B1451">
        <v>2008</v>
      </c>
      <c r="C1451">
        <v>2578</v>
      </c>
      <c r="D1451">
        <v>1450</v>
      </c>
      <c r="E1451">
        <v>10500</v>
      </c>
      <c r="F1451" t="s">
        <v>59</v>
      </c>
      <c r="G1451">
        <v>6</v>
      </c>
      <c r="H1451" t="s">
        <v>133</v>
      </c>
      <c r="I1451">
        <v>11</v>
      </c>
      <c r="J1451" s="54">
        <f t="shared" si="22"/>
        <v>6</v>
      </c>
    </row>
    <row r="1452" spans="1:10">
      <c r="A1452" s="43">
        <v>43080</v>
      </c>
      <c r="B1452">
        <v>2008</v>
      </c>
      <c r="C1452">
        <v>2578</v>
      </c>
      <c r="D1452">
        <v>1451</v>
      </c>
      <c r="E1452">
        <v>8500</v>
      </c>
      <c r="F1452" t="s">
        <v>59</v>
      </c>
      <c r="G1452">
        <v>8</v>
      </c>
      <c r="H1452" t="s">
        <v>133</v>
      </c>
      <c r="I1452">
        <v>11</v>
      </c>
      <c r="J1452" s="54">
        <f t="shared" si="22"/>
        <v>8</v>
      </c>
    </row>
    <row r="1453" spans="1:10">
      <c r="A1453" s="43">
        <v>43073</v>
      </c>
      <c r="B1453">
        <v>2008</v>
      </c>
      <c r="C1453">
        <v>2578</v>
      </c>
      <c r="D1453">
        <v>1452</v>
      </c>
      <c r="E1453">
        <v>8750</v>
      </c>
      <c r="F1453" t="s">
        <v>59</v>
      </c>
      <c r="G1453">
        <v>1</v>
      </c>
      <c r="H1453" t="s">
        <v>133</v>
      </c>
      <c r="I1453">
        <v>11</v>
      </c>
      <c r="J1453" s="54">
        <f t="shared" si="22"/>
        <v>1</v>
      </c>
    </row>
    <row r="1454" spans="1:10">
      <c r="A1454" s="43">
        <v>43061</v>
      </c>
      <c r="B1454">
        <v>2009</v>
      </c>
      <c r="C1454">
        <v>2578</v>
      </c>
      <c r="D1454">
        <v>1453</v>
      </c>
      <c r="E1454">
        <v>8500</v>
      </c>
      <c r="F1454" t="s">
        <v>59</v>
      </c>
      <c r="G1454">
        <v>5</v>
      </c>
      <c r="H1454" t="s">
        <v>133</v>
      </c>
      <c r="I1454">
        <v>10</v>
      </c>
      <c r="J1454" s="54">
        <f t="shared" si="22"/>
        <v>5</v>
      </c>
    </row>
    <row r="1455" spans="1:10">
      <c r="A1455" s="43">
        <v>43045</v>
      </c>
      <c r="B1455">
        <v>2009</v>
      </c>
      <c r="C1455">
        <v>2578</v>
      </c>
      <c r="D1455">
        <v>1454</v>
      </c>
      <c r="E1455">
        <v>9250</v>
      </c>
      <c r="F1455" t="s">
        <v>59</v>
      </c>
      <c r="G1455">
        <v>6</v>
      </c>
      <c r="H1455" t="s">
        <v>133</v>
      </c>
      <c r="I1455">
        <v>10</v>
      </c>
      <c r="J1455" s="54">
        <f t="shared" si="22"/>
        <v>6</v>
      </c>
    </row>
    <row r="1456" spans="1:10">
      <c r="A1456" s="43">
        <v>43021</v>
      </c>
      <c r="B1456">
        <v>2009</v>
      </c>
      <c r="C1456">
        <v>2578</v>
      </c>
      <c r="D1456">
        <v>1455</v>
      </c>
      <c r="E1456">
        <v>8250</v>
      </c>
      <c r="F1456" t="s">
        <v>59</v>
      </c>
      <c r="G1456">
        <v>6</v>
      </c>
      <c r="H1456" t="s">
        <v>133</v>
      </c>
      <c r="I1456">
        <v>10</v>
      </c>
      <c r="J1456" s="54">
        <f t="shared" si="22"/>
        <v>6</v>
      </c>
    </row>
    <row r="1457" spans="1:10">
      <c r="A1457" s="43">
        <v>42935</v>
      </c>
      <c r="B1457">
        <v>2009</v>
      </c>
      <c r="C1457">
        <v>2578</v>
      </c>
      <c r="D1457">
        <v>1456</v>
      </c>
      <c r="E1457">
        <v>8500</v>
      </c>
      <c r="F1457" t="s">
        <v>59</v>
      </c>
      <c r="G1457">
        <v>4</v>
      </c>
      <c r="H1457" t="s">
        <v>133</v>
      </c>
      <c r="I1457">
        <v>10</v>
      </c>
      <c r="J1457" s="54">
        <f t="shared" si="22"/>
        <v>4</v>
      </c>
    </row>
    <row r="1458" spans="1:10">
      <c r="A1458" s="43">
        <v>42921</v>
      </c>
      <c r="B1458">
        <v>2009</v>
      </c>
      <c r="C1458">
        <v>2578</v>
      </c>
      <c r="D1458">
        <v>1457</v>
      </c>
      <c r="E1458">
        <v>8500</v>
      </c>
      <c r="F1458" t="s">
        <v>59</v>
      </c>
      <c r="G1458">
        <v>4</v>
      </c>
      <c r="H1458" t="s">
        <v>133</v>
      </c>
      <c r="I1458">
        <v>10</v>
      </c>
      <c r="J1458" s="54">
        <f t="shared" si="22"/>
        <v>4</v>
      </c>
    </row>
    <row r="1459" spans="1:10">
      <c r="A1459" s="43">
        <v>42905</v>
      </c>
      <c r="B1459">
        <v>2008</v>
      </c>
      <c r="C1459">
        <v>2578</v>
      </c>
      <c r="D1459">
        <v>1458</v>
      </c>
      <c r="E1459">
        <v>8000</v>
      </c>
      <c r="F1459" t="s">
        <v>59</v>
      </c>
      <c r="G1459">
        <v>6</v>
      </c>
      <c r="H1459" t="s">
        <v>133</v>
      </c>
      <c r="I1459">
        <v>11</v>
      </c>
      <c r="J1459" s="54">
        <f t="shared" si="22"/>
        <v>6</v>
      </c>
    </row>
    <row r="1460" spans="1:10">
      <c r="A1460" s="43">
        <v>42905</v>
      </c>
      <c r="B1460">
        <v>2009</v>
      </c>
      <c r="C1460">
        <v>2578</v>
      </c>
      <c r="D1460">
        <v>1459</v>
      </c>
      <c r="E1460">
        <v>8500</v>
      </c>
      <c r="F1460" t="s">
        <v>59</v>
      </c>
      <c r="G1460">
        <v>4</v>
      </c>
      <c r="H1460" t="s">
        <v>133</v>
      </c>
      <c r="I1460">
        <v>10</v>
      </c>
      <c r="J1460" s="54">
        <f t="shared" si="22"/>
        <v>4</v>
      </c>
    </row>
    <row r="1461" spans="1:10">
      <c r="A1461" s="43">
        <v>42724</v>
      </c>
      <c r="B1461">
        <v>2009</v>
      </c>
      <c r="C1461">
        <v>2578</v>
      </c>
      <c r="D1461">
        <v>1460</v>
      </c>
      <c r="E1461">
        <v>5500</v>
      </c>
      <c r="F1461" t="s">
        <v>59</v>
      </c>
      <c r="G1461">
        <v>180</v>
      </c>
      <c r="H1461" t="s">
        <v>60</v>
      </c>
      <c r="I1461">
        <v>10</v>
      </c>
      <c r="J1461" s="54">
        <f t="shared" si="22"/>
        <v>6</v>
      </c>
    </row>
    <row r="1462" spans="1:10">
      <c r="A1462" s="43">
        <v>42663</v>
      </c>
      <c r="B1462">
        <v>2009</v>
      </c>
      <c r="C1462">
        <v>2578</v>
      </c>
      <c r="D1462">
        <v>1461</v>
      </c>
      <c r="E1462">
        <v>5850</v>
      </c>
      <c r="F1462" t="s">
        <v>59</v>
      </c>
      <c r="G1462">
        <v>7</v>
      </c>
      <c r="H1462" t="s">
        <v>133</v>
      </c>
      <c r="I1462">
        <v>10</v>
      </c>
      <c r="J1462" s="54">
        <f t="shared" si="22"/>
        <v>7</v>
      </c>
    </row>
    <row r="1463" spans="1:10">
      <c r="A1463" s="43">
        <v>42649</v>
      </c>
      <c r="B1463">
        <v>2009</v>
      </c>
      <c r="C1463">
        <v>2578</v>
      </c>
      <c r="D1463">
        <v>1462</v>
      </c>
      <c r="E1463">
        <v>5500</v>
      </c>
      <c r="F1463" t="s">
        <v>59</v>
      </c>
      <c r="G1463">
        <v>6</v>
      </c>
      <c r="H1463" t="s">
        <v>133</v>
      </c>
      <c r="I1463">
        <v>10</v>
      </c>
      <c r="J1463" s="54">
        <f t="shared" si="22"/>
        <v>6</v>
      </c>
    </row>
    <row r="1464" spans="1:10">
      <c r="A1464" s="43">
        <v>42571</v>
      </c>
      <c r="B1464">
        <v>2008</v>
      </c>
      <c r="C1464">
        <v>2578</v>
      </c>
      <c r="D1464">
        <v>1463</v>
      </c>
      <c r="E1464">
        <v>6700</v>
      </c>
      <c r="F1464" t="s">
        <v>59</v>
      </c>
      <c r="G1464">
        <v>6</v>
      </c>
      <c r="H1464" t="s">
        <v>133</v>
      </c>
      <c r="I1464">
        <v>11</v>
      </c>
      <c r="J1464" s="54">
        <f t="shared" si="22"/>
        <v>6</v>
      </c>
    </row>
    <row r="1465" spans="1:10">
      <c r="A1465" s="43">
        <v>42542</v>
      </c>
      <c r="B1465">
        <v>2008</v>
      </c>
      <c r="C1465">
        <v>2578</v>
      </c>
      <c r="D1465">
        <v>1464</v>
      </c>
      <c r="E1465">
        <v>6000</v>
      </c>
      <c r="F1465" t="s">
        <v>59</v>
      </c>
      <c r="G1465">
        <v>12</v>
      </c>
      <c r="H1465" t="s">
        <v>133</v>
      </c>
      <c r="I1465">
        <v>11</v>
      </c>
      <c r="J1465" s="54">
        <f t="shared" si="22"/>
        <v>12</v>
      </c>
    </row>
    <row r="1466" spans="1:10">
      <c r="A1466" s="43">
        <v>42536</v>
      </c>
      <c r="B1466">
        <v>2008</v>
      </c>
      <c r="C1466">
        <v>2578</v>
      </c>
      <c r="D1466">
        <v>1465</v>
      </c>
      <c r="E1466">
        <v>6000</v>
      </c>
      <c r="F1466" t="s">
        <v>59</v>
      </c>
      <c r="G1466">
        <v>12</v>
      </c>
      <c r="H1466" t="s">
        <v>133</v>
      </c>
      <c r="I1466">
        <v>11</v>
      </c>
      <c r="J1466" s="54">
        <f t="shared" si="22"/>
        <v>12</v>
      </c>
    </row>
    <row r="1467" spans="1:10">
      <c r="A1467" s="43">
        <v>42515</v>
      </c>
      <c r="B1467">
        <v>2009</v>
      </c>
      <c r="C1467">
        <v>2578</v>
      </c>
      <c r="D1467">
        <v>1466</v>
      </c>
      <c r="E1467">
        <v>6000</v>
      </c>
      <c r="F1467" t="s">
        <v>59</v>
      </c>
      <c r="G1467">
        <v>3</v>
      </c>
      <c r="H1467" t="s">
        <v>133</v>
      </c>
      <c r="I1467">
        <v>10</v>
      </c>
      <c r="J1467" s="54">
        <f t="shared" si="22"/>
        <v>3</v>
      </c>
    </row>
    <row r="1468" spans="1:10">
      <c r="A1468" s="43">
        <v>42472</v>
      </c>
      <c r="B1468">
        <v>2008</v>
      </c>
      <c r="C1468">
        <v>2578</v>
      </c>
      <c r="D1468">
        <v>1467</v>
      </c>
      <c r="E1468">
        <v>6000</v>
      </c>
      <c r="F1468" t="s">
        <v>59</v>
      </c>
      <c r="G1468">
        <v>3</v>
      </c>
      <c r="H1468" t="s">
        <v>133</v>
      </c>
      <c r="I1468">
        <v>11</v>
      </c>
      <c r="J1468" s="54">
        <f t="shared" si="22"/>
        <v>3</v>
      </c>
    </row>
    <row r="1469" spans="1:10">
      <c r="A1469" s="43">
        <v>42444</v>
      </c>
      <c r="B1469">
        <v>2008</v>
      </c>
      <c r="C1469">
        <v>2578</v>
      </c>
      <c r="D1469">
        <v>1468</v>
      </c>
      <c r="E1469">
        <v>6000</v>
      </c>
      <c r="F1469" t="s">
        <v>59</v>
      </c>
      <c r="G1469">
        <v>5</v>
      </c>
      <c r="H1469" t="s">
        <v>133</v>
      </c>
      <c r="I1469">
        <v>11</v>
      </c>
      <c r="J1469" s="54">
        <f t="shared" si="22"/>
        <v>5</v>
      </c>
    </row>
    <row r="1470" spans="1:10">
      <c r="A1470" s="43">
        <v>42439</v>
      </c>
      <c r="B1470">
        <v>2008</v>
      </c>
      <c r="C1470">
        <v>2578</v>
      </c>
      <c r="D1470">
        <v>1469</v>
      </c>
      <c r="E1470">
        <v>6000</v>
      </c>
      <c r="F1470" t="s">
        <v>59</v>
      </c>
      <c r="G1470">
        <v>30</v>
      </c>
      <c r="H1470" t="s">
        <v>60</v>
      </c>
      <c r="I1470">
        <v>11</v>
      </c>
      <c r="J1470" s="54">
        <f t="shared" si="22"/>
        <v>1</v>
      </c>
    </row>
    <row r="1471" spans="1:10">
      <c r="A1471" s="43">
        <v>42422</v>
      </c>
      <c r="B1471">
        <v>2008</v>
      </c>
      <c r="C1471">
        <v>2578</v>
      </c>
      <c r="D1471">
        <v>1470</v>
      </c>
      <c r="E1471">
        <v>6100</v>
      </c>
      <c r="F1471" t="s">
        <v>59</v>
      </c>
      <c r="G1471">
        <v>7</v>
      </c>
      <c r="H1471" t="s">
        <v>133</v>
      </c>
      <c r="I1471">
        <v>11</v>
      </c>
      <c r="J1471" s="54">
        <f t="shared" si="22"/>
        <v>7</v>
      </c>
    </row>
    <row r="1472" spans="1:10">
      <c r="A1472" s="43">
        <v>42422</v>
      </c>
      <c r="B1472">
        <v>2009</v>
      </c>
      <c r="C1472">
        <v>2578</v>
      </c>
      <c r="D1472">
        <v>1471</v>
      </c>
      <c r="E1472">
        <v>6100</v>
      </c>
      <c r="F1472" t="s">
        <v>59</v>
      </c>
      <c r="G1472">
        <v>7</v>
      </c>
      <c r="H1472" t="s">
        <v>133</v>
      </c>
      <c r="I1472">
        <v>10</v>
      </c>
      <c r="J1472" s="54">
        <f t="shared" si="22"/>
        <v>7</v>
      </c>
    </row>
    <row r="1473" spans="1:10">
      <c r="A1473" s="43">
        <v>43521</v>
      </c>
      <c r="B1473">
        <v>2006</v>
      </c>
      <c r="C1473">
        <v>2602</v>
      </c>
      <c r="D1473">
        <v>1472</v>
      </c>
      <c r="E1473">
        <v>10800</v>
      </c>
      <c r="F1473" t="s">
        <v>59</v>
      </c>
      <c r="G1473">
        <v>5</v>
      </c>
      <c r="H1473" t="s">
        <v>133</v>
      </c>
      <c r="I1473">
        <v>13</v>
      </c>
      <c r="J1473" s="54">
        <f t="shared" si="22"/>
        <v>5</v>
      </c>
    </row>
    <row r="1474" spans="1:10">
      <c r="A1474" s="43">
        <v>43398</v>
      </c>
      <c r="B1474">
        <v>2006</v>
      </c>
      <c r="C1474">
        <v>2602</v>
      </c>
      <c r="D1474">
        <v>1473</v>
      </c>
      <c r="E1474">
        <v>12250</v>
      </c>
      <c r="F1474" t="s">
        <v>59</v>
      </c>
      <c r="G1474">
        <v>12</v>
      </c>
      <c r="H1474" t="s">
        <v>133</v>
      </c>
      <c r="I1474">
        <v>13</v>
      </c>
      <c r="J1474" s="54">
        <f t="shared" ref="J1474:J1537" si="23">IF(H1474="days",ROUND(G1474/30,0),IF(H1474="years",G1474*12,G1474))</f>
        <v>12</v>
      </c>
    </row>
    <row r="1475" spans="1:10">
      <c r="A1475" s="43">
        <v>43344</v>
      </c>
      <c r="B1475">
        <v>2006</v>
      </c>
      <c r="C1475">
        <v>2602</v>
      </c>
      <c r="D1475">
        <v>1474</v>
      </c>
      <c r="E1475">
        <v>12000</v>
      </c>
      <c r="F1475" t="s">
        <v>59</v>
      </c>
      <c r="G1475">
        <v>24</v>
      </c>
      <c r="H1475" t="s">
        <v>133</v>
      </c>
      <c r="I1475">
        <v>13</v>
      </c>
      <c r="J1475" s="54">
        <f t="shared" si="23"/>
        <v>24</v>
      </c>
    </row>
    <row r="1476" spans="1:10">
      <c r="A1476" s="43">
        <v>43344</v>
      </c>
      <c r="B1476">
        <v>2006</v>
      </c>
      <c r="C1476">
        <v>2602</v>
      </c>
      <c r="D1476">
        <v>1475</v>
      </c>
      <c r="E1476">
        <v>12000</v>
      </c>
      <c r="F1476" t="s">
        <v>59</v>
      </c>
      <c r="G1476">
        <v>24</v>
      </c>
      <c r="H1476" t="s">
        <v>133</v>
      </c>
      <c r="I1476">
        <v>13</v>
      </c>
      <c r="J1476" s="54">
        <f t="shared" si="23"/>
        <v>24</v>
      </c>
    </row>
    <row r="1477" spans="1:10">
      <c r="A1477" s="43">
        <v>43172</v>
      </c>
      <c r="B1477">
        <v>2006</v>
      </c>
      <c r="C1477">
        <v>2602</v>
      </c>
      <c r="D1477">
        <v>1476</v>
      </c>
      <c r="E1477">
        <v>10800</v>
      </c>
      <c r="F1477" t="s">
        <v>59</v>
      </c>
      <c r="G1477">
        <v>12</v>
      </c>
      <c r="H1477" t="s">
        <v>133</v>
      </c>
      <c r="I1477">
        <v>13</v>
      </c>
      <c r="J1477" s="54">
        <f t="shared" si="23"/>
        <v>12</v>
      </c>
    </row>
    <row r="1478" spans="1:10">
      <c r="A1478" s="43">
        <v>43066</v>
      </c>
      <c r="B1478">
        <v>2006</v>
      </c>
      <c r="C1478">
        <v>2602</v>
      </c>
      <c r="D1478">
        <v>1477</v>
      </c>
      <c r="E1478">
        <v>10000</v>
      </c>
      <c r="F1478" t="s">
        <v>59</v>
      </c>
      <c r="G1478">
        <v>12</v>
      </c>
      <c r="H1478" t="s">
        <v>133</v>
      </c>
      <c r="I1478">
        <v>13</v>
      </c>
      <c r="J1478" s="54">
        <f t="shared" si="23"/>
        <v>12</v>
      </c>
    </row>
    <row r="1479" spans="1:10">
      <c r="A1479" s="43">
        <v>42985</v>
      </c>
      <c r="B1479">
        <v>2006</v>
      </c>
      <c r="C1479">
        <v>2602</v>
      </c>
      <c r="D1479">
        <v>1478</v>
      </c>
      <c r="E1479">
        <v>9500</v>
      </c>
      <c r="F1479" t="s">
        <v>59</v>
      </c>
      <c r="G1479">
        <v>12</v>
      </c>
      <c r="H1479" t="s">
        <v>133</v>
      </c>
      <c r="I1479">
        <v>13</v>
      </c>
      <c r="J1479" s="54">
        <f t="shared" si="23"/>
        <v>12</v>
      </c>
    </row>
    <row r="1480" spans="1:10">
      <c r="A1480" s="43">
        <v>42985</v>
      </c>
      <c r="B1480">
        <v>2006</v>
      </c>
      <c r="C1480">
        <v>2602</v>
      </c>
      <c r="D1480">
        <v>1479</v>
      </c>
      <c r="E1480">
        <v>9500</v>
      </c>
      <c r="F1480" t="s">
        <v>59</v>
      </c>
      <c r="G1480">
        <v>12</v>
      </c>
      <c r="H1480" t="s">
        <v>133</v>
      </c>
      <c r="I1480">
        <v>13</v>
      </c>
      <c r="J1480" s="54">
        <f t="shared" si="23"/>
        <v>12</v>
      </c>
    </row>
    <row r="1481" spans="1:10">
      <c r="A1481" s="43">
        <v>42704</v>
      </c>
      <c r="B1481">
        <v>2006</v>
      </c>
      <c r="C1481">
        <v>2602</v>
      </c>
      <c r="D1481">
        <v>1480</v>
      </c>
      <c r="E1481">
        <v>7700</v>
      </c>
      <c r="F1481" t="s">
        <v>59</v>
      </c>
      <c r="G1481">
        <v>12</v>
      </c>
      <c r="H1481" t="s">
        <v>133</v>
      </c>
      <c r="I1481">
        <v>13</v>
      </c>
      <c r="J1481" s="54">
        <f t="shared" si="23"/>
        <v>12</v>
      </c>
    </row>
    <row r="1482" spans="1:10">
      <c r="A1482" s="43">
        <v>42623</v>
      </c>
      <c r="B1482">
        <v>2006</v>
      </c>
      <c r="C1482">
        <v>2602</v>
      </c>
      <c r="D1482">
        <v>1481</v>
      </c>
      <c r="E1482">
        <v>9000</v>
      </c>
      <c r="F1482" t="s">
        <v>59</v>
      </c>
      <c r="G1482">
        <v>12</v>
      </c>
      <c r="H1482" t="s">
        <v>133</v>
      </c>
      <c r="I1482">
        <v>13</v>
      </c>
      <c r="J1482" s="54">
        <f t="shared" si="23"/>
        <v>12</v>
      </c>
    </row>
    <row r="1483" spans="1:10">
      <c r="A1483" s="43">
        <v>43490</v>
      </c>
      <c r="B1483">
        <v>2006</v>
      </c>
      <c r="C1483">
        <v>2646</v>
      </c>
      <c r="D1483">
        <v>1482</v>
      </c>
      <c r="E1483">
        <v>8500</v>
      </c>
      <c r="F1483" t="s">
        <v>59</v>
      </c>
      <c r="G1483">
        <v>6</v>
      </c>
      <c r="H1483" t="s">
        <v>133</v>
      </c>
      <c r="I1483">
        <v>13</v>
      </c>
      <c r="J1483" s="54">
        <f t="shared" si="23"/>
        <v>6</v>
      </c>
    </row>
    <row r="1484" spans="1:10">
      <c r="A1484" s="43">
        <v>43393</v>
      </c>
      <c r="B1484">
        <v>2008</v>
      </c>
      <c r="C1484">
        <v>2646</v>
      </c>
      <c r="D1484">
        <v>1483</v>
      </c>
      <c r="E1484">
        <v>9700</v>
      </c>
      <c r="F1484" t="s">
        <v>59</v>
      </c>
      <c r="G1484">
        <v>12</v>
      </c>
      <c r="H1484" t="s">
        <v>133</v>
      </c>
      <c r="I1484">
        <v>11</v>
      </c>
      <c r="J1484" s="54">
        <f t="shared" si="23"/>
        <v>12</v>
      </c>
    </row>
    <row r="1485" spans="1:10">
      <c r="A1485" s="43">
        <v>43343</v>
      </c>
      <c r="B1485">
        <v>2006</v>
      </c>
      <c r="C1485">
        <v>2646</v>
      </c>
      <c r="D1485">
        <v>1484</v>
      </c>
      <c r="E1485">
        <v>10250</v>
      </c>
      <c r="F1485" t="s">
        <v>59</v>
      </c>
      <c r="G1485">
        <v>3.5</v>
      </c>
      <c r="H1485" t="s">
        <v>133</v>
      </c>
      <c r="I1485">
        <v>13</v>
      </c>
      <c r="J1485" s="54">
        <f t="shared" si="23"/>
        <v>3.5</v>
      </c>
    </row>
    <row r="1486" spans="1:10">
      <c r="A1486" s="43">
        <v>43285</v>
      </c>
      <c r="B1486">
        <v>2008</v>
      </c>
      <c r="C1486">
        <v>2646</v>
      </c>
      <c r="D1486">
        <v>1485</v>
      </c>
      <c r="E1486">
        <v>11250</v>
      </c>
      <c r="F1486" t="s">
        <v>59</v>
      </c>
      <c r="G1486">
        <v>5</v>
      </c>
      <c r="H1486" t="s">
        <v>133</v>
      </c>
      <c r="I1486">
        <v>11</v>
      </c>
      <c r="J1486" s="54">
        <f t="shared" si="23"/>
        <v>5</v>
      </c>
    </row>
    <row r="1487" spans="1:10">
      <c r="A1487" s="43">
        <v>43200</v>
      </c>
      <c r="B1487">
        <v>2008</v>
      </c>
      <c r="C1487">
        <v>2646</v>
      </c>
      <c r="D1487">
        <v>1486</v>
      </c>
      <c r="E1487">
        <v>11000</v>
      </c>
      <c r="F1487" t="s">
        <v>59</v>
      </c>
      <c r="G1487">
        <v>56</v>
      </c>
      <c r="H1487" t="s">
        <v>60</v>
      </c>
      <c r="I1487">
        <v>11</v>
      </c>
      <c r="J1487" s="54">
        <f t="shared" si="23"/>
        <v>2</v>
      </c>
    </row>
    <row r="1488" spans="1:10">
      <c r="A1488" s="43">
        <v>42936</v>
      </c>
      <c r="B1488">
        <v>2008</v>
      </c>
      <c r="C1488">
        <v>2646</v>
      </c>
      <c r="D1488">
        <v>1487</v>
      </c>
      <c r="E1488">
        <v>8500</v>
      </c>
      <c r="F1488" t="s">
        <v>59</v>
      </c>
      <c r="G1488">
        <v>8</v>
      </c>
      <c r="H1488" t="s">
        <v>133</v>
      </c>
      <c r="I1488">
        <v>11</v>
      </c>
      <c r="J1488" s="54">
        <f t="shared" si="23"/>
        <v>8</v>
      </c>
    </row>
    <row r="1489" spans="1:10">
      <c r="A1489" s="43">
        <v>42754</v>
      </c>
      <c r="B1489">
        <v>2006</v>
      </c>
      <c r="C1489">
        <v>2646</v>
      </c>
      <c r="D1489">
        <v>1488</v>
      </c>
      <c r="E1489">
        <v>6000</v>
      </c>
      <c r="F1489" t="s">
        <v>59</v>
      </c>
      <c r="G1489">
        <v>8</v>
      </c>
      <c r="H1489" t="s">
        <v>133</v>
      </c>
      <c r="I1489">
        <v>13</v>
      </c>
      <c r="J1489" s="54">
        <f t="shared" si="23"/>
        <v>8</v>
      </c>
    </row>
    <row r="1490" spans="1:10">
      <c r="A1490" s="43">
        <v>43431</v>
      </c>
      <c r="B1490">
        <v>2008</v>
      </c>
      <c r="C1490">
        <v>2650</v>
      </c>
      <c r="D1490">
        <v>1489</v>
      </c>
      <c r="E1490">
        <v>9500</v>
      </c>
      <c r="F1490" t="s">
        <v>59</v>
      </c>
      <c r="G1490">
        <v>10</v>
      </c>
      <c r="H1490" t="s">
        <v>133</v>
      </c>
      <c r="I1490">
        <v>11</v>
      </c>
      <c r="J1490" s="54">
        <f t="shared" si="23"/>
        <v>10</v>
      </c>
    </row>
    <row r="1491" spans="1:10">
      <c r="A1491" s="43">
        <v>43301</v>
      </c>
      <c r="B1491">
        <v>2008</v>
      </c>
      <c r="C1491">
        <v>2650</v>
      </c>
      <c r="D1491">
        <v>1490</v>
      </c>
      <c r="E1491">
        <v>11500</v>
      </c>
      <c r="F1491" t="s">
        <v>59</v>
      </c>
      <c r="G1491">
        <v>3</v>
      </c>
      <c r="H1491" t="s">
        <v>133</v>
      </c>
      <c r="I1491">
        <v>11</v>
      </c>
      <c r="J1491" s="54">
        <f t="shared" si="23"/>
        <v>3</v>
      </c>
    </row>
    <row r="1492" spans="1:10">
      <c r="A1492" s="43">
        <v>43132</v>
      </c>
      <c r="B1492">
        <v>2008</v>
      </c>
      <c r="C1492">
        <v>2650</v>
      </c>
      <c r="D1492">
        <v>1491</v>
      </c>
      <c r="E1492">
        <v>9500</v>
      </c>
      <c r="F1492" t="s">
        <v>59</v>
      </c>
      <c r="G1492">
        <v>6</v>
      </c>
      <c r="H1492" t="s">
        <v>133</v>
      </c>
      <c r="I1492">
        <v>11</v>
      </c>
      <c r="J1492" s="54">
        <f t="shared" si="23"/>
        <v>6</v>
      </c>
    </row>
    <row r="1493" spans="1:10">
      <c r="A1493" s="43">
        <v>42825</v>
      </c>
      <c r="B1493">
        <v>2008</v>
      </c>
      <c r="C1493">
        <v>2650</v>
      </c>
      <c r="D1493">
        <v>1492</v>
      </c>
      <c r="E1493">
        <v>6600</v>
      </c>
      <c r="F1493" t="s">
        <v>59</v>
      </c>
      <c r="G1493">
        <v>9</v>
      </c>
      <c r="H1493" t="s">
        <v>133</v>
      </c>
      <c r="I1493">
        <v>11</v>
      </c>
      <c r="J1493" s="54">
        <f t="shared" si="23"/>
        <v>9</v>
      </c>
    </row>
    <row r="1494" spans="1:10">
      <c r="A1494" s="43">
        <v>42447</v>
      </c>
      <c r="B1494">
        <v>2008</v>
      </c>
      <c r="C1494">
        <v>2650</v>
      </c>
      <c r="D1494">
        <v>1493</v>
      </c>
      <c r="E1494">
        <v>6000</v>
      </c>
      <c r="F1494" t="s">
        <v>59</v>
      </c>
      <c r="G1494">
        <v>12</v>
      </c>
      <c r="H1494" t="s">
        <v>133</v>
      </c>
      <c r="I1494">
        <v>11</v>
      </c>
      <c r="J1494" s="54">
        <f t="shared" si="23"/>
        <v>12</v>
      </c>
    </row>
    <row r="1495" spans="1:10">
      <c r="A1495" s="43">
        <v>43594</v>
      </c>
      <c r="B1495">
        <v>2009</v>
      </c>
      <c r="C1495">
        <v>2664</v>
      </c>
      <c r="D1495">
        <v>1494</v>
      </c>
      <c r="E1495">
        <v>8500</v>
      </c>
      <c r="F1495" t="s">
        <v>59</v>
      </c>
      <c r="G1495">
        <v>3</v>
      </c>
      <c r="H1495" t="s">
        <v>133</v>
      </c>
      <c r="I1495">
        <v>10</v>
      </c>
      <c r="J1495" s="54">
        <f t="shared" si="23"/>
        <v>3</v>
      </c>
    </row>
    <row r="1496" spans="1:10">
      <c r="A1496" s="43">
        <v>43570</v>
      </c>
      <c r="B1496">
        <v>2009</v>
      </c>
      <c r="C1496">
        <v>2664</v>
      </c>
      <c r="D1496">
        <v>1495</v>
      </c>
      <c r="E1496">
        <v>8900</v>
      </c>
      <c r="F1496" t="s">
        <v>59</v>
      </c>
      <c r="G1496">
        <v>35</v>
      </c>
      <c r="H1496" t="s">
        <v>60</v>
      </c>
      <c r="I1496">
        <v>10</v>
      </c>
      <c r="J1496" s="54">
        <f t="shared" si="23"/>
        <v>1</v>
      </c>
    </row>
    <row r="1497" spans="1:10">
      <c r="A1497" s="43">
        <v>43411</v>
      </c>
      <c r="B1497">
        <v>2009</v>
      </c>
      <c r="C1497">
        <v>2664</v>
      </c>
      <c r="D1497">
        <v>1496</v>
      </c>
      <c r="E1497">
        <v>9850</v>
      </c>
      <c r="F1497" t="s">
        <v>59</v>
      </c>
      <c r="G1497">
        <v>8</v>
      </c>
      <c r="H1497" t="s">
        <v>133</v>
      </c>
      <c r="I1497">
        <v>10</v>
      </c>
      <c r="J1497" s="54">
        <f t="shared" si="23"/>
        <v>8</v>
      </c>
    </row>
    <row r="1498" spans="1:10">
      <c r="A1498" s="43">
        <v>43285</v>
      </c>
      <c r="B1498">
        <v>2009</v>
      </c>
      <c r="C1498">
        <v>2664</v>
      </c>
      <c r="D1498">
        <v>1497</v>
      </c>
      <c r="E1498">
        <v>11900</v>
      </c>
      <c r="F1498" t="s">
        <v>59</v>
      </c>
      <c r="G1498">
        <v>4</v>
      </c>
      <c r="H1498" t="s">
        <v>133</v>
      </c>
      <c r="I1498">
        <v>10</v>
      </c>
      <c r="J1498" s="54">
        <f t="shared" si="23"/>
        <v>4</v>
      </c>
    </row>
    <row r="1499" spans="1:10">
      <c r="A1499" s="43">
        <v>43171</v>
      </c>
      <c r="B1499">
        <v>2009</v>
      </c>
      <c r="C1499">
        <v>2664</v>
      </c>
      <c r="D1499">
        <v>1498</v>
      </c>
      <c r="E1499">
        <v>10500</v>
      </c>
      <c r="F1499" t="s">
        <v>59</v>
      </c>
      <c r="G1499">
        <v>4</v>
      </c>
      <c r="H1499" t="s">
        <v>133</v>
      </c>
      <c r="I1499">
        <v>10</v>
      </c>
      <c r="J1499" s="54">
        <f t="shared" si="23"/>
        <v>4</v>
      </c>
    </row>
    <row r="1500" spans="1:10">
      <c r="A1500" s="43">
        <v>43024</v>
      </c>
      <c r="B1500">
        <v>2009</v>
      </c>
      <c r="C1500">
        <v>2664</v>
      </c>
      <c r="D1500">
        <v>1499</v>
      </c>
      <c r="E1500">
        <v>9000</v>
      </c>
      <c r="F1500" t="s">
        <v>59</v>
      </c>
      <c r="G1500">
        <v>7</v>
      </c>
      <c r="H1500" t="s">
        <v>133</v>
      </c>
      <c r="I1500">
        <v>10</v>
      </c>
      <c r="J1500" s="54">
        <f t="shared" si="23"/>
        <v>7</v>
      </c>
    </row>
    <row r="1501" spans="1:10">
      <c r="A1501" s="43">
        <v>42992</v>
      </c>
      <c r="B1501">
        <v>2009</v>
      </c>
      <c r="C1501">
        <v>2664</v>
      </c>
      <c r="D1501">
        <v>1500</v>
      </c>
      <c r="E1501">
        <v>8500</v>
      </c>
      <c r="F1501" t="s">
        <v>59</v>
      </c>
      <c r="G1501">
        <v>6</v>
      </c>
      <c r="H1501" t="s">
        <v>133</v>
      </c>
      <c r="I1501">
        <v>10</v>
      </c>
      <c r="J1501" s="54">
        <f t="shared" si="23"/>
        <v>6</v>
      </c>
    </row>
    <row r="1502" spans="1:10">
      <c r="A1502" s="43">
        <v>42941</v>
      </c>
      <c r="B1502">
        <v>2009</v>
      </c>
      <c r="C1502">
        <v>2664</v>
      </c>
      <c r="D1502">
        <v>1501</v>
      </c>
      <c r="E1502">
        <v>9200</v>
      </c>
      <c r="F1502" t="s">
        <v>59</v>
      </c>
      <c r="G1502">
        <v>4</v>
      </c>
      <c r="H1502" t="s">
        <v>133</v>
      </c>
      <c r="I1502">
        <v>10</v>
      </c>
      <c r="J1502" s="54">
        <f t="shared" si="23"/>
        <v>4</v>
      </c>
    </row>
    <row r="1503" spans="1:10">
      <c r="A1503" s="43">
        <v>42937</v>
      </c>
      <c r="B1503">
        <v>2009</v>
      </c>
      <c r="C1503">
        <v>2664</v>
      </c>
      <c r="D1503">
        <v>1502</v>
      </c>
      <c r="E1503">
        <v>8500</v>
      </c>
      <c r="F1503" t="s">
        <v>59</v>
      </c>
      <c r="G1503">
        <v>9</v>
      </c>
      <c r="H1503" t="s">
        <v>133</v>
      </c>
      <c r="I1503">
        <v>10</v>
      </c>
      <c r="J1503" s="54">
        <f t="shared" si="23"/>
        <v>9</v>
      </c>
    </row>
    <row r="1504" spans="1:10">
      <c r="A1504" s="43">
        <v>42874</v>
      </c>
      <c r="B1504">
        <v>2009</v>
      </c>
      <c r="C1504">
        <v>2664</v>
      </c>
      <c r="D1504">
        <v>1503</v>
      </c>
      <c r="E1504">
        <v>9250</v>
      </c>
      <c r="F1504" t="s">
        <v>59</v>
      </c>
      <c r="G1504">
        <v>6</v>
      </c>
      <c r="H1504" t="s">
        <v>133</v>
      </c>
      <c r="I1504">
        <v>10</v>
      </c>
      <c r="J1504" s="54">
        <f t="shared" si="23"/>
        <v>6</v>
      </c>
    </row>
    <row r="1505" spans="1:10">
      <c r="A1505" s="43">
        <v>42748</v>
      </c>
      <c r="B1505">
        <v>2009</v>
      </c>
      <c r="C1505">
        <v>2664</v>
      </c>
      <c r="D1505">
        <v>1504</v>
      </c>
      <c r="E1505">
        <v>6000</v>
      </c>
      <c r="F1505" t="s">
        <v>59</v>
      </c>
      <c r="G1505">
        <v>4</v>
      </c>
      <c r="H1505" t="s">
        <v>133</v>
      </c>
      <c r="I1505">
        <v>10</v>
      </c>
      <c r="J1505" s="54">
        <f t="shared" si="23"/>
        <v>4</v>
      </c>
    </row>
    <row r="1506" spans="1:10">
      <c r="A1506" s="43">
        <v>42739</v>
      </c>
      <c r="B1506">
        <v>2009</v>
      </c>
      <c r="C1506">
        <v>2664</v>
      </c>
      <c r="D1506">
        <v>1505</v>
      </c>
      <c r="E1506">
        <v>6000</v>
      </c>
      <c r="F1506" t="s">
        <v>59</v>
      </c>
      <c r="G1506">
        <v>4</v>
      </c>
      <c r="H1506" t="s">
        <v>133</v>
      </c>
      <c r="I1506">
        <v>10</v>
      </c>
      <c r="J1506" s="54">
        <f t="shared" si="23"/>
        <v>4</v>
      </c>
    </row>
    <row r="1507" spans="1:10">
      <c r="A1507" s="43">
        <v>42614</v>
      </c>
      <c r="B1507">
        <v>2008</v>
      </c>
      <c r="C1507">
        <v>2664</v>
      </c>
      <c r="D1507">
        <v>1506</v>
      </c>
      <c r="E1507">
        <v>6250</v>
      </c>
      <c r="F1507" t="s">
        <v>59</v>
      </c>
      <c r="G1507">
        <v>7</v>
      </c>
      <c r="H1507" t="s">
        <v>133</v>
      </c>
      <c r="I1507">
        <v>11</v>
      </c>
      <c r="J1507" s="54">
        <f t="shared" si="23"/>
        <v>7</v>
      </c>
    </row>
    <row r="1508" spans="1:10">
      <c r="A1508" s="43">
        <v>42577</v>
      </c>
      <c r="B1508">
        <v>2009</v>
      </c>
      <c r="C1508">
        <v>2664</v>
      </c>
      <c r="D1508">
        <v>1507</v>
      </c>
      <c r="E1508">
        <v>6000</v>
      </c>
      <c r="F1508" t="s">
        <v>59</v>
      </c>
      <c r="G1508">
        <v>6</v>
      </c>
      <c r="H1508" t="s">
        <v>133</v>
      </c>
      <c r="I1508">
        <v>10</v>
      </c>
      <c r="J1508" s="54">
        <f t="shared" si="23"/>
        <v>6</v>
      </c>
    </row>
    <row r="1509" spans="1:10">
      <c r="A1509" s="43">
        <v>42566</v>
      </c>
      <c r="B1509">
        <v>2009</v>
      </c>
      <c r="C1509">
        <v>2664</v>
      </c>
      <c r="D1509">
        <v>1508</v>
      </c>
      <c r="E1509">
        <v>6000</v>
      </c>
      <c r="F1509" t="s">
        <v>59</v>
      </c>
      <c r="G1509">
        <v>8</v>
      </c>
      <c r="H1509" t="s">
        <v>133</v>
      </c>
      <c r="I1509">
        <v>10</v>
      </c>
      <c r="J1509" s="54">
        <f t="shared" si="23"/>
        <v>8</v>
      </c>
    </row>
    <row r="1510" spans="1:10">
      <c r="A1510" s="43">
        <v>42423</v>
      </c>
      <c r="B1510">
        <v>2009</v>
      </c>
      <c r="C1510">
        <v>2664</v>
      </c>
      <c r="D1510">
        <v>1509</v>
      </c>
      <c r="E1510">
        <v>6800</v>
      </c>
      <c r="F1510" t="s">
        <v>59</v>
      </c>
      <c r="G1510">
        <v>6</v>
      </c>
      <c r="H1510" t="s">
        <v>133</v>
      </c>
      <c r="I1510">
        <v>10</v>
      </c>
      <c r="J1510" s="54">
        <f t="shared" si="23"/>
        <v>6</v>
      </c>
    </row>
    <row r="1511" spans="1:10">
      <c r="A1511" s="43">
        <v>42401</v>
      </c>
      <c r="B1511">
        <v>2009</v>
      </c>
      <c r="C1511">
        <v>2664</v>
      </c>
      <c r="D1511">
        <v>1510</v>
      </c>
      <c r="E1511">
        <v>6000</v>
      </c>
      <c r="F1511" t="s">
        <v>59</v>
      </c>
      <c r="G1511">
        <v>6</v>
      </c>
      <c r="H1511" t="s">
        <v>133</v>
      </c>
      <c r="I1511">
        <v>10</v>
      </c>
      <c r="J1511" s="54">
        <f t="shared" si="23"/>
        <v>6</v>
      </c>
    </row>
    <row r="1512" spans="1:10">
      <c r="A1512" s="43">
        <v>43070</v>
      </c>
      <c r="B1512">
        <v>2008</v>
      </c>
      <c r="C1512">
        <v>2690</v>
      </c>
      <c r="D1512">
        <v>1511</v>
      </c>
      <c r="E1512">
        <v>8600</v>
      </c>
      <c r="F1512" t="s">
        <v>59</v>
      </c>
      <c r="G1512">
        <v>49</v>
      </c>
      <c r="H1512" t="s">
        <v>60</v>
      </c>
      <c r="I1512">
        <v>11</v>
      </c>
      <c r="J1512" s="54">
        <f t="shared" si="23"/>
        <v>2</v>
      </c>
    </row>
    <row r="1513" spans="1:10">
      <c r="A1513" s="43">
        <v>42865</v>
      </c>
      <c r="B1513">
        <v>2008</v>
      </c>
      <c r="C1513">
        <v>2690</v>
      </c>
      <c r="D1513">
        <v>1512</v>
      </c>
      <c r="E1513">
        <v>9000</v>
      </c>
      <c r="F1513" t="s">
        <v>59</v>
      </c>
      <c r="G1513">
        <v>6</v>
      </c>
      <c r="H1513" t="s">
        <v>133</v>
      </c>
      <c r="I1513">
        <v>11</v>
      </c>
      <c r="J1513" s="54">
        <f t="shared" si="23"/>
        <v>6</v>
      </c>
    </row>
    <row r="1514" spans="1:10">
      <c r="A1514" s="43">
        <v>42662</v>
      </c>
      <c r="B1514">
        <v>2008</v>
      </c>
      <c r="C1514">
        <v>2690</v>
      </c>
      <c r="D1514">
        <v>1513</v>
      </c>
      <c r="E1514">
        <v>6000</v>
      </c>
      <c r="F1514" t="s">
        <v>59</v>
      </c>
      <c r="G1514">
        <v>8</v>
      </c>
      <c r="H1514" t="s">
        <v>133</v>
      </c>
      <c r="I1514">
        <v>11</v>
      </c>
      <c r="J1514" s="54">
        <f t="shared" si="23"/>
        <v>8</v>
      </c>
    </row>
    <row r="1515" spans="1:10">
      <c r="A1515" s="43">
        <v>43483</v>
      </c>
      <c r="B1515">
        <v>2008</v>
      </c>
      <c r="C1515">
        <v>2700</v>
      </c>
      <c r="D1515">
        <v>1514</v>
      </c>
      <c r="E1515">
        <v>8500</v>
      </c>
      <c r="F1515" t="s">
        <v>59</v>
      </c>
      <c r="G1515">
        <v>9</v>
      </c>
      <c r="H1515" t="s">
        <v>133</v>
      </c>
      <c r="I1515">
        <v>11</v>
      </c>
      <c r="J1515" s="54">
        <f t="shared" si="23"/>
        <v>9</v>
      </c>
    </row>
    <row r="1516" spans="1:10">
      <c r="A1516" s="43">
        <v>43243</v>
      </c>
      <c r="B1516">
        <v>2008</v>
      </c>
      <c r="C1516">
        <v>2700</v>
      </c>
      <c r="D1516">
        <v>1515</v>
      </c>
      <c r="E1516">
        <v>12200</v>
      </c>
      <c r="F1516" t="s">
        <v>59</v>
      </c>
      <c r="G1516">
        <v>6</v>
      </c>
      <c r="H1516" t="s">
        <v>133</v>
      </c>
      <c r="I1516">
        <v>11</v>
      </c>
      <c r="J1516" s="54">
        <f t="shared" si="23"/>
        <v>6</v>
      </c>
    </row>
    <row r="1517" spans="1:10">
      <c r="A1517" s="43">
        <v>43235</v>
      </c>
      <c r="B1517">
        <v>2008</v>
      </c>
      <c r="C1517">
        <v>2700</v>
      </c>
      <c r="D1517">
        <v>1516</v>
      </c>
      <c r="E1517">
        <v>12000</v>
      </c>
      <c r="F1517" t="s">
        <v>59</v>
      </c>
      <c r="G1517">
        <v>6</v>
      </c>
      <c r="H1517" t="s">
        <v>133</v>
      </c>
      <c r="I1517">
        <v>11</v>
      </c>
      <c r="J1517" s="54">
        <f t="shared" si="23"/>
        <v>6</v>
      </c>
    </row>
    <row r="1518" spans="1:10">
      <c r="A1518" s="43">
        <v>43205</v>
      </c>
      <c r="B1518">
        <v>2008</v>
      </c>
      <c r="C1518">
        <v>2700</v>
      </c>
      <c r="D1518">
        <v>1517</v>
      </c>
      <c r="E1518">
        <v>11350</v>
      </c>
      <c r="F1518" t="s">
        <v>59</v>
      </c>
      <c r="G1518">
        <v>6</v>
      </c>
      <c r="H1518" t="s">
        <v>133</v>
      </c>
      <c r="I1518">
        <v>11</v>
      </c>
      <c r="J1518" s="54">
        <f t="shared" si="23"/>
        <v>6</v>
      </c>
    </row>
    <row r="1519" spans="1:10">
      <c r="A1519" s="43">
        <v>42867</v>
      </c>
      <c r="B1519">
        <v>2008</v>
      </c>
      <c r="C1519">
        <v>2700</v>
      </c>
      <c r="D1519">
        <v>1518</v>
      </c>
      <c r="E1519">
        <v>9800</v>
      </c>
      <c r="F1519" t="s">
        <v>59</v>
      </c>
      <c r="G1519">
        <v>12</v>
      </c>
      <c r="H1519" t="s">
        <v>133</v>
      </c>
      <c r="I1519">
        <v>11</v>
      </c>
      <c r="J1519" s="54">
        <f t="shared" si="23"/>
        <v>12</v>
      </c>
    </row>
    <row r="1520" spans="1:10">
      <c r="A1520" s="43">
        <v>42614</v>
      </c>
      <c r="B1520">
        <v>2008</v>
      </c>
      <c r="C1520">
        <v>2700</v>
      </c>
      <c r="D1520">
        <v>1519</v>
      </c>
      <c r="E1520">
        <v>6100</v>
      </c>
      <c r="F1520" t="s">
        <v>59</v>
      </c>
      <c r="G1520">
        <v>9</v>
      </c>
      <c r="H1520" t="s">
        <v>133</v>
      </c>
      <c r="I1520">
        <v>11</v>
      </c>
      <c r="J1520" s="54">
        <f t="shared" si="23"/>
        <v>9</v>
      </c>
    </row>
    <row r="1521" spans="1:10">
      <c r="A1521" s="43">
        <v>42433</v>
      </c>
      <c r="B1521">
        <v>2008</v>
      </c>
      <c r="C1521">
        <v>2700</v>
      </c>
      <c r="D1521">
        <v>1520</v>
      </c>
      <c r="E1521">
        <v>6500</v>
      </c>
      <c r="F1521" t="s">
        <v>59</v>
      </c>
      <c r="G1521">
        <v>9</v>
      </c>
      <c r="H1521" t="s">
        <v>133</v>
      </c>
      <c r="I1521">
        <v>11</v>
      </c>
      <c r="J1521" s="54">
        <f t="shared" si="23"/>
        <v>9</v>
      </c>
    </row>
    <row r="1522" spans="1:10">
      <c r="A1522" s="43">
        <v>43597</v>
      </c>
      <c r="B1522">
        <v>2007</v>
      </c>
      <c r="C1522">
        <v>2702</v>
      </c>
      <c r="D1522">
        <v>1521</v>
      </c>
      <c r="E1522">
        <v>9000</v>
      </c>
      <c r="F1522" t="s">
        <v>59</v>
      </c>
      <c r="G1522">
        <v>10</v>
      </c>
      <c r="H1522" t="s">
        <v>133</v>
      </c>
      <c r="I1522">
        <v>12</v>
      </c>
      <c r="J1522" s="54">
        <f t="shared" si="23"/>
        <v>10</v>
      </c>
    </row>
    <row r="1523" spans="1:10">
      <c r="A1523" s="43">
        <v>43516</v>
      </c>
      <c r="B1523">
        <v>2007</v>
      </c>
      <c r="C1523">
        <v>2702</v>
      </c>
      <c r="D1523">
        <v>1522</v>
      </c>
      <c r="E1523">
        <v>8500</v>
      </c>
      <c r="F1523" t="s">
        <v>59</v>
      </c>
      <c r="G1523">
        <v>4</v>
      </c>
      <c r="H1523" t="s">
        <v>133</v>
      </c>
      <c r="I1523">
        <v>12</v>
      </c>
      <c r="J1523" s="54">
        <f t="shared" si="23"/>
        <v>4</v>
      </c>
    </row>
    <row r="1524" spans="1:10">
      <c r="A1524" s="43">
        <v>43510</v>
      </c>
      <c r="B1524">
        <v>2007</v>
      </c>
      <c r="C1524">
        <v>2702</v>
      </c>
      <c r="D1524">
        <v>1523</v>
      </c>
      <c r="E1524">
        <v>8250</v>
      </c>
      <c r="F1524" t="s">
        <v>59</v>
      </c>
      <c r="G1524">
        <v>3</v>
      </c>
      <c r="H1524" t="s">
        <v>133</v>
      </c>
      <c r="I1524">
        <v>12</v>
      </c>
      <c r="J1524" s="54">
        <f t="shared" si="23"/>
        <v>3</v>
      </c>
    </row>
    <row r="1525" spans="1:10">
      <c r="A1525" s="43">
        <v>43500</v>
      </c>
      <c r="B1525">
        <v>2008</v>
      </c>
      <c r="C1525">
        <v>2702</v>
      </c>
      <c r="D1525">
        <v>1524</v>
      </c>
      <c r="E1525">
        <v>8500</v>
      </c>
      <c r="F1525" t="s">
        <v>59</v>
      </c>
      <c r="G1525">
        <v>5</v>
      </c>
      <c r="H1525" t="s">
        <v>133</v>
      </c>
      <c r="I1525">
        <v>11</v>
      </c>
      <c r="J1525" s="54">
        <f t="shared" si="23"/>
        <v>5</v>
      </c>
    </row>
    <row r="1526" spans="1:10">
      <c r="A1526" s="43">
        <v>43500</v>
      </c>
      <c r="B1526">
        <v>2009</v>
      </c>
      <c r="C1526">
        <v>2702</v>
      </c>
      <c r="D1526">
        <v>1525</v>
      </c>
      <c r="E1526">
        <v>8500</v>
      </c>
      <c r="F1526" t="s">
        <v>59</v>
      </c>
      <c r="G1526">
        <v>8</v>
      </c>
      <c r="H1526" t="s">
        <v>133</v>
      </c>
      <c r="I1526">
        <v>10</v>
      </c>
      <c r="J1526" s="54">
        <f t="shared" si="23"/>
        <v>8</v>
      </c>
    </row>
    <row r="1527" spans="1:10">
      <c r="A1527" s="43">
        <v>43482</v>
      </c>
      <c r="B1527">
        <v>2008</v>
      </c>
      <c r="C1527">
        <v>2702</v>
      </c>
      <c r="D1527">
        <v>1526</v>
      </c>
      <c r="E1527">
        <v>8750</v>
      </c>
      <c r="F1527" t="s">
        <v>59</v>
      </c>
      <c r="G1527">
        <v>8</v>
      </c>
      <c r="H1527" t="s">
        <v>133</v>
      </c>
      <c r="I1527">
        <v>11</v>
      </c>
      <c r="J1527" s="54">
        <f t="shared" si="23"/>
        <v>8</v>
      </c>
    </row>
    <row r="1528" spans="1:10">
      <c r="A1528" s="43">
        <v>43468</v>
      </c>
      <c r="B1528">
        <v>2009</v>
      </c>
      <c r="C1528">
        <v>2702</v>
      </c>
      <c r="D1528">
        <v>1527</v>
      </c>
      <c r="E1528">
        <v>9300</v>
      </c>
      <c r="F1528" t="s">
        <v>59</v>
      </c>
      <c r="G1528">
        <v>30</v>
      </c>
      <c r="H1528" t="s">
        <v>60</v>
      </c>
      <c r="I1528">
        <v>10</v>
      </c>
      <c r="J1528" s="54">
        <f t="shared" si="23"/>
        <v>1</v>
      </c>
    </row>
    <row r="1529" spans="1:10">
      <c r="A1529" s="43">
        <v>43402</v>
      </c>
      <c r="B1529">
        <v>2007</v>
      </c>
      <c r="C1529">
        <v>2702</v>
      </c>
      <c r="D1529">
        <v>1528</v>
      </c>
      <c r="E1529">
        <v>10400</v>
      </c>
      <c r="F1529" t="s">
        <v>59</v>
      </c>
      <c r="G1529">
        <v>5</v>
      </c>
      <c r="H1529" t="s">
        <v>133</v>
      </c>
      <c r="I1529">
        <v>12</v>
      </c>
      <c r="J1529" s="54">
        <f t="shared" si="23"/>
        <v>5</v>
      </c>
    </row>
    <row r="1530" spans="1:10">
      <c r="A1530" s="43">
        <v>43395</v>
      </c>
      <c r="B1530">
        <v>2008</v>
      </c>
      <c r="C1530">
        <v>2702</v>
      </c>
      <c r="D1530">
        <v>1529</v>
      </c>
      <c r="E1530">
        <v>10600</v>
      </c>
      <c r="F1530" t="s">
        <v>59</v>
      </c>
      <c r="G1530">
        <v>6</v>
      </c>
      <c r="H1530" t="s">
        <v>133</v>
      </c>
      <c r="I1530">
        <v>11</v>
      </c>
      <c r="J1530" s="54">
        <f t="shared" si="23"/>
        <v>6</v>
      </c>
    </row>
    <row r="1531" spans="1:10">
      <c r="A1531" s="43">
        <v>43374</v>
      </c>
      <c r="B1531">
        <v>2007</v>
      </c>
      <c r="C1531">
        <v>2702</v>
      </c>
      <c r="D1531">
        <v>1530</v>
      </c>
      <c r="E1531">
        <v>10600</v>
      </c>
      <c r="F1531" t="s">
        <v>59</v>
      </c>
      <c r="G1531">
        <v>6</v>
      </c>
      <c r="H1531" t="s">
        <v>133</v>
      </c>
      <c r="I1531">
        <v>12</v>
      </c>
      <c r="J1531" s="54">
        <f t="shared" si="23"/>
        <v>6</v>
      </c>
    </row>
    <row r="1532" spans="1:10">
      <c r="A1532" s="43">
        <v>43335</v>
      </c>
      <c r="B1532">
        <v>2008</v>
      </c>
      <c r="C1532">
        <v>2702</v>
      </c>
      <c r="D1532">
        <v>1531</v>
      </c>
      <c r="E1532">
        <v>11200</v>
      </c>
      <c r="F1532" t="s">
        <v>59</v>
      </c>
      <c r="G1532">
        <v>9</v>
      </c>
      <c r="H1532" t="s">
        <v>133</v>
      </c>
      <c r="I1532">
        <v>11</v>
      </c>
      <c r="J1532" s="54">
        <f t="shared" si="23"/>
        <v>9</v>
      </c>
    </row>
    <row r="1533" spans="1:10">
      <c r="A1533" s="43">
        <v>43285</v>
      </c>
      <c r="B1533">
        <v>2008</v>
      </c>
      <c r="C1533">
        <v>2702</v>
      </c>
      <c r="D1533">
        <v>1532</v>
      </c>
      <c r="E1533">
        <v>12500</v>
      </c>
      <c r="F1533" t="s">
        <v>59</v>
      </c>
      <c r="G1533">
        <v>4</v>
      </c>
      <c r="H1533" t="s">
        <v>133</v>
      </c>
      <c r="I1533">
        <v>11</v>
      </c>
      <c r="J1533" s="54">
        <f t="shared" si="23"/>
        <v>4</v>
      </c>
    </row>
    <row r="1534" spans="1:10">
      <c r="A1534" s="43">
        <v>43271</v>
      </c>
      <c r="B1534">
        <v>2007</v>
      </c>
      <c r="C1534">
        <v>2702</v>
      </c>
      <c r="D1534">
        <v>1533</v>
      </c>
      <c r="E1534">
        <v>12000</v>
      </c>
      <c r="F1534" t="s">
        <v>59</v>
      </c>
      <c r="G1534">
        <v>6</v>
      </c>
      <c r="H1534" t="s">
        <v>133</v>
      </c>
      <c r="I1534">
        <v>12</v>
      </c>
      <c r="J1534" s="54">
        <f t="shared" si="23"/>
        <v>6</v>
      </c>
    </row>
    <row r="1535" spans="1:10">
      <c r="A1535" s="43">
        <v>43262</v>
      </c>
      <c r="B1535">
        <v>2006</v>
      </c>
      <c r="C1535">
        <v>2702</v>
      </c>
      <c r="D1535">
        <v>1534</v>
      </c>
      <c r="E1535">
        <v>12150</v>
      </c>
      <c r="F1535" t="s">
        <v>59</v>
      </c>
      <c r="G1535">
        <v>7</v>
      </c>
      <c r="H1535" t="s">
        <v>133</v>
      </c>
      <c r="I1535">
        <v>13</v>
      </c>
      <c r="J1535" s="54">
        <f t="shared" si="23"/>
        <v>7</v>
      </c>
    </row>
    <row r="1536" spans="1:10">
      <c r="A1536" s="43">
        <v>43257</v>
      </c>
      <c r="B1536">
        <v>2007</v>
      </c>
      <c r="C1536">
        <v>2702</v>
      </c>
      <c r="D1536">
        <v>1535</v>
      </c>
      <c r="E1536">
        <v>12000</v>
      </c>
      <c r="F1536" t="s">
        <v>59</v>
      </c>
      <c r="G1536">
        <v>12</v>
      </c>
      <c r="H1536" t="s">
        <v>133</v>
      </c>
      <c r="I1536">
        <v>12</v>
      </c>
      <c r="J1536" s="54">
        <f t="shared" si="23"/>
        <v>12</v>
      </c>
    </row>
    <row r="1537" spans="1:10">
      <c r="A1537" s="43">
        <v>43256</v>
      </c>
      <c r="B1537">
        <v>2007</v>
      </c>
      <c r="C1537">
        <v>2702</v>
      </c>
      <c r="D1537">
        <v>1536</v>
      </c>
      <c r="E1537">
        <v>12500</v>
      </c>
      <c r="F1537" t="s">
        <v>59</v>
      </c>
      <c r="G1537">
        <v>11</v>
      </c>
      <c r="H1537" t="s">
        <v>133</v>
      </c>
      <c r="I1537">
        <v>12</v>
      </c>
      <c r="J1537" s="54">
        <f t="shared" si="23"/>
        <v>11</v>
      </c>
    </row>
    <row r="1538" spans="1:10">
      <c r="A1538" s="43">
        <v>43252</v>
      </c>
      <c r="B1538">
        <v>2009</v>
      </c>
      <c r="C1538">
        <v>2702</v>
      </c>
      <c r="D1538">
        <v>1537</v>
      </c>
      <c r="E1538">
        <v>12500</v>
      </c>
      <c r="F1538" t="s">
        <v>59</v>
      </c>
      <c r="G1538">
        <v>6</v>
      </c>
      <c r="H1538" t="s">
        <v>133</v>
      </c>
      <c r="I1538">
        <v>10</v>
      </c>
      <c r="J1538" s="54">
        <f t="shared" ref="J1538:J1601" si="24">IF(H1538="days",ROUND(G1538/30,0),IF(H1538="years",G1538*12,G1538))</f>
        <v>6</v>
      </c>
    </row>
    <row r="1539" spans="1:10">
      <c r="A1539" s="43">
        <v>43252</v>
      </c>
      <c r="B1539">
        <v>2008</v>
      </c>
      <c r="C1539">
        <v>2702</v>
      </c>
      <c r="D1539">
        <v>1538</v>
      </c>
      <c r="E1539">
        <v>12500</v>
      </c>
      <c r="F1539" t="s">
        <v>59</v>
      </c>
      <c r="G1539">
        <v>3</v>
      </c>
      <c r="H1539" t="s">
        <v>133</v>
      </c>
      <c r="I1539">
        <v>11</v>
      </c>
      <c r="J1539" s="54">
        <f t="shared" si="24"/>
        <v>3</v>
      </c>
    </row>
    <row r="1540" spans="1:10">
      <c r="A1540" s="43">
        <v>43231</v>
      </c>
      <c r="B1540">
        <v>2007</v>
      </c>
      <c r="C1540">
        <v>2702</v>
      </c>
      <c r="D1540">
        <v>1539</v>
      </c>
      <c r="E1540">
        <v>12000</v>
      </c>
      <c r="F1540" t="s">
        <v>59</v>
      </c>
      <c r="G1540">
        <v>12</v>
      </c>
      <c r="H1540" t="s">
        <v>133</v>
      </c>
      <c r="I1540">
        <v>12</v>
      </c>
      <c r="J1540" s="54">
        <f t="shared" si="24"/>
        <v>12</v>
      </c>
    </row>
    <row r="1541" spans="1:10">
      <c r="A1541" s="43">
        <v>43131</v>
      </c>
      <c r="B1541">
        <v>2007</v>
      </c>
      <c r="C1541">
        <v>2702</v>
      </c>
      <c r="D1541">
        <v>1540</v>
      </c>
      <c r="E1541">
        <v>9500</v>
      </c>
      <c r="F1541" t="s">
        <v>59</v>
      </c>
      <c r="G1541">
        <v>5</v>
      </c>
      <c r="H1541" t="s">
        <v>133</v>
      </c>
      <c r="I1541">
        <v>12</v>
      </c>
      <c r="J1541" s="54">
        <f t="shared" si="24"/>
        <v>5</v>
      </c>
    </row>
    <row r="1542" spans="1:10">
      <c r="A1542" s="43">
        <v>43021</v>
      </c>
      <c r="B1542">
        <v>2007</v>
      </c>
      <c r="C1542">
        <v>2702</v>
      </c>
      <c r="D1542">
        <v>1541</v>
      </c>
      <c r="E1542">
        <v>9500</v>
      </c>
      <c r="F1542" t="s">
        <v>59</v>
      </c>
      <c r="G1542">
        <v>6</v>
      </c>
      <c r="H1542" t="s">
        <v>133</v>
      </c>
      <c r="I1542">
        <v>12</v>
      </c>
      <c r="J1542" s="54">
        <f t="shared" si="24"/>
        <v>6</v>
      </c>
    </row>
    <row r="1543" spans="1:10">
      <c r="A1543" s="43">
        <v>42984</v>
      </c>
      <c r="B1543">
        <v>2007</v>
      </c>
      <c r="C1543">
        <v>2702</v>
      </c>
      <c r="D1543">
        <v>1542</v>
      </c>
      <c r="E1543">
        <v>9500</v>
      </c>
      <c r="F1543" t="s">
        <v>59</v>
      </c>
      <c r="G1543">
        <v>7</v>
      </c>
      <c r="H1543" t="s">
        <v>133</v>
      </c>
      <c r="I1543">
        <v>12</v>
      </c>
      <c r="J1543" s="54">
        <f t="shared" si="24"/>
        <v>7</v>
      </c>
    </row>
    <row r="1544" spans="1:10">
      <c r="A1544" s="43">
        <v>42948</v>
      </c>
      <c r="B1544">
        <v>2008</v>
      </c>
      <c r="C1544">
        <v>2702</v>
      </c>
      <c r="D1544">
        <v>1543</v>
      </c>
      <c r="E1544">
        <v>9350</v>
      </c>
      <c r="F1544" t="s">
        <v>59</v>
      </c>
      <c r="G1544">
        <v>9</v>
      </c>
      <c r="H1544" t="s">
        <v>133</v>
      </c>
      <c r="I1544">
        <v>11</v>
      </c>
      <c r="J1544" s="54">
        <f t="shared" si="24"/>
        <v>9</v>
      </c>
    </row>
    <row r="1545" spans="1:10">
      <c r="A1545" s="43">
        <v>42940</v>
      </c>
      <c r="B1545">
        <v>2007</v>
      </c>
      <c r="C1545">
        <v>2702</v>
      </c>
      <c r="D1545">
        <v>1544</v>
      </c>
      <c r="E1545">
        <v>8500</v>
      </c>
      <c r="F1545" t="s">
        <v>59</v>
      </c>
      <c r="G1545">
        <v>4</v>
      </c>
      <c r="H1545" t="s">
        <v>133</v>
      </c>
      <c r="I1545">
        <v>12</v>
      </c>
      <c r="J1545" s="54">
        <f t="shared" si="24"/>
        <v>4</v>
      </c>
    </row>
    <row r="1546" spans="1:10">
      <c r="A1546" s="43">
        <v>42887</v>
      </c>
      <c r="B1546">
        <v>2009</v>
      </c>
      <c r="C1546">
        <v>2702</v>
      </c>
      <c r="D1546">
        <v>1545</v>
      </c>
      <c r="E1546">
        <v>9800</v>
      </c>
      <c r="F1546" t="s">
        <v>59</v>
      </c>
      <c r="G1546">
        <v>12</v>
      </c>
      <c r="H1546" t="s">
        <v>133</v>
      </c>
      <c r="I1546">
        <v>10</v>
      </c>
      <c r="J1546" s="54">
        <f t="shared" si="24"/>
        <v>12</v>
      </c>
    </row>
    <row r="1547" spans="1:10">
      <c r="A1547" s="43">
        <v>42879</v>
      </c>
      <c r="B1547">
        <v>2008</v>
      </c>
      <c r="C1547">
        <v>2702</v>
      </c>
      <c r="D1547">
        <v>1546</v>
      </c>
      <c r="E1547">
        <v>9800</v>
      </c>
      <c r="F1547" t="s">
        <v>59</v>
      </c>
      <c r="G1547">
        <v>12</v>
      </c>
      <c r="H1547" t="s">
        <v>133</v>
      </c>
      <c r="I1547">
        <v>11</v>
      </c>
      <c r="J1547" s="54">
        <f t="shared" si="24"/>
        <v>12</v>
      </c>
    </row>
    <row r="1548" spans="1:10">
      <c r="A1548" s="43">
        <v>42859</v>
      </c>
      <c r="B1548">
        <v>2008</v>
      </c>
      <c r="C1548">
        <v>2702</v>
      </c>
      <c r="D1548">
        <v>1547</v>
      </c>
      <c r="E1548">
        <v>9800</v>
      </c>
      <c r="F1548" t="s">
        <v>59</v>
      </c>
      <c r="G1548">
        <v>6</v>
      </c>
      <c r="H1548" t="s">
        <v>133</v>
      </c>
      <c r="I1548">
        <v>11</v>
      </c>
      <c r="J1548" s="54">
        <f t="shared" si="24"/>
        <v>6</v>
      </c>
    </row>
    <row r="1549" spans="1:10">
      <c r="A1549" s="43">
        <v>42811</v>
      </c>
      <c r="B1549">
        <v>2007</v>
      </c>
      <c r="C1549">
        <v>2702</v>
      </c>
      <c r="D1549">
        <v>1548</v>
      </c>
      <c r="E1549">
        <v>6750</v>
      </c>
      <c r="F1549" t="s">
        <v>59</v>
      </c>
      <c r="G1549">
        <v>6</v>
      </c>
      <c r="H1549" t="s">
        <v>133</v>
      </c>
      <c r="I1549">
        <v>12</v>
      </c>
      <c r="J1549" s="54">
        <f t="shared" si="24"/>
        <v>6</v>
      </c>
    </row>
    <row r="1550" spans="1:10">
      <c r="A1550" s="43">
        <v>42758</v>
      </c>
      <c r="B1550">
        <v>2007</v>
      </c>
      <c r="C1550">
        <v>2702</v>
      </c>
      <c r="D1550">
        <v>1549</v>
      </c>
      <c r="E1550">
        <v>6100</v>
      </c>
      <c r="F1550" t="s">
        <v>59</v>
      </c>
      <c r="G1550">
        <v>6</v>
      </c>
      <c r="H1550" t="s">
        <v>133</v>
      </c>
      <c r="I1550">
        <v>12</v>
      </c>
      <c r="J1550" s="54">
        <f t="shared" si="24"/>
        <v>6</v>
      </c>
    </row>
    <row r="1551" spans="1:10">
      <c r="A1551" s="43">
        <v>42754</v>
      </c>
      <c r="B1551">
        <v>2007</v>
      </c>
      <c r="C1551">
        <v>2702</v>
      </c>
      <c r="D1551">
        <v>1550</v>
      </c>
      <c r="E1551">
        <v>6100</v>
      </c>
      <c r="F1551" t="s">
        <v>59</v>
      </c>
      <c r="G1551">
        <v>8</v>
      </c>
      <c r="H1551" t="s">
        <v>133</v>
      </c>
      <c r="I1551">
        <v>12</v>
      </c>
      <c r="J1551" s="54">
        <f t="shared" si="24"/>
        <v>8</v>
      </c>
    </row>
    <row r="1552" spans="1:10">
      <c r="A1552" s="43">
        <v>42754</v>
      </c>
      <c r="B1552">
        <v>2007</v>
      </c>
      <c r="C1552">
        <v>2702</v>
      </c>
      <c r="D1552">
        <v>1551</v>
      </c>
      <c r="E1552">
        <v>6100</v>
      </c>
      <c r="F1552" t="s">
        <v>59</v>
      </c>
      <c r="G1552">
        <v>6</v>
      </c>
      <c r="H1552" t="s">
        <v>133</v>
      </c>
      <c r="I1552">
        <v>12</v>
      </c>
      <c r="J1552" s="54">
        <f t="shared" si="24"/>
        <v>6</v>
      </c>
    </row>
    <row r="1553" spans="1:10">
      <c r="A1553" s="43">
        <v>42697</v>
      </c>
      <c r="B1553">
        <v>2008</v>
      </c>
      <c r="C1553">
        <v>2702</v>
      </c>
      <c r="D1553">
        <v>1552</v>
      </c>
      <c r="E1553">
        <v>6100</v>
      </c>
      <c r="F1553" t="s">
        <v>59</v>
      </c>
      <c r="G1553">
        <v>6</v>
      </c>
      <c r="H1553" t="s">
        <v>133</v>
      </c>
      <c r="I1553">
        <v>11</v>
      </c>
      <c r="J1553" s="54">
        <f t="shared" si="24"/>
        <v>6</v>
      </c>
    </row>
    <row r="1554" spans="1:10">
      <c r="A1554" s="43">
        <v>42669</v>
      </c>
      <c r="B1554">
        <v>2008</v>
      </c>
      <c r="C1554">
        <v>2702</v>
      </c>
      <c r="D1554">
        <v>1553</v>
      </c>
      <c r="E1554">
        <v>6000</v>
      </c>
      <c r="F1554" t="s">
        <v>59</v>
      </c>
      <c r="G1554">
        <v>7</v>
      </c>
      <c r="H1554" t="s">
        <v>133</v>
      </c>
      <c r="I1554">
        <v>11</v>
      </c>
      <c r="J1554" s="54">
        <f t="shared" si="24"/>
        <v>7</v>
      </c>
    </row>
    <row r="1555" spans="1:10">
      <c r="A1555" s="43">
        <v>42663</v>
      </c>
      <c r="B1555">
        <v>2009</v>
      </c>
      <c r="C1555">
        <v>2702</v>
      </c>
      <c r="D1555">
        <v>1554</v>
      </c>
      <c r="E1555">
        <v>6000</v>
      </c>
      <c r="F1555" t="s">
        <v>59</v>
      </c>
      <c r="G1555">
        <v>7</v>
      </c>
      <c r="H1555" t="s">
        <v>133</v>
      </c>
      <c r="I1555">
        <v>10</v>
      </c>
      <c r="J1555" s="54">
        <f t="shared" si="24"/>
        <v>7</v>
      </c>
    </row>
    <row r="1556" spans="1:10">
      <c r="A1556" s="43">
        <v>42629</v>
      </c>
      <c r="B1556">
        <v>2007</v>
      </c>
      <c r="C1556">
        <v>2702</v>
      </c>
      <c r="D1556">
        <v>1555</v>
      </c>
      <c r="E1556">
        <v>6100</v>
      </c>
      <c r="F1556" t="s">
        <v>59</v>
      </c>
      <c r="G1556">
        <v>9</v>
      </c>
      <c r="H1556" t="s">
        <v>133</v>
      </c>
      <c r="I1556">
        <v>12</v>
      </c>
      <c r="J1556" s="54">
        <f t="shared" si="24"/>
        <v>9</v>
      </c>
    </row>
    <row r="1557" spans="1:10">
      <c r="A1557" s="43">
        <v>42597</v>
      </c>
      <c r="B1557">
        <v>2007</v>
      </c>
      <c r="C1557">
        <v>2702</v>
      </c>
      <c r="D1557">
        <v>1556</v>
      </c>
      <c r="E1557">
        <v>6150</v>
      </c>
      <c r="F1557" t="s">
        <v>59</v>
      </c>
      <c r="G1557">
        <v>8</v>
      </c>
      <c r="H1557" t="s">
        <v>133</v>
      </c>
      <c r="I1557">
        <v>12</v>
      </c>
      <c r="J1557" s="54">
        <f t="shared" si="24"/>
        <v>8</v>
      </c>
    </row>
    <row r="1558" spans="1:10">
      <c r="A1558" s="43">
        <v>42563</v>
      </c>
      <c r="B1558">
        <v>2008</v>
      </c>
      <c r="C1558">
        <v>2702</v>
      </c>
      <c r="D1558">
        <v>1557</v>
      </c>
      <c r="E1558">
        <v>6350</v>
      </c>
      <c r="F1558" t="s">
        <v>59</v>
      </c>
      <c r="G1558">
        <v>4</v>
      </c>
      <c r="H1558" t="s">
        <v>133</v>
      </c>
      <c r="I1558">
        <v>11</v>
      </c>
      <c r="J1558" s="54">
        <f t="shared" si="24"/>
        <v>4</v>
      </c>
    </row>
    <row r="1559" spans="1:10">
      <c r="A1559" s="43">
        <v>42552</v>
      </c>
      <c r="B1559">
        <v>2007</v>
      </c>
      <c r="C1559">
        <v>2702</v>
      </c>
      <c r="D1559">
        <v>1558</v>
      </c>
      <c r="E1559">
        <v>6350</v>
      </c>
      <c r="F1559" t="s">
        <v>59</v>
      </c>
      <c r="G1559">
        <v>8</v>
      </c>
      <c r="H1559" t="s">
        <v>133</v>
      </c>
      <c r="I1559">
        <v>12</v>
      </c>
      <c r="J1559" s="54">
        <f t="shared" si="24"/>
        <v>8</v>
      </c>
    </row>
    <row r="1560" spans="1:10">
      <c r="A1560" s="43">
        <v>42542</v>
      </c>
      <c r="B1560">
        <v>2007</v>
      </c>
      <c r="C1560">
        <v>2702</v>
      </c>
      <c r="D1560">
        <v>1559</v>
      </c>
      <c r="E1560">
        <v>6400</v>
      </c>
      <c r="F1560" t="s">
        <v>59</v>
      </c>
      <c r="G1560">
        <v>4</v>
      </c>
      <c r="H1560" t="s">
        <v>133</v>
      </c>
      <c r="I1560">
        <v>12</v>
      </c>
      <c r="J1560" s="54">
        <f t="shared" si="24"/>
        <v>4</v>
      </c>
    </row>
    <row r="1561" spans="1:10">
      <c r="A1561" s="43">
        <v>42538</v>
      </c>
      <c r="B1561">
        <v>2008</v>
      </c>
      <c r="C1561">
        <v>2702</v>
      </c>
      <c r="D1561">
        <v>1560</v>
      </c>
      <c r="E1561">
        <v>6400</v>
      </c>
      <c r="F1561" t="s">
        <v>59</v>
      </c>
      <c r="G1561">
        <v>5</v>
      </c>
      <c r="H1561" t="s">
        <v>133</v>
      </c>
      <c r="I1561">
        <v>11</v>
      </c>
      <c r="J1561" s="54">
        <f t="shared" si="24"/>
        <v>5</v>
      </c>
    </row>
    <row r="1562" spans="1:10">
      <c r="A1562" s="43">
        <v>42450</v>
      </c>
      <c r="B1562">
        <v>2009</v>
      </c>
      <c r="C1562">
        <v>2702</v>
      </c>
      <c r="D1562">
        <v>1561</v>
      </c>
      <c r="E1562">
        <v>6500</v>
      </c>
      <c r="F1562" t="s">
        <v>59</v>
      </c>
      <c r="G1562">
        <v>7</v>
      </c>
      <c r="H1562" t="s">
        <v>133</v>
      </c>
      <c r="I1562">
        <v>10</v>
      </c>
      <c r="J1562" s="54">
        <f t="shared" si="24"/>
        <v>7</v>
      </c>
    </row>
    <row r="1563" spans="1:10">
      <c r="A1563" s="43">
        <v>42410</v>
      </c>
      <c r="B1563">
        <v>2008</v>
      </c>
      <c r="C1563">
        <v>2702</v>
      </c>
      <c r="D1563">
        <v>1562</v>
      </c>
      <c r="E1563">
        <v>6500</v>
      </c>
      <c r="F1563" t="s">
        <v>59</v>
      </c>
      <c r="G1563">
        <v>7</v>
      </c>
      <c r="H1563" t="s">
        <v>133</v>
      </c>
      <c r="I1563">
        <v>11</v>
      </c>
      <c r="J1563" s="54">
        <f t="shared" si="24"/>
        <v>7</v>
      </c>
    </row>
    <row r="1564" spans="1:10">
      <c r="A1564" s="43">
        <v>42403</v>
      </c>
      <c r="B1564">
        <v>2008</v>
      </c>
      <c r="C1564">
        <v>2702</v>
      </c>
      <c r="D1564">
        <v>1563</v>
      </c>
      <c r="E1564">
        <v>6350</v>
      </c>
      <c r="F1564" t="s">
        <v>59</v>
      </c>
      <c r="G1564">
        <v>6</v>
      </c>
      <c r="H1564" t="s">
        <v>133</v>
      </c>
      <c r="I1564">
        <v>11</v>
      </c>
      <c r="J1564" s="54">
        <f t="shared" si="24"/>
        <v>6</v>
      </c>
    </row>
    <row r="1565" spans="1:10">
      <c r="A1565" s="43">
        <v>42383</v>
      </c>
      <c r="B1565">
        <v>2007</v>
      </c>
      <c r="C1565">
        <v>2702</v>
      </c>
      <c r="D1565">
        <v>1564</v>
      </c>
      <c r="E1565">
        <v>6250</v>
      </c>
      <c r="F1565" t="s">
        <v>59</v>
      </c>
      <c r="G1565">
        <v>9</v>
      </c>
      <c r="H1565" t="s">
        <v>133</v>
      </c>
      <c r="I1565">
        <v>12</v>
      </c>
      <c r="J1565" s="54">
        <f t="shared" si="24"/>
        <v>9</v>
      </c>
    </row>
    <row r="1566" spans="1:10">
      <c r="A1566" s="43">
        <v>43570</v>
      </c>
      <c r="B1566">
        <v>2006</v>
      </c>
      <c r="C1566">
        <v>2714</v>
      </c>
      <c r="D1566">
        <v>1565</v>
      </c>
      <c r="E1566">
        <v>9250</v>
      </c>
      <c r="F1566" t="s">
        <v>59</v>
      </c>
      <c r="G1566">
        <v>70</v>
      </c>
      <c r="H1566" t="s">
        <v>60</v>
      </c>
      <c r="I1566">
        <v>13</v>
      </c>
      <c r="J1566" s="54">
        <f t="shared" si="24"/>
        <v>2</v>
      </c>
    </row>
    <row r="1567" spans="1:10">
      <c r="A1567" s="43">
        <v>43167</v>
      </c>
      <c r="B1567">
        <v>2006</v>
      </c>
      <c r="C1567">
        <v>2714</v>
      </c>
      <c r="D1567">
        <v>1566</v>
      </c>
      <c r="E1567">
        <v>10000</v>
      </c>
      <c r="F1567" t="s">
        <v>59</v>
      </c>
      <c r="G1567">
        <v>4</v>
      </c>
      <c r="H1567" t="s">
        <v>133</v>
      </c>
      <c r="I1567">
        <v>13</v>
      </c>
      <c r="J1567" s="54">
        <f t="shared" si="24"/>
        <v>4</v>
      </c>
    </row>
    <row r="1568" spans="1:10">
      <c r="A1568" s="43">
        <v>42783</v>
      </c>
      <c r="B1568">
        <v>2006</v>
      </c>
      <c r="C1568">
        <v>2714</v>
      </c>
      <c r="D1568">
        <v>1567</v>
      </c>
      <c r="E1568">
        <v>6500</v>
      </c>
      <c r="F1568" t="s">
        <v>59</v>
      </c>
      <c r="G1568">
        <v>7</v>
      </c>
      <c r="H1568" t="s">
        <v>133</v>
      </c>
      <c r="I1568">
        <v>13</v>
      </c>
      <c r="J1568" s="54">
        <f t="shared" si="24"/>
        <v>7</v>
      </c>
    </row>
    <row r="1569" spans="1:10">
      <c r="A1569" s="43">
        <v>42648</v>
      </c>
      <c r="B1569">
        <v>2006</v>
      </c>
      <c r="C1569">
        <v>2714</v>
      </c>
      <c r="D1569">
        <v>1568</v>
      </c>
      <c r="E1569">
        <v>6100</v>
      </c>
      <c r="F1569" t="s">
        <v>59</v>
      </c>
      <c r="G1569">
        <v>8</v>
      </c>
      <c r="H1569" t="s">
        <v>133</v>
      </c>
      <c r="I1569">
        <v>13</v>
      </c>
      <c r="J1569" s="54">
        <f t="shared" si="24"/>
        <v>8</v>
      </c>
    </row>
    <row r="1570" spans="1:10">
      <c r="A1570" s="43">
        <v>42470</v>
      </c>
      <c r="B1570">
        <v>2006</v>
      </c>
      <c r="C1570">
        <v>2714</v>
      </c>
      <c r="D1570">
        <v>1569</v>
      </c>
      <c r="E1570">
        <v>6000</v>
      </c>
      <c r="F1570" t="s">
        <v>59</v>
      </c>
      <c r="G1570">
        <v>6</v>
      </c>
      <c r="H1570" t="s">
        <v>133</v>
      </c>
      <c r="I1570">
        <v>13</v>
      </c>
      <c r="J1570" s="54">
        <f t="shared" si="24"/>
        <v>6</v>
      </c>
    </row>
    <row r="1571" spans="1:10">
      <c r="A1571" s="43">
        <v>42425</v>
      </c>
      <c r="B1571">
        <v>2006</v>
      </c>
      <c r="C1571">
        <v>2714</v>
      </c>
      <c r="D1571">
        <v>1570</v>
      </c>
      <c r="E1571">
        <v>6000</v>
      </c>
      <c r="F1571" t="s">
        <v>59</v>
      </c>
      <c r="G1571">
        <v>8</v>
      </c>
      <c r="H1571" t="s">
        <v>133</v>
      </c>
      <c r="I1571">
        <v>13</v>
      </c>
      <c r="J1571" s="54">
        <f t="shared" si="24"/>
        <v>8</v>
      </c>
    </row>
    <row r="1572" spans="1:10">
      <c r="A1572" s="43">
        <v>43525</v>
      </c>
      <c r="B1572">
        <v>2006</v>
      </c>
      <c r="C1572">
        <v>2732</v>
      </c>
      <c r="D1572">
        <v>1571</v>
      </c>
      <c r="E1572">
        <v>8500</v>
      </c>
      <c r="F1572" t="s">
        <v>59</v>
      </c>
      <c r="G1572">
        <v>10</v>
      </c>
      <c r="H1572" t="s">
        <v>133</v>
      </c>
      <c r="I1572">
        <v>13</v>
      </c>
      <c r="J1572" s="54">
        <f t="shared" si="24"/>
        <v>10</v>
      </c>
    </row>
    <row r="1573" spans="1:10">
      <c r="A1573" s="43">
        <v>43336</v>
      </c>
      <c r="B1573">
        <v>2006</v>
      </c>
      <c r="C1573">
        <v>2732</v>
      </c>
      <c r="D1573">
        <v>1572</v>
      </c>
      <c r="E1573">
        <v>11250</v>
      </c>
      <c r="F1573" t="s">
        <v>59</v>
      </c>
      <c r="G1573">
        <v>8</v>
      </c>
      <c r="H1573" t="s">
        <v>133</v>
      </c>
      <c r="I1573">
        <v>13</v>
      </c>
      <c r="J1573" s="54">
        <f t="shared" si="24"/>
        <v>8</v>
      </c>
    </row>
    <row r="1574" spans="1:10">
      <c r="A1574" s="43">
        <v>43234</v>
      </c>
      <c r="B1574">
        <v>2006</v>
      </c>
      <c r="C1574">
        <v>2732</v>
      </c>
      <c r="D1574">
        <v>1573</v>
      </c>
      <c r="E1574">
        <v>11600</v>
      </c>
      <c r="F1574" t="s">
        <v>59</v>
      </c>
      <c r="G1574">
        <v>9</v>
      </c>
      <c r="H1574" t="s">
        <v>133</v>
      </c>
      <c r="I1574">
        <v>13</v>
      </c>
      <c r="J1574" s="54">
        <f t="shared" si="24"/>
        <v>9</v>
      </c>
    </row>
    <row r="1575" spans="1:10">
      <c r="A1575" s="43">
        <v>43187</v>
      </c>
      <c r="B1575">
        <v>2006</v>
      </c>
      <c r="C1575">
        <v>2732</v>
      </c>
      <c r="D1575">
        <v>1574</v>
      </c>
      <c r="E1575">
        <v>10750</v>
      </c>
      <c r="F1575" t="s">
        <v>59</v>
      </c>
      <c r="G1575">
        <v>4</v>
      </c>
      <c r="H1575" t="s">
        <v>133</v>
      </c>
      <c r="I1575">
        <v>13</v>
      </c>
      <c r="J1575" s="54">
        <f t="shared" si="24"/>
        <v>4</v>
      </c>
    </row>
    <row r="1576" spans="1:10">
      <c r="A1576" s="43">
        <v>43104</v>
      </c>
      <c r="B1576">
        <v>2006</v>
      </c>
      <c r="C1576">
        <v>2732</v>
      </c>
      <c r="D1576">
        <v>1575</v>
      </c>
      <c r="E1576">
        <v>9000</v>
      </c>
      <c r="F1576" t="s">
        <v>59</v>
      </c>
      <c r="G1576">
        <v>5</v>
      </c>
      <c r="H1576" t="s">
        <v>133</v>
      </c>
      <c r="I1576">
        <v>13</v>
      </c>
      <c r="J1576" s="54">
        <f t="shared" si="24"/>
        <v>5</v>
      </c>
    </row>
    <row r="1577" spans="1:10">
      <c r="A1577" s="43">
        <v>42843</v>
      </c>
      <c r="B1577">
        <v>2006</v>
      </c>
      <c r="C1577">
        <v>2732</v>
      </c>
      <c r="D1577">
        <v>1576</v>
      </c>
      <c r="E1577">
        <v>8850</v>
      </c>
      <c r="F1577" t="s">
        <v>59</v>
      </c>
      <c r="G1577">
        <v>7</v>
      </c>
      <c r="H1577" t="s">
        <v>133</v>
      </c>
      <c r="I1577">
        <v>13</v>
      </c>
      <c r="J1577" s="54">
        <f t="shared" si="24"/>
        <v>7</v>
      </c>
    </row>
    <row r="1578" spans="1:10">
      <c r="A1578" s="43">
        <v>42795</v>
      </c>
      <c r="B1578">
        <v>2006</v>
      </c>
      <c r="C1578">
        <v>2732</v>
      </c>
      <c r="D1578">
        <v>1577</v>
      </c>
      <c r="E1578">
        <v>6250</v>
      </c>
      <c r="F1578" t="s">
        <v>59</v>
      </c>
      <c r="G1578">
        <v>9</v>
      </c>
      <c r="H1578" t="s">
        <v>133</v>
      </c>
      <c r="I1578">
        <v>13</v>
      </c>
      <c r="J1578" s="54">
        <f t="shared" si="24"/>
        <v>9</v>
      </c>
    </row>
    <row r="1579" spans="1:10">
      <c r="A1579" s="43">
        <v>42776</v>
      </c>
      <c r="B1579">
        <v>2006</v>
      </c>
      <c r="C1579">
        <v>2732</v>
      </c>
      <c r="D1579">
        <v>1578</v>
      </c>
      <c r="E1579">
        <v>6300</v>
      </c>
      <c r="F1579" t="s">
        <v>59</v>
      </c>
      <c r="G1579">
        <v>6</v>
      </c>
      <c r="H1579" t="s">
        <v>133</v>
      </c>
      <c r="I1579">
        <v>13</v>
      </c>
      <c r="J1579" s="54">
        <f t="shared" si="24"/>
        <v>6</v>
      </c>
    </row>
    <row r="1580" spans="1:10">
      <c r="A1580" s="43">
        <v>42705</v>
      </c>
      <c r="B1580">
        <v>2006</v>
      </c>
      <c r="C1580">
        <v>2732</v>
      </c>
      <c r="D1580">
        <v>1579</v>
      </c>
      <c r="E1580">
        <v>5500</v>
      </c>
      <c r="F1580" t="s">
        <v>59</v>
      </c>
      <c r="G1580">
        <v>90</v>
      </c>
      <c r="H1580" t="s">
        <v>60</v>
      </c>
      <c r="I1580">
        <v>13</v>
      </c>
      <c r="J1580" s="54">
        <f t="shared" si="24"/>
        <v>3</v>
      </c>
    </row>
    <row r="1581" spans="1:10">
      <c r="A1581" s="43">
        <v>42684</v>
      </c>
      <c r="B1581">
        <v>2006</v>
      </c>
      <c r="C1581">
        <v>2732</v>
      </c>
      <c r="D1581">
        <v>1580</v>
      </c>
      <c r="E1581">
        <v>6000</v>
      </c>
      <c r="F1581" t="s">
        <v>59</v>
      </c>
      <c r="G1581">
        <v>3</v>
      </c>
      <c r="H1581" t="s">
        <v>133</v>
      </c>
      <c r="I1581">
        <v>13</v>
      </c>
      <c r="J1581" s="54">
        <f t="shared" si="24"/>
        <v>3</v>
      </c>
    </row>
    <row r="1582" spans="1:10">
      <c r="A1582" s="43">
        <v>42613</v>
      </c>
      <c r="B1582">
        <v>2006</v>
      </c>
      <c r="C1582">
        <v>2732</v>
      </c>
      <c r="D1582">
        <v>1581</v>
      </c>
      <c r="E1582">
        <v>6000</v>
      </c>
      <c r="F1582" t="s">
        <v>59</v>
      </c>
      <c r="G1582">
        <v>5</v>
      </c>
      <c r="H1582" t="s">
        <v>133</v>
      </c>
      <c r="I1582">
        <v>13</v>
      </c>
      <c r="J1582" s="54">
        <f t="shared" si="24"/>
        <v>5</v>
      </c>
    </row>
    <row r="1583" spans="1:10">
      <c r="A1583" s="43">
        <v>42541</v>
      </c>
      <c r="B1583">
        <v>2006</v>
      </c>
      <c r="C1583">
        <v>2732</v>
      </c>
      <c r="D1583">
        <v>1582</v>
      </c>
      <c r="E1583">
        <v>6000</v>
      </c>
      <c r="F1583" t="s">
        <v>59</v>
      </c>
      <c r="G1583">
        <v>7</v>
      </c>
      <c r="H1583" t="s">
        <v>133</v>
      </c>
      <c r="I1583">
        <v>13</v>
      </c>
      <c r="J1583" s="54">
        <f t="shared" si="24"/>
        <v>7</v>
      </c>
    </row>
    <row r="1584" spans="1:10">
      <c r="A1584" s="43">
        <v>42541</v>
      </c>
      <c r="B1584">
        <v>2006</v>
      </c>
      <c r="C1584">
        <v>2732</v>
      </c>
      <c r="D1584">
        <v>1583</v>
      </c>
      <c r="E1584">
        <v>6000</v>
      </c>
      <c r="F1584" t="s">
        <v>59</v>
      </c>
      <c r="G1584">
        <v>7</v>
      </c>
      <c r="H1584" t="s">
        <v>133</v>
      </c>
      <c r="I1584">
        <v>13</v>
      </c>
      <c r="J1584" s="54">
        <f t="shared" si="24"/>
        <v>7</v>
      </c>
    </row>
    <row r="1585" spans="1:10">
      <c r="A1585" s="43">
        <v>42458</v>
      </c>
      <c r="B1585">
        <v>2006</v>
      </c>
      <c r="C1585">
        <v>2732</v>
      </c>
      <c r="D1585">
        <v>1584</v>
      </c>
      <c r="E1585">
        <v>6000</v>
      </c>
      <c r="F1585" t="s">
        <v>59</v>
      </c>
      <c r="G1585">
        <v>30</v>
      </c>
      <c r="H1585" t="s">
        <v>60</v>
      </c>
      <c r="I1585">
        <v>13</v>
      </c>
      <c r="J1585" s="54">
        <f t="shared" si="24"/>
        <v>1</v>
      </c>
    </row>
    <row r="1586" spans="1:10">
      <c r="A1586" s="43">
        <v>42404</v>
      </c>
      <c r="B1586">
        <v>2006</v>
      </c>
      <c r="C1586">
        <v>2732</v>
      </c>
      <c r="D1586">
        <v>1585</v>
      </c>
      <c r="E1586">
        <v>6000</v>
      </c>
      <c r="F1586" t="s">
        <v>59</v>
      </c>
      <c r="G1586">
        <v>9</v>
      </c>
      <c r="H1586" t="s">
        <v>133</v>
      </c>
      <c r="I1586">
        <v>13</v>
      </c>
      <c r="J1586" s="54">
        <f t="shared" si="24"/>
        <v>9</v>
      </c>
    </row>
    <row r="1587" spans="1:10">
      <c r="A1587" s="43">
        <v>43636</v>
      </c>
      <c r="B1587">
        <v>2007</v>
      </c>
      <c r="C1587">
        <v>2741</v>
      </c>
      <c r="D1587">
        <v>1586</v>
      </c>
      <c r="E1587">
        <v>9200</v>
      </c>
      <c r="F1587" t="s">
        <v>59</v>
      </c>
      <c r="G1587">
        <v>5</v>
      </c>
      <c r="H1587" t="s">
        <v>133</v>
      </c>
      <c r="I1587">
        <v>12</v>
      </c>
      <c r="J1587" s="54">
        <f t="shared" si="24"/>
        <v>5</v>
      </c>
    </row>
    <row r="1588" spans="1:10">
      <c r="A1588" s="43">
        <v>43623</v>
      </c>
      <c r="B1588">
        <v>2008</v>
      </c>
      <c r="C1588">
        <v>2741</v>
      </c>
      <c r="D1588">
        <v>1587</v>
      </c>
      <c r="E1588">
        <v>9100</v>
      </c>
      <c r="F1588" t="s">
        <v>59</v>
      </c>
      <c r="G1588">
        <v>5</v>
      </c>
      <c r="H1588" t="s">
        <v>133</v>
      </c>
      <c r="I1588">
        <v>11</v>
      </c>
      <c r="J1588" s="54">
        <f t="shared" si="24"/>
        <v>5</v>
      </c>
    </row>
    <row r="1589" spans="1:10">
      <c r="A1589" s="43">
        <v>43563</v>
      </c>
      <c r="B1589">
        <v>2008</v>
      </c>
      <c r="C1589">
        <v>2741</v>
      </c>
      <c r="D1589">
        <v>1588</v>
      </c>
      <c r="E1589">
        <v>8750</v>
      </c>
      <c r="F1589" t="s">
        <v>59</v>
      </c>
      <c r="G1589">
        <v>5</v>
      </c>
      <c r="H1589" t="s">
        <v>133</v>
      </c>
      <c r="I1589">
        <v>11</v>
      </c>
      <c r="J1589" s="54">
        <f t="shared" si="24"/>
        <v>5</v>
      </c>
    </row>
    <row r="1590" spans="1:10">
      <c r="A1590" s="43">
        <v>43528</v>
      </c>
      <c r="B1590">
        <v>2007</v>
      </c>
      <c r="C1590">
        <v>2741</v>
      </c>
      <c r="D1590">
        <v>1589</v>
      </c>
      <c r="E1590">
        <v>8500</v>
      </c>
      <c r="F1590" t="s">
        <v>59</v>
      </c>
      <c r="G1590">
        <v>6</v>
      </c>
      <c r="H1590" t="s">
        <v>133</v>
      </c>
      <c r="I1590">
        <v>12</v>
      </c>
      <c r="J1590" s="54">
        <f t="shared" si="24"/>
        <v>6</v>
      </c>
    </row>
    <row r="1591" spans="1:10">
      <c r="A1591" s="43">
        <v>43525</v>
      </c>
      <c r="B1591">
        <v>2006</v>
      </c>
      <c r="C1591">
        <v>2741</v>
      </c>
      <c r="D1591">
        <v>1590</v>
      </c>
      <c r="E1591">
        <v>8500</v>
      </c>
      <c r="F1591" t="s">
        <v>59</v>
      </c>
      <c r="G1591">
        <v>12</v>
      </c>
      <c r="H1591" t="s">
        <v>133</v>
      </c>
      <c r="I1591">
        <v>13</v>
      </c>
      <c r="J1591" s="54">
        <f t="shared" si="24"/>
        <v>12</v>
      </c>
    </row>
    <row r="1592" spans="1:10">
      <c r="A1592" s="43">
        <v>43516</v>
      </c>
      <c r="B1592">
        <v>2008</v>
      </c>
      <c r="C1592">
        <v>2741</v>
      </c>
      <c r="D1592">
        <v>1591</v>
      </c>
      <c r="E1592">
        <v>8500</v>
      </c>
      <c r="F1592" t="s">
        <v>59</v>
      </c>
      <c r="G1592">
        <v>2</v>
      </c>
      <c r="H1592" t="s">
        <v>133</v>
      </c>
      <c r="I1592">
        <v>11</v>
      </c>
      <c r="J1592" s="54">
        <f t="shared" si="24"/>
        <v>2</v>
      </c>
    </row>
    <row r="1593" spans="1:10">
      <c r="A1593" s="43">
        <v>43501</v>
      </c>
      <c r="B1593">
        <v>2007</v>
      </c>
      <c r="C1593">
        <v>2741</v>
      </c>
      <c r="D1593">
        <v>1592</v>
      </c>
      <c r="E1593">
        <v>8500</v>
      </c>
      <c r="F1593" t="s">
        <v>59</v>
      </c>
      <c r="G1593">
        <v>5</v>
      </c>
      <c r="H1593" t="s">
        <v>133</v>
      </c>
      <c r="I1593">
        <v>12</v>
      </c>
      <c r="J1593" s="54">
        <f t="shared" si="24"/>
        <v>5</v>
      </c>
    </row>
    <row r="1594" spans="1:10">
      <c r="A1594" s="43">
        <v>43489</v>
      </c>
      <c r="B1594">
        <v>2008</v>
      </c>
      <c r="C1594">
        <v>2741</v>
      </c>
      <c r="D1594">
        <v>1593</v>
      </c>
      <c r="E1594">
        <v>8550</v>
      </c>
      <c r="F1594" t="s">
        <v>59</v>
      </c>
      <c r="G1594">
        <v>100</v>
      </c>
      <c r="H1594" t="s">
        <v>60</v>
      </c>
      <c r="I1594">
        <v>11</v>
      </c>
      <c r="J1594" s="54">
        <f t="shared" si="24"/>
        <v>3</v>
      </c>
    </row>
    <row r="1595" spans="1:10">
      <c r="A1595" s="43">
        <v>43468</v>
      </c>
      <c r="B1595">
        <v>2007</v>
      </c>
      <c r="C1595">
        <v>2741</v>
      </c>
      <c r="D1595">
        <v>1594</v>
      </c>
      <c r="E1595">
        <v>9200</v>
      </c>
      <c r="F1595" t="s">
        <v>59</v>
      </c>
      <c r="G1595">
        <v>6</v>
      </c>
      <c r="H1595" t="s">
        <v>133</v>
      </c>
      <c r="I1595">
        <v>12</v>
      </c>
      <c r="J1595" s="54">
        <f t="shared" si="24"/>
        <v>6</v>
      </c>
    </row>
    <row r="1596" spans="1:10">
      <c r="A1596" s="43">
        <v>43432</v>
      </c>
      <c r="B1596">
        <v>2006</v>
      </c>
      <c r="C1596">
        <v>2741</v>
      </c>
      <c r="D1596">
        <v>1595</v>
      </c>
      <c r="E1596">
        <v>9500</v>
      </c>
      <c r="F1596" t="s">
        <v>59</v>
      </c>
      <c r="G1596">
        <v>6</v>
      </c>
      <c r="H1596" t="s">
        <v>133</v>
      </c>
      <c r="I1596">
        <v>13</v>
      </c>
      <c r="J1596" s="54">
        <f t="shared" si="24"/>
        <v>6</v>
      </c>
    </row>
    <row r="1597" spans="1:10">
      <c r="A1597" s="43">
        <v>43426</v>
      </c>
      <c r="B1597">
        <v>2007</v>
      </c>
      <c r="C1597">
        <v>2741</v>
      </c>
      <c r="D1597">
        <v>1596</v>
      </c>
      <c r="E1597">
        <v>10000</v>
      </c>
      <c r="F1597" t="s">
        <v>59</v>
      </c>
      <c r="G1597">
        <v>7</v>
      </c>
      <c r="H1597" t="s">
        <v>133</v>
      </c>
      <c r="I1597">
        <v>12</v>
      </c>
      <c r="J1597" s="54">
        <f t="shared" si="24"/>
        <v>7</v>
      </c>
    </row>
    <row r="1598" spans="1:10">
      <c r="A1598" s="43">
        <v>43397</v>
      </c>
      <c r="B1598">
        <v>2007</v>
      </c>
      <c r="C1598">
        <v>2741</v>
      </c>
      <c r="D1598">
        <v>1597</v>
      </c>
      <c r="E1598">
        <v>11300</v>
      </c>
      <c r="F1598" t="s">
        <v>59</v>
      </c>
      <c r="G1598">
        <v>8</v>
      </c>
      <c r="H1598" t="s">
        <v>133</v>
      </c>
      <c r="I1598">
        <v>12</v>
      </c>
      <c r="J1598" s="54">
        <f t="shared" si="24"/>
        <v>8</v>
      </c>
    </row>
    <row r="1599" spans="1:10">
      <c r="A1599" s="43">
        <v>43371</v>
      </c>
      <c r="B1599">
        <v>2008</v>
      </c>
      <c r="C1599">
        <v>2741</v>
      </c>
      <c r="D1599">
        <v>1598</v>
      </c>
      <c r="E1599">
        <v>11500</v>
      </c>
      <c r="F1599" t="s">
        <v>59</v>
      </c>
      <c r="G1599">
        <v>6</v>
      </c>
      <c r="H1599" t="s">
        <v>133</v>
      </c>
      <c r="I1599">
        <v>11</v>
      </c>
      <c r="J1599" s="54">
        <f t="shared" si="24"/>
        <v>6</v>
      </c>
    </row>
    <row r="1600" spans="1:10">
      <c r="A1600" s="43">
        <v>43256</v>
      </c>
      <c r="B1600">
        <v>2008</v>
      </c>
      <c r="C1600">
        <v>2741</v>
      </c>
      <c r="D1600">
        <v>1599</v>
      </c>
      <c r="E1600">
        <v>12500</v>
      </c>
      <c r="F1600" t="s">
        <v>59</v>
      </c>
      <c r="G1600">
        <v>12</v>
      </c>
      <c r="H1600" t="s">
        <v>133</v>
      </c>
      <c r="I1600">
        <v>11</v>
      </c>
      <c r="J1600" s="54">
        <f t="shared" si="24"/>
        <v>12</v>
      </c>
    </row>
    <row r="1601" spans="1:10">
      <c r="A1601" s="43">
        <v>43213</v>
      </c>
      <c r="B1601">
        <v>2007</v>
      </c>
      <c r="C1601">
        <v>2741</v>
      </c>
      <c r="D1601">
        <v>1600</v>
      </c>
      <c r="E1601">
        <v>11650</v>
      </c>
      <c r="F1601" t="s">
        <v>59</v>
      </c>
      <c r="G1601">
        <v>7</v>
      </c>
      <c r="H1601" t="s">
        <v>133</v>
      </c>
      <c r="I1601">
        <v>12</v>
      </c>
      <c r="J1601" s="54">
        <f t="shared" si="24"/>
        <v>7</v>
      </c>
    </row>
    <row r="1602" spans="1:10">
      <c r="A1602" s="43">
        <v>43200</v>
      </c>
      <c r="B1602">
        <v>2008</v>
      </c>
      <c r="C1602">
        <v>2741</v>
      </c>
      <c r="D1602">
        <v>1601</v>
      </c>
      <c r="E1602">
        <v>11750</v>
      </c>
      <c r="F1602" t="s">
        <v>59</v>
      </c>
      <c r="G1602">
        <v>12</v>
      </c>
      <c r="H1602" t="s">
        <v>133</v>
      </c>
      <c r="I1602">
        <v>11</v>
      </c>
      <c r="J1602" s="54">
        <f t="shared" ref="J1602:J1665" si="25">IF(H1602="days",ROUND(G1602/30,0),IF(H1602="years",G1602*12,G1602))</f>
        <v>12</v>
      </c>
    </row>
    <row r="1603" spans="1:10">
      <c r="A1603" s="43">
        <v>43165</v>
      </c>
      <c r="B1603">
        <v>2007</v>
      </c>
      <c r="C1603">
        <v>2741</v>
      </c>
      <c r="D1603">
        <v>1602</v>
      </c>
      <c r="E1603">
        <v>9800</v>
      </c>
      <c r="F1603" t="s">
        <v>59</v>
      </c>
      <c r="G1603">
        <v>7</v>
      </c>
      <c r="H1603" t="s">
        <v>133</v>
      </c>
      <c r="I1603">
        <v>12</v>
      </c>
      <c r="J1603" s="54">
        <f t="shared" si="25"/>
        <v>7</v>
      </c>
    </row>
    <row r="1604" spans="1:10">
      <c r="A1604" s="43">
        <v>43112</v>
      </c>
      <c r="B1604">
        <v>2008</v>
      </c>
      <c r="C1604">
        <v>2741</v>
      </c>
      <c r="D1604">
        <v>1603</v>
      </c>
      <c r="E1604">
        <v>9500</v>
      </c>
      <c r="F1604" t="s">
        <v>59</v>
      </c>
      <c r="G1604">
        <v>7</v>
      </c>
      <c r="H1604" t="s">
        <v>133</v>
      </c>
      <c r="I1604">
        <v>11</v>
      </c>
      <c r="J1604" s="54">
        <f t="shared" si="25"/>
        <v>7</v>
      </c>
    </row>
    <row r="1605" spans="1:10">
      <c r="A1605" s="43">
        <v>43007</v>
      </c>
      <c r="B1605">
        <v>2006</v>
      </c>
      <c r="C1605">
        <v>2741</v>
      </c>
      <c r="D1605">
        <v>1604</v>
      </c>
      <c r="E1605">
        <v>9500</v>
      </c>
      <c r="F1605" t="s">
        <v>59</v>
      </c>
      <c r="G1605">
        <v>7</v>
      </c>
      <c r="H1605" t="s">
        <v>133</v>
      </c>
      <c r="I1605">
        <v>13</v>
      </c>
      <c r="J1605" s="54">
        <f t="shared" si="25"/>
        <v>7</v>
      </c>
    </row>
    <row r="1606" spans="1:10">
      <c r="A1606" s="43">
        <v>42983</v>
      </c>
      <c r="B1606">
        <v>2007</v>
      </c>
      <c r="C1606">
        <v>2741</v>
      </c>
      <c r="D1606">
        <v>1605</v>
      </c>
      <c r="E1606">
        <v>9500</v>
      </c>
      <c r="F1606" t="s">
        <v>59</v>
      </c>
      <c r="G1606">
        <v>7</v>
      </c>
      <c r="H1606" t="s">
        <v>133</v>
      </c>
      <c r="I1606">
        <v>12</v>
      </c>
      <c r="J1606" s="54">
        <f t="shared" si="25"/>
        <v>7</v>
      </c>
    </row>
    <row r="1607" spans="1:10">
      <c r="A1607" s="43">
        <v>42962</v>
      </c>
      <c r="B1607">
        <v>2007</v>
      </c>
      <c r="C1607">
        <v>2741</v>
      </c>
      <c r="D1607">
        <v>1606</v>
      </c>
      <c r="E1607">
        <v>9450</v>
      </c>
      <c r="F1607" t="s">
        <v>59</v>
      </c>
      <c r="G1607">
        <v>6</v>
      </c>
      <c r="H1607" t="s">
        <v>133</v>
      </c>
      <c r="I1607">
        <v>12</v>
      </c>
      <c r="J1607" s="54">
        <f t="shared" si="25"/>
        <v>6</v>
      </c>
    </row>
    <row r="1608" spans="1:10">
      <c r="A1608" s="43">
        <v>42948</v>
      </c>
      <c r="B1608">
        <v>2008</v>
      </c>
      <c r="C1608">
        <v>2741</v>
      </c>
      <c r="D1608">
        <v>1607</v>
      </c>
      <c r="E1608">
        <v>9500</v>
      </c>
      <c r="F1608" t="s">
        <v>59</v>
      </c>
      <c r="G1608">
        <v>7</v>
      </c>
      <c r="H1608" t="s">
        <v>133</v>
      </c>
      <c r="I1608">
        <v>11</v>
      </c>
      <c r="J1608" s="54">
        <f t="shared" si="25"/>
        <v>7</v>
      </c>
    </row>
    <row r="1609" spans="1:10">
      <c r="A1609" s="43">
        <v>42922</v>
      </c>
      <c r="B1609">
        <v>2007</v>
      </c>
      <c r="C1609">
        <v>2741</v>
      </c>
      <c r="D1609">
        <v>1608</v>
      </c>
      <c r="E1609">
        <v>9500</v>
      </c>
      <c r="F1609" t="s">
        <v>59</v>
      </c>
      <c r="G1609">
        <v>30</v>
      </c>
      <c r="H1609" t="s">
        <v>60</v>
      </c>
      <c r="I1609">
        <v>12</v>
      </c>
      <c r="J1609" s="54">
        <f t="shared" si="25"/>
        <v>1</v>
      </c>
    </row>
    <row r="1610" spans="1:10">
      <c r="A1610" s="43">
        <v>42913</v>
      </c>
      <c r="B1610">
        <v>2007</v>
      </c>
      <c r="C1610">
        <v>2741</v>
      </c>
      <c r="D1610">
        <v>1609</v>
      </c>
      <c r="E1610">
        <v>9000</v>
      </c>
      <c r="F1610" t="s">
        <v>59</v>
      </c>
      <c r="G1610">
        <v>30</v>
      </c>
      <c r="H1610" t="s">
        <v>60</v>
      </c>
      <c r="I1610">
        <v>12</v>
      </c>
      <c r="J1610" s="54">
        <f t="shared" si="25"/>
        <v>1</v>
      </c>
    </row>
    <row r="1611" spans="1:10">
      <c r="A1611" s="43">
        <v>42866</v>
      </c>
      <c r="B1611">
        <v>2008</v>
      </c>
      <c r="C1611">
        <v>2741</v>
      </c>
      <c r="D1611">
        <v>1610</v>
      </c>
      <c r="E1611">
        <v>10000</v>
      </c>
      <c r="F1611" t="s">
        <v>59</v>
      </c>
      <c r="G1611">
        <v>12</v>
      </c>
      <c r="H1611" t="s">
        <v>133</v>
      </c>
      <c r="I1611">
        <v>11</v>
      </c>
      <c r="J1611" s="54">
        <f t="shared" si="25"/>
        <v>12</v>
      </c>
    </row>
    <row r="1612" spans="1:10">
      <c r="A1612" s="43">
        <v>42846</v>
      </c>
      <c r="B1612">
        <v>2008</v>
      </c>
      <c r="C1612">
        <v>2741</v>
      </c>
      <c r="D1612">
        <v>1611</v>
      </c>
      <c r="E1612">
        <v>9900</v>
      </c>
      <c r="F1612" t="s">
        <v>59</v>
      </c>
      <c r="G1612">
        <v>7</v>
      </c>
      <c r="H1612" t="s">
        <v>133</v>
      </c>
      <c r="I1612">
        <v>11</v>
      </c>
      <c r="J1612" s="54">
        <f t="shared" si="25"/>
        <v>7</v>
      </c>
    </row>
    <row r="1613" spans="1:10">
      <c r="A1613" s="43">
        <v>42807</v>
      </c>
      <c r="B1613">
        <v>2008</v>
      </c>
      <c r="C1613">
        <v>2741</v>
      </c>
      <c r="D1613">
        <v>1612</v>
      </c>
      <c r="E1613">
        <v>7250</v>
      </c>
      <c r="F1613" t="s">
        <v>59</v>
      </c>
      <c r="G1613">
        <v>2</v>
      </c>
      <c r="H1613" t="s">
        <v>133</v>
      </c>
      <c r="I1613">
        <v>11</v>
      </c>
      <c r="J1613" s="54">
        <f t="shared" si="25"/>
        <v>2</v>
      </c>
    </row>
    <row r="1614" spans="1:10">
      <c r="A1614" s="43">
        <v>42800</v>
      </c>
      <c r="B1614">
        <v>2006</v>
      </c>
      <c r="C1614">
        <v>2741</v>
      </c>
      <c r="D1614">
        <v>1613</v>
      </c>
      <c r="E1614">
        <v>6800</v>
      </c>
      <c r="F1614" t="s">
        <v>59</v>
      </c>
      <c r="G1614">
        <v>7</v>
      </c>
      <c r="H1614" t="s">
        <v>133</v>
      </c>
      <c r="I1614">
        <v>13</v>
      </c>
      <c r="J1614" s="54">
        <f t="shared" si="25"/>
        <v>7</v>
      </c>
    </row>
    <row r="1615" spans="1:10">
      <c r="A1615" s="43">
        <v>42795</v>
      </c>
      <c r="B1615">
        <v>2007</v>
      </c>
      <c r="C1615">
        <v>2741</v>
      </c>
      <c r="D1615">
        <v>1614</v>
      </c>
      <c r="E1615">
        <v>6100</v>
      </c>
      <c r="F1615" t="s">
        <v>59</v>
      </c>
      <c r="G1615">
        <v>6</v>
      </c>
      <c r="H1615" t="s">
        <v>133</v>
      </c>
      <c r="I1615">
        <v>12</v>
      </c>
      <c r="J1615" s="54">
        <f t="shared" si="25"/>
        <v>6</v>
      </c>
    </row>
    <row r="1616" spans="1:10">
      <c r="A1616" s="43">
        <v>42783</v>
      </c>
      <c r="B1616">
        <v>2007</v>
      </c>
      <c r="C1616">
        <v>2741</v>
      </c>
      <c r="D1616">
        <v>1615</v>
      </c>
      <c r="E1616">
        <v>5850</v>
      </c>
      <c r="F1616" t="s">
        <v>59</v>
      </c>
      <c r="G1616">
        <v>180</v>
      </c>
      <c r="H1616" t="s">
        <v>60</v>
      </c>
      <c r="I1616">
        <v>12</v>
      </c>
      <c r="J1616" s="54">
        <f t="shared" si="25"/>
        <v>6</v>
      </c>
    </row>
    <row r="1617" spans="1:10">
      <c r="A1617" s="43">
        <v>42702</v>
      </c>
      <c r="B1617">
        <v>2007</v>
      </c>
      <c r="C1617">
        <v>2741</v>
      </c>
      <c r="D1617">
        <v>1616</v>
      </c>
      <c r="E1617">
        <v>6000</v>
      </c>
      <c r="F1617" t="s">
        <v>59</v>
      </c>
      <c r="G1617">
        <v>7</v>
      </c>
      <c r="H1617" t="s">
        <v>133</v>
      </c>
      <c r="I1617">
        <v>12</v>
      </c>
      <c r="J1617" s="54">
        <f t="shared" si="25"/>
        <v>7</v>
      </c>
    </row>
    <row r="1618" spans="1:10">
      <c r="A1618" s="43">
        <v>42649</v>
      </c>
      <c r="B1618">
        <v>2007</v>
      </c>
      <c r="C1618">
        <v>2741</v>
      </c>
      <c r="D1618">
        <v>1617</v>
      </c>
      <c r="E1618">
        <v>6250</v>
      </c>
      <c r="F1618" t="s">
        <v>59</v>
      </c>
      <c r="G1618">
        <v>6</v>
      </c>
      <c r="H1618" t="s">
        <v>133</v>
      </c>
      <c r="I1618">
        <v>12</v>
      </c>
      <c r="J1618" s="54">
        <f t="shared" si="25"/>
        <v>6</v>
      </c>
    </row>
    <row r="1619" spans="1:10">
      <c r="A1619" s="43">
        <v>42642</v>
      </c>
      <c r="B1619">
        <v>2007</v>
      </c>
      <c r="C1619">
        <v>2741</v>
      </c>
      <c r="D1619">
        <v>1618</v>
      </c>
      <c r="E1619">
        <v>6000</v>
      </c>
      <c r="F1619" t="s">
        <v>59</v>
      </c>
      <c r="G1619">
        <v>2</v>
      </c>
      <c r="H1619" t="s">
        <v>133</v>
      </c>
      <c r="I1619">
        <v>12</v>
      </c>
      <c r="J1619" s="54">
        <f t="shared" si="25"/>
        <v>2</v>
      </c>
    </row>
    <row r="1620" spans="1:10">
      <c r="A1620" s="43">
        <v>42639</v>
      </c>
      <c r="B1620">
        <v>2006</v>
      </c>
      <c r="C1620">
        <v>2741</v>
      </c>
      <c r="D1620">
        <v>1619</v>
      </c>
      <c r="E1620">
        <v>6400</v>
      </c>
      <c r="F1620" t="s">
        <v>59</v>
      </c>
      <c r="G1620">
        <v>7</v>
      </c>
      <c r="H1620" t="s">
        <v>133</v>
      </c>
      <c r="I1620">
        <v>13</v>
      </c>
      <c r="J1620" s="54">
        <f t="shared" si="25"/>
        <v>7</v>
      </c>
    </row>
    <row r="1621" spans="1:10">
      <c r="A1621" s="43">
        <v>42626</v>
      </c>
      <c r="B1621">
        <v>2008</v>
      </c>
      <c r="C1621">
        <v>2741</v>
      </c>
      <c r="D1621">
        <v>1620</v>
      </c>
      <c r="E1621">
        <v>6250</v>
      </c>
      <c r="F1621" t="s">
        <v>59</v>
      </c>
      <c r="G1621">
        <v>6</v>
      </c>
      <c r="H1621" t="s">
        <v>133</v>
      </c>
      <c r="I1621">
        <v>11</v>
      </c>
      <c r="J1621" s="54">
        <f t="shared" si="25"/>
        <v>6</v>
      </c>
    </row>
    <row r="1622" spans="1:10">
      <c r="A1622" s="43">
        <v>42585</v>
      </c>
      <c r="B1622">
        <v>2007</v>
      </c>
      <c r="C1622">
        <v>2741</v>
      </c>
      <c r="D1622">
        <v>1621</v>
      </c>
      <c r="E1622">
        <v>6100</v>
      </c>
      <c r="F1622" t="s">
        <v>59</v>
      </c>
      <c r="G1622">
        <v>6</v>
      </c>
      <c r="H1622" t="s">
        <v>133</v>
      </c>
      <c r="I1622">
        <v>12</v>
      </c>
      <c r="J1622" s="54">
        <f t="shared" si="25"/>
        <v>6</v>
      </c>
    </row>
    <row r="1623" spans="1:10">
      <c r="A1623" s="43">
        <v>42558</v>
      </c>
      <c r="B1623">
        <v>2006</v>
      </c>
      <c r="C1623">
        <v>2741</v>
      </c>
      <c r="D1623">
        <v>1622</v>
      </c>
      <c r="E1623">
        <v>6200</v>
      </c>
      <c r="F1623" t="s">
        <v>59</v>
      </c>
      <c r="G1623">
        <v>3</v>
      </c>
      <c r="H1623" t="s">
        <v>133</v>
      </c>
      <c r="I1623">
        <v>13</v>
      </c>
      <c r="J1623" s="54">
        <f t="shared" si="25"/>
        <v>3</v>
      </c>
    </row>
    <row r="1624" spans="1:10">
      <c r="A1624" s="43">
        <v>42541</v>
      </c>
      <c r="B1624">
        <v>2006</v>
      </c>
      <c r="C1624">
        <v>2741</v>
      </c>
      <c r="D1624">
        <v>1623</v>
      </c>
      <c r="E1624">
        <v>6300</v>
      </c>
      <c r="F1624" t="s">
        <v>59</v>
      </c>
      <c r="G1624">
        <v>4</v>
      </c>
      <c r="H1624" t="s">
        <v>133</v>
      </c>
      <c r="I1624">
        <v>13</v>
      </c>
      <c r="J1624" s="54">
        <f t="shared" si="25"/>
        <v>4</v>
      </c>
    </row>
    <row r="1625" spans="1:10">
      <c r="A1625" s="43">
        <v>42534</v>
      </c>
      <c r="B1625">
        <v>2007</v>
      </c>
      <c r="C1625">
        <v>2741</v>
      </c>
      <c r="D1625">
        <v>1624</v>
      </c>
      <c r="E1625">
        <v>6400</v>
      </c>
      <c r="F1625" t="s">
        <v>59</v>
      </c>
      <c r="G1625">
        <v>4</v>
      </c>
      <c r="H1625" t="s">
        <v>133</v>
      </c>
      <c r="I1625">
        <v>12</v>
      </c>
      <c r="J1625" s="54">
        <f t="shared" si="25"/>
        <v>4</v>
      </c>
    </row>
    <row r="1626" spans="1:10">
      <c r="A1626" s="43">
        <v>42499</v>
      </c>
      <c r="B1626">
        <v>2006</v>
      </c>
      <c r="C1626">
        <v>2741</v>
      </c>
      <c r="D1626">
        <v>1625</v>
      </c>
      <c r="E1626">
        <v>7000</v>
      </c>
      <c r="F1626" t="s">
        <v>59</v>
      </c>
      <c r="G1626">
        <v>12</v>
      </c>
      <c r="H1626" t="s">
        <v>133</v>
      </c>
      <c r="I1626">
        <v>13</v>
      </c>
      <c r="J1626" s="54">
        <f t="shared" si="25"/>
        <v>12</v>
      </c>
    </row>
    <row r="1627" spans="1:10">
      <c r="A1627" s="43">
        <v>42475</v>
      </c>
      <c r="B1627">
        <v>2008</v>
      </c>
      <c r="C1627">
        <v>2741</v>
      </c>
      <c r="D1627">
        <v>1626</v>
      </c>
      <c r="E1627">
        <v>6600</v>
      </c>
      <c r="F1627" t="s">
        <v>59</v>
      </c>
      <c r="G1627">
        <v>5</v>
      </c>
      <c r="H1627" t="s">
        <v>133</v>
      </c>
      <c r="I1627">
        <v>11</v>
      </c>
      <c r="J1627" s="54">
        <f t="shared" si="25"/>
        <v>5</v>
      </c>
    </row>
    <row r="1628" spans="1:10">
      <c r="A1628" s="43">
        <v>42440</v>
      </c>
      <c r="B1628">
        <v>2007</v>
      </c>
      <c r="C1628">
        <v>2741</v>
      </c>
      <c r="D1628">
        <v>1627</v>
      </c>
      <c r="E1628">
        <v>6000</v>
      </c>
      <c r="F1628" t="s">
        <v>59</v>
      </c>
      <c r="G1628">
        <v>7</v>
      </c>
      <c r="H1628" t="s">
        <v>133</v>
      </c>
      <c r="I1628">
        <v>12</v>
      </c>
      <c r="J1628" s="54">
        <f t="shared" si="25"/>
        <v>7</v>
      </c>
    </row>
    <row r="1629" spans="1:10">
      <c r="A1629" s="43">
        <v>42419</v>
      </c>
      <c r="B1629">
        <v>2007</v>
      </c>
      <c r="C1629">
        <v>2741</v>
      </c>
      <c r="D1629">
        <v>1628</v>
      </c>
      <c r="E1629">
        <v>6500</v>
      </c>
      <c r="F1629" t="s">
        <v>59</v>
      </c>
      <c r="G1629">
        <v>6</v>
      </c>
      <c r="H1629" t="s">
        <v>133</v>
      </c>
      <c r="I1629">
        <v>12</v>
      </c>
      <c r="J1629" s="54">
        <f t="shared" si="25"/>
        <v>6</v>
      </c>
    </row>
    <row r="1630" spans="1:10">
      <c r="A1630" s="43">
        <v>42401</v>
      </c>
      <c r="B1630">
        <v>2006</v>
      </c>
      <c r="C1630">
        <v>2741</v>
      </c>
      <c r="D1630">
        <v>1629</v>
      </c>
      <c r="E1630">
        <v>6500</v>
      </c>
      <c r="F1630" t="s">
        <v>59</v>
      </c>
      <c r="G1630">
        <v>6</v>
      </c>
      <c r="H1630" t="s">
        <v>133</v>
      </c>
      <c r="I1630">
        <v>13</v>
      </c>
      <c r="J1630" s="54">
        <f t="shared" si="25"/>
        <v>6</v>
      </c>
    </row>
    <row r="1631" spans="1:10">
      <c r="A1631" s="43">
        <v>42401</v>
      </c>
      <c r="B1631">
        <v>2007</v>
      </c>
      <c r="C1631">
        <v>2741</v>
      </c>
      <c r="D1631">
        <v>1630</v>
      </c>
      <c r="E1631">
        <v>6500</v>
      </c>
      <c r="F1631" t="s">
        <v>59</v>
      </c>
      <c r="G1631">
        <v>7</v>
      </c>
      <c r="H1631" t="s">
        <v>133</v>
      </c>
      <c r="I1631">
        <v>12</v>
      </c>
      <c r="J1631" s="54">
        <f t="shared" si="25"/>
        <v>7</v>
      </c>
    </row>
    <row r="1632" spans="1:10">
      <c r="A1632" s="43">
        <v>43636</v>
      </c>
      <c r="B1632">
        <v>2007</v>
      </c>
      <c r="C1632">
        <v>2742</v>
      </c>
      <c r="D1632">
        <v>1631</v>
      </c>
      <c r="E1632">
        <v>9200</v>
      </c>
      <c r="F1632" t="s">
        <v>59</v>
      </c>
      <c r="G1632">
        <v>9</v>
      </c>
      <c r="H1632" t="s">
        <v>133</v>
      </c>
      <c r="I1632">
        <v>12</v>
      </c>
      <c r="J1632" s="54">
        <f t="shared" si="25"/>
        <v>9</v>
      </c>
    </row>
    <row r="1633" spans="1:10">
      <c r="A1633" s="43">
        <v>43629</v>
      </c>
      <c r="B1633">
        <v>2006</v>
      </c>
      <c r="C1633">
        <v>2742</v>
      </c>
      <c r="D1633">
        <v>1632</v>
      </c>
      <c r="E1633">
        <v>9900</v>
      </c>
      <c r="F1633" t="s">
        <v>59</v>
      </c>
      <c r="G1633">
        <v>9</v>
      </c>
      <c r="H1633" t="s">
        <v>133</v>
      </c>
      <c r="I1633">
        <v>13</v>
      </c>
      <c r="J1633" s="54">
        <f t="shared" si="25"/>
        <v>9</v>
      </c>
    </row>
    <row r="1634" spans="1:10">
      <c r="A1634" s="43">
        <v>43629</v>
      </c>
      <c r="B1634">
        <v>2006</v>
      </c>
      <c r="C1634">
        <v>2742</v>
      </c>
      <c r="D1634">
        <v>1633</v>
      </c>
      <c r="E1634">
        <v>9100</v>
      </c>
      <c r="F1634" t="s">
        <v>59</v>
      </c>
      <c r="G1634">
        <v>42</v>
      </c>
      <c r="H1634" t="s">
        <v>60</v>
      </c>
      <c r="I1634">
        <v>13</v>
      </c>
      <c r="J1634" s="54">
        <f t="shared" si="25"/>
        <v>1</v>
      </c>
    </row>
    <row r="1635" spans="1:10">
      <c r="A1635" s="43">
        <v>43615</v>
      </c>
      <c r="B1635">
        <v>2007</v>
      </c>
      <c r="C1635">
        <v>2742</v>
      </c>
      <c r="D1635">
        <v>1634</v>
      </c>
      <c r="E1635">
        <v>9200</v>
      </c>
      <c r="F1635" t="s">
        <v>59</v>
      </c>
      <c r="G1635">
        <v>6</v>
      </c>
      <c r="H1635" t="s">
        <v>133</v>
      </c>
      <c r="I1635">
        <v>12</v>
      </c>
      <c r="J1635" s="54">
        <f t="shared" si="25"/>
        <v>6</v>
      </c>
    </row>
    <row r="1636" spans="1:10">
      <c r="A1636" s="43">
        <v>43558</v>
      </c>
      <c r="B1636">
        <v>2006</v>
      </c>
      <c r="C1636">
        <v>2742</v>
      </c>
      <c r="D1636">
        <v>1635</v>
      </c>
      <c r="E1636">
        <v>10500</v>
      </c>
      <c r="F1636" t="s">
        <v>59</v>
      </c>
      <c r="G1636">
        <v>12</v>
      </c>
      <c r="H1636" t="s">
        <v>133</v>
      </c>
      <c r="I1636">
        <v>13</v>
      </c>
      <c r="J1636" s="54">
        <f t="shared" si="25"/>
        <v>12</v>
      </c>
    </row>
    <row r="1637" spans="1:10">
      <c r="A1637" s="43">
        <v>43534</v>
      </c>
      <c r="B1637">
        <v>2006</v>
      </c>
      <c r="C1637">
        <v>2742</v>
      </c>
      <c r="D1637">
        <v>1636</v>
      </c>
      <c r="E1637">
        <v>9850</v>
      </c>
      <c r="F1637" t="s">
        <v>59</v>
      </c>
      <c r="G1637">
        <v>12</v>
      </c>
      <c r="H1637" t="s">
        <v>133</v>
      </c>
      <c r="I1637">
        <v>13</v>
      </c>
      <c r="J1637" s="54">
        <f t="shared" si="25"/>
        <v>12</v>
      </c>
    </row>
    <row r="1638" spans="1:10">
      <c r="A1638" s="43">
        <v>43521</v>
      </c>
      <c r="B1638">
        <v>2006</v>
      </c>
      <c r="C1638">
        <v>2742</v>
      </c>
      <c r="D1638">
        <v>1637</v>
      </c>
      <c r="E1638">
        <v>8500</v>
      </c>
      <c r="F1638" t="s">
        <v>59</v>
      </c>
      <c r="G1638">
        <v>3</v>
      </c>
      <c r="H1638" t="s">
        <v>133</v>
      </c>
      <c r="I1638">
        <v>13</v>
      </c>
      <c r="J1638" s="54">
        <f t="shared" si="25"/>
        <v>3</v>
      </c>
    </row>
    <row r="1639" spans="1:10">
      <c r="A1639" s="43">
        <v>43516</v>
      </c>
      <c r="B1639">
        <v>2006</v>
      </c>
      <c r="C1639">
        <v>2742</v>
      </c>
      <c r="D1639">
        <v>1638</v>
      </c>
      <c r="E1639">
        <v>8500</v>
      </c>
      <c r="F1639" t="s">
        <v>59</v>
      </c>
      <c r="G1639">
        <v>8</v>
      </c>
      <c r="H1639" t="s">
        <v>133</v>
      </c>
      <c r="I1639">
        <v>13</v>
      </c>
      <c r="J1639" s="54">
        <f t="shared" si="25"/>
        <v>8</v>
      </c>
    </row>
    <row r="1640" spans="1:10">
      <c r="A1640" s="43">
        <v>43509</v>
      </c>
      <c r="B1640">
        <v>2007</v>
      </c>
      <c r="C1640">
        <v>2742</v>
      </c>
      <c r="D1640">
        <v>1639</v>
      </c>
      <c r="E1640">
        <v>8500</v>
      </c>
      <c r="F1640" t="s">
        <v>59</v>
      </c>
      <c r="G1640">
        <v>6</v>
      </c>
      <c r="H1640" t="s">
        <v>133</v>
      </c>
      <c r="I1640">
        <v>12</v>
      </c>
      <c r="J1640" s="54">
        <f t="shared" si="25"/>
        <v>6</v>
      </c>
    </row>
    <row r="1641" spans="1:10">
      <c r="A1641" s="43">
        <v>43488</v>
      </c>
      <c r="B1641">
        <v>2006</v>
      </c>
      <c r="C1641">
        <v>2742</v>
      </c>
      <c r="D1641">
        <v>1640</v>
      </c>
      <c r="E1641">
        <v>8500</v>
      </c>
      <c r="F1641" t="s">
        <v>59</v>
      </c>
      <c r="G1641">
        <v>8</v>
      </c>
      <c r="H1641" t="s">
        <v>133</v>
      </c>
      <c r="I1641">
        <v>13</v>
      </c>
      <c r="J1641" s="54">
        <f t="shared" si="25"/>
        <v>8</v>
      </c>
    </row>
    <row r="1642" spans="1:10">
      <c r="A1642" s="43">
        <v>43483</v>
      </c>
      <c r="B1642">
        <v>2006</v>
      </c>
      <c r="C1642">
        <v>2742</v>
      </c>
      <c r="D1642">
        <v>1641</v>
      </c>
      <c r="E1642">
        <v>9000</v>
      </c>
      <c r="F1642" t="s">
        <v>59</v>
      </c>
      <c r="G1642">
        <v>6</v>
      </c>
      <c r="H1642" t="s">
        <v>133</v>
      </c>
      <c r="I1642">
        <v>13</v>
      </c>
      <c r="J1642" s="54">
        <f t="shared" si="25"/>
        <v>6</v>
      </c>
    </row>
    <row r="1643" spans="1:10">
      <c r="A1643" s="43">
        <v>43483</v>
      </c>
      <c r="B1643">
        <v>2006</v>
      </c>
      <c r="C1643">
        <v>2742</v>
      </c>
      <c r="D1643">
        <v>1642</v>
      </c>
      <c r="E1643">
        <v>9200</v>
      </c>
      <c r="F1643" t="s">
        <v>59</v>
      </c>
      <c r="G1643">
        <v>5</v>
      </c>
      <c r="H1643" t="s">
        <v>133</v>
      </c>
      <c r="I1643">
        <v>13</v>
      </c>
      <c r="J1643" s="54">
        <f t="shared" si="25"/>
        <v>5</v>
      </c>
    </row>
    <row r="1644" spans="1:10">
      <c r="A1644" s="43">
        <v>43472</v>
      </c>
      <c r="B1644">
        <v>2006</v>
      </c>
      <c r="C1644">
        <v>2742</v>
      </c>
      <c r="D1644">
        <v>1643</v>
      </c>
      <c r="E1644">
        <v>9000</v>
      </c>
      <c r="F1644" t="s">
        <v>59</v>
      </c>
      <c r="G1644">
        <v>50</v>
      </c>
      <c r="H1644" t="s">
        <v>60</v>
      </c>
      <c r="I1644">
        <v>13</v>
      </c>
      <c r="J1644" s="54">
        <f t="shared" si="25"/>
        <v>2</v>
      </c>
    </row>
    <row r="1645" spans="1:10">
      <c r="A1645" s="43">
        <v>43465</v>
      </c>
      <c r="B1645">
        <v>2007</v>
      </c>
      <c r="C1645">
        <v>2742</v>
      </c>
      <c r="D1645">
        <v>1644</v>
      </c>
      <c r="E1645">
        <v>9200</v>
      </c>
      <c r="F1645" t="s">
        <v>59</v>
      </c>
      <c r="G1645">
        <v>6</v>
      </c>
      <c r="H1645" t="s">
        <v>133</v>
      </c>
      <c r="I1645">
        <v>12</v>
      </c>
      <c r="J1645" s="54">
        <f t="shared" si="25"/>
        <v>6</v>
      </c>
    </row>
    <row r="1646" spans="1:10">
      <c r="A1646" s="43">
        <v>43444</v>
      </c>
      <c r="B1646">
        <v>2006</v>
      </c>
      <c r="C1646">
        <v>2742</v>
      </c>
      <c r="D1646">
        <v>1645</v>
      </c>
      <c r="E1646">
        <v>9500</v>
      </c>
      <c r="F1646" t="s">
        <v>59</v>
      </c>
      <c r="G1646">
        <v>60</v>
      </c>
      <c r="H1646" t="s">
        <v>60</v>
      </c>
      <c r="I1646">
        <v>13</v>
      </c>
      <c r="J1646" s="54">
        <f t="shared" si="25"/>
        <v>2</v>
      </c>
    </row>
    <row r="1647" spans="1:10">
      <c r="A1647" s="43">
        <v>43440</v>
      </c>
      <c r="B1647">
        <v>2007</v>
      </c>
      <c r="C1647">
        <v>2742</v>
      </c>
      <c r="D1647">
        <v>1646</v>
      </c>
      <c r="E1647">
        <v>9650</v>
      </c>
      <c r="F1647" t="s">
        <v>59</v>
      </c>
      <c r="G1647">
        <v>4</v>
      </c>
      <c r="H1647" t="s">
        <v>133</v>
      </c>
      <c r="I1647">
        <v>12</v>
      </c>
      <c r="J1647" s="54">
        <f t="shared" si="25"/>
        <v>4</v>
      </c>
    </row>
    <row r="1648" spans="1:10">
      <c r="A1648" s="43">
        <v>43426</v>
      </c>
      <c r="B1648">
        <v>2007</v>
      </c>
      <c r="C1648">
        <v>2742</v>
      </c>
      <c r="D1648">
        <v>1647</v>
      </c>
      <c r="E1648">
        <v>10000</v>
      </c>
      <c r="F1648" t="s">
        <v>59</v>
      </c>
      <c r="G1648">
        <v>3</v>
      </c>
      <c r="H1648" t="s">
        <v>133</v>
      </c>
      <c r="I1648">
        <v>12</v>
      </c>
      <c r="J1648" s="54">
        <f t="shared" si="25"/>
        <v>3</v>
      </c>
    </row>
    <row r="1649" spans="1:10">
      <c r="A1649" s="43">
        <v>43419</v>
      </c>
      <c r="B1649">
        <v>2007</v>
      </c>
      <c r="C1649">
        <v>2742</v>
      </c>
      <c r="D1649">
        <v>1648</v>
      </c>
      <c r="E1649">
        <v>9500</v>
      </c>
      <c r="F1649" t="s">
        <v>59</v>
      </c>
      <c r="G1649">
        <v>4</v>
      </c>
      <c r="H1649" t="s">
        <v>133</v>
      </c>
      <c r="I1649">
        <v>12</v>
      </c>
      <c r="J1649" s="54">
        <f t="shared" si="25"/>
        <v>4</v>
      </c>
    </row>
    <row r="1650" spans="1:10">
      <c r="A1650" s="43">
        <v>43416</v>
      </c>
      <c r="B1650">
        <v>2006</v>
      </c>
      <c r="C1650">
        <v>2742</v>
      </c>
      <c r="D1650">
        <v>1649</v>
      </c>
      <c r="E1650">
        <v>10750</v>
      </c>
      <c r="F1650" t="s">
        <v>59</v>
      </c>
      <c r="G1650">
        <v>5</v>
      </c>
      <c r="H1650" t="s">
        <v>133</v>
      </c>
      <c r="I1650">
        <v>13</v>
      </c>
      <c r="J1650" s="54">
        <f t="shared" si="25"/>
        <v>5</v>
      </c>
    </row>
    <row r="1651" spans="1:10">
      <c r="A1651" s="43">
        <v>43375</v>
      </c>
      <c r="B1651">
        <v>2006</v>
      </c>
      <c r="C1651">
        <v>2742</v>
      </c>
      <c r="D1651">
        <v>1650</v>
      </c>
      <c r="E1651">
        <v>11500</v>
      </c>
      <c r="F1651" t="s">
        <v>59</v>
      </c>
      <c r="G1651">
        <v>6</v>
      </c>
      <c r="H1651" t="s">
        <v>133</v>
      </c>
      <c r="I1651">
        <v>13</v>
      </c>
      <c r="J1651" s="54">
        <f t="shared" si="25"/>
        <v>6</v>
      </c>
    </row>
    <row r="1652" spans="1:10">
      <c r="A1652" s="43">
        <v>43367</v>
      </c>
      <c r="B1652">
        <v>2006</v>
      </c>
      <c r="C1652">
        <v>2742</v>
      </c>
      <c r="D1652">
        <v>1651</v>
      </c>
      <c r="E1652">
        <v>11500</v>
      </c>
      <c r="F1652" t="s">
        <v>59</v>
      </c>
      <c r="G1652">
        <v>7</v>
      </c>
      <c r="H1652" t="s">
        <v>133</v>
      </c>
      <c r="I1652">
        <v>13</v>
      </c>
      <c r="J1652" s="54">
        <f t="shared" si="25"/>
        <v>7</v>
      </c>
    </row>
    <row r="1653" spans="1:10">
      <c r="A1653" s="43">
        <v>43367</v>
      </c>
      <c r="B1653">
        <v>2007</v>
      </c>
      <c r="C1653">
        <v>2742</v>
      </c>
      <c r="D1653">
        <v>1652</v>
      </c>
      <c r="E1653">
        <v>11350</v>
      </c>
      <c r="F1653" t="s">
        <v>59</v>
      </c>
      <c r="G1653">
        <v>3</v>
      </c>
      <c r="H1653" t="s">
        <v>133</v>
      </c>
      <c r="I1653">
        <v>12</v>
      </c>
      <c r="J1653" s="54">
        <f t="shared" si="25"/>
        <v>3</v>
      </c>
    </row>
    <row r="1654" spans="1:10">
      <c r="A1654" s="43">
        <v>43364</v>
      </c>
      <c r="B1654">
        <v>2007</v>
      </c>
      <c r="C1654">
        <v>2742</v>
      </c>
      <c r="D1654">
        <v>1653</v>
      </c>
      <c r="E1654">
        <v>11500</v>
      </c>
      <c r="F1654" t="s">
        <v>59</v>
      </c>
      <c r="G1654">
        <v>35</v>
      </c>
      <c r="H1654" t="s">
        <v>60</v>
      </c>
      <c r="I1654">
        <v>12</v>
      </c>
      <c r="J1654" s="54">
        <f t="shared" si="25"/>
        <v>1</v>
      </c>
    </row>
    <row r="1655" spans="1:10">
      <c r="A1655" s="43">
        <v>43361</v>
      </c>
      <c r="B1655">
        <v>2007</v>
      </c>
      <c r="C1655">
        <v>2742</v>
      </c>
      <c r="D1655">
        <v>1654</v>
      </c>
      <c r="E1655">
        <v>12000</v>
      </c>
      <c r="F1655" t="s">
        <v>59</v>
      </c>
      <c r="G1655">
        <v>2</v>
      </c>
      <c r="H1655" t="s">
        <v>133</v>
      </c>
      <c r="I1655">
        <v>12</v>
      </c>
      <c r="J1655" s="54">
        <f t="shared" si="25"/>
        <v>2</v>
      </c>
    </row>
    <row r="1656" spans="1:10">
      <c r="A1656" s="43">
        <v>43335</v>
      </c>
      <c r="B1656">
        <v>2007</v>
      </c>
      <c r="C1656">
        <v>2742</v>
      </c>
      <c r="D1656">
        <v>1655</v>
      </c>
      <c r="E1656">
        <v>11750</v>
      </c>
      <c r="F1656" t="s">
        <v>59</v>
      </c>
      <c r="G1656">
        <v>6</v>
      </c>
      <c r="H1656" t="s">
        <v>133</v>
      </c>
      <c r="I1656">
        <v>12</v>
      </c>
      <c r="J1656" s="54">
        <f t="shared" si="25"/>
        <v>6</v>
      </c>
    </row>
    <row r="1657" spans="1:10">
      <c r="A1657" s="43">
        <v>43245</v>
      </c>
      <c r="B1657">
        <v>2007</v>
      </c>
      <c r="C1657">
        <v>2742</v>
      </c>
      <c r="D1657">
        <v>1656</v>
      </c>
      <c r="E1657">
        <v>12200</v>
      </c>
      <c r="F1657" t="s">
        <v>59</v>
      </c>
      <c r="G1657">
        <v>3</v>
      </c>
      <c r="H1657" t="s">
        <v>133</v>
      </c>
      <c r="I1657">
        <v>12</v>
      </c>
      <c r="J1657" s="54">
        <f t="shared" si="25"/>
        <v>3</v>
      </c>
    </row>
    <row r="1658" spans="1:10">
      <c r="A1658" s="43">
        <v>43222</v>
      </c>
      <c r="B1658">
        <v>2007</v>
      </c>
      <c r="C1658">
        <v>2742</v>
      </c>
      <c r="D1658">
        <v>1657</v>
      </c>
      <c r="E1658">
        <v>11700</v>
      </c>
      <c r="F1658" t="s">
        <v>59</v>
      </c>
      <c r="G1658">
        <v>6</v>
      </c>
      <c r="H1658" t="s">
        <v>133</v>
      </c>
      <c r="I1658">
        <v>12</v>
      </c>
      <c r="J1658" s="54">
        <f t="shared" si="25"/>
        <v>6</v>
      </c>
    </row>
    <row r="1659" spans="1:10">
      <c r="A1659" s="43">
        <v>43209</v>
      </c>
      <c r="B1659">
        <v>2006</v>
      </c>
      <c r="C1659">
        <v>2742</v>
      </c>
      <c r="D1659">
        <v>1658</v>
      </c>
      <c r="E1659">
        <v>12000</v>
      </c>
      <c r="F1659" t="s">
        <v>59</v>
      </c>
      <c r="G1659">
        <v>7</v>
      </c>
      <c r="H1659" t="s">
        <v>133</v>
      </c>
      <c r="I1659">
        <v>13</v>
      </c>
      <c r="J1659" s="54">
        <f t="shared" si="25"/>
        <v>7</v>
      </c>
    </row>
    <row r="1660" spans="1:10">
      <c r="A1660" s="43">
        <v>43209</v>
      </c>
      <c r="B1660">
        <v>2006</v>
      </c>
      <c r="C1660">
        <v>2742</v>
      </c>
      <c r="D1660">
        <v>1659</v>
      </c>
      <c r="E1660">
        <v>11600</v>
      </c>
      <c r="F1660" t="s">
        <v>59</v>
      </c>
      <c r="G1660">
        <v>12</v>
      </c>
      <c r="H1660" t="s">
        <v>133</v>
      </c>
      <c r="I1660">
        <v>13</v>
      </c>
      <c r="J1660" s="54">
        <f t="shared" si="25"/>
        <v>12</v>
      </c>
    </row>
    <row r="1661" spans="1:10">
      <c r="A1661" s="43">
        <v>43205</v>
      </c>
      <c r="B1661">
        <v>2006</v>
      </c>
      <c r="C1661">
        <v>2742</v>
      </c>
      <c r="D1661">
        <v>1660</v>
      </c>
      <c r="E1661">
        <v>10650</v>
      </c>
      <c r="F1661" t="s">
        <v>59</v>
      </c>
      <c r="G1661">
        <v>12</v>
      </c>
      <c r="H1661" t="s">
        <v>133</v>
      </c>
      <c r="I1661">
        <v>13</v>
      </c>
      <c r="J1661" s="54">
        <f t="shared" si="25"/>
        <v>12</v>
      </c>
    </row>
    <row r="1662" spans="1:10">
      <c r="A1662" s="43">
        <v>43200</v>
      </c>
      <c r="B1662">
        <v>2006</v>
      </c>
      <c r="C1662">
        <v>2742</v>
      </c>
      <c r="D1662">
        <v>1661</v>
      </c>
      <c r="E1662">
        <v>11500</v>
      </c>
      <c r="F1662" t="s">
        <v>59</v>
      </c>
      <c r="G1662">
        <v>12</v>
      </c>
      <c r="H1662" t="s">
        <v>133</v>
      </c>
      <c r="I1662">
        <v>13</v>
      </c>
      <c r="J1662" s="54">
        <f t="shared" si="25"/>
        <v>12</v>
      </c>
    </row>
    <row r="1663" spans="1:10">
      <c r="A1663" s="43">
        <v>43180</v>
      </c>
      <c r="B1663">
        <v>2007</v>
      </c>
      <c r="C1663">
        <v>2742</v>
      </c>
      <c r="D1663">
        <v>1662</v>
      </c>
      <c r="E1663">
        <v>10500</v>
      </c>
      <c r="F1663" t="s">
        <v>59</v>
      </c>
      <c r="G1663">
        <v>6</v>
      </c>
      <c r="H1663" t="s">
        <v>133</v>
      </c>
      <c r="I1663">
        <v>12</v>
      </c>
      <c r="J1663" s="54">
        <f t="shared" si="25"/>
        <v>6</v>
      </c>
    </row>
    <row r="1664" spans="1:10">
      <c r="A1664" s="43">
        <v>43161</v>
      </c>
      <c r="B1664">
        <v>2007</v>
      </c>
      <c r="C1664">
        <v>2742</v>
      </c>
      <c r="D1664">
        <v>1663</v>
      </c>
      <c r="E1664">
        <v>9500</v>
      </c>
      <c r="F1664" t="s">
        <v>59</v>
      </c>
      <c r="G1664">
        <v>6</v>
      </c>
      <c r="H1664" t="s">
        <v>133</v>
      </c>
      <c r="I1664">
        <v>12</v>
      </c>
      <c r="J1664" s="54">
        <f t="shared" si="25"/>
        <v>6</v>
      </c>
    </row>
    <row r="1665" spans="1:10">
      <c r="A1665" s="43">
        <v>43139</v>
      </c>
      <c r="B1665">
        <v>2006</v>
      </c>
      <c r="C1665">
        <v>2742</v>
      </c>
      <c r="D1665">
        <v>1664</v>
      </c>
      <c r="E1665">
        <v>11750</v>
      </c>
      <c r="F1665" t="s">
        <v>59</v>
      </c>
      <c r="G1665">
        <v>2</v>
      </c>
      <c r="H1665" t="s">
        <v>133</v>
      </c>
      <c r="I1665">
        <v>13</v>
      </c>
      <c r="J1665" s="54">
        <f t="shared" si="25"/>
        <v>2</v>
      </c>
    </row>
    <row r="1666" spans="1:10">
      <c r="A1666" s="43">
        <v>43136</v>
      </c>
      <c r="B1666">
        <v>2006</v>
      </c>
      <c r="C1666">
        <v>2742</v>
      </c>
      <c r="D1666">
        <v>1665</v>
      </c>
      <c r="E1666">
        <v>9500</v>
      </c>
      <c r="F1666" t="s">
        <v>59</v>
      </c>
      <c r="G1666">
        <v>8</v>
      </c>
      <c r="H1666" t="s">
        <v>133</v>
      </c>
      <c r="I1666">
        <v>13</v>
      </c>
      <c r="J1666" s="54">
        <f t="shared" ref="J1666:J1729" si="26">IF(H1666="days",ROUND(G1666/30,0),IF(H1666="years",G1666*12,G1666))</f>
        <v>8</v>
      </c>
    </row>
    <row r="1667" spans="1:10">
      <c r="A1667" s="43">
        <v>43111</v>
      </c>
      <c r="B1667">
        <v>2007</v>
      </c>
      <c r="C1667">
        <v>2742</v>
      </c>
      <c r="D1667">
        <v>1666</v>
      </c>
      <c r="E1667">
        <v>9500</v>
      </c>
      <c r="F1667" t="s">
        <v>59</v>
      </c>
      <c r="G1667">
        <v>4</v>
      </c>
      <c r="H1667" t="s">
        <v>133</v>
      </c>
      <c r="I1667">
        <v>12</v>
      </c>
      <c r="J1667" s="54">
        <f t="shared" si="26"/>
        <v>4</v>
      </c>
    </row>
    <row r="1668" spans="1:10">
      <c r="A1668" s="43">
        <v>43098</v>
      </c>
      <c r="B1668">
        <v>2006</v>
      </c>
      <c r="C1668">
        <v>2742</v>
      </c>
      <c r="D1668">
        <v>1667</v>
      </c>
      <c r="E1668">
        <v>9500</v>
      </c>
      <c r="F1668" t="s">
        <v>59</v>
      </c>
      <c r="G1668">
        <v>5</v>
      </c>
      <c r="H1668" t="s">
        <v>133</v>
      </c>
      <c r="I1668">
        <v>13</v>
      </c>
      <c r="J1668" s="54">
        <f t="shared" si="26"/>
        <v>5</v>
      </c>
    </row>
    <row r="1669" spans="1:10">
      <c r="A1669" s="43">
        <v>43096</v>
      </c>
      <c r="B1669">
        <v>2006</v>
      </c>
      <c r="C1669">
        <v>2742</v>
      </c>
      <c r="D1669">
        <v>1668</v>
      </c>
      <c r="E1669">
        <v>9000</v>
      </c>
      <c r="F1669" t="s">
        <v>59</v>
      </c>
      <c r="G1669">
        <v>9</v>
      </c>
      <c r="H1669" t="s">
        <v>133</v>
      </c>
      <c r="I1669">
        <v>13</v>
      </c>
      <c r="J1669" s="54">
        <f t="shared" si="26"/>
        <v>9</v>
      </c>
    </row>
    <row r="1670" spans="1:10">
      <c r="A1670" s="43">
        <v>43003</v>
      </c>
      <c r="B1670">
        <v>2006</v>
      </c>
      <c r="C1670">
        <v>2742</v>
      </c>
      <c r="D1670">
        <v>1669</v>
      </c>
      <c r="E1670">
        <v>9500</v>
      </c>
      <c r="F1670" t="s">
        <v>59</v>
      </c>
      <c r="G1670">
        <v>8</v>
      </c>
      <c r="H1670" t="s">
        <v>133</v>
      </c>
      <c r="I1670">
        <v>13</v>
      </c>
      <c r="J1670" s="54">
        <f t="shared" si="26"/>
        <v>8</v>
      </c>
    </row>
    <row r="1671" spans="1:10">
      <c r="A1671" s="43">
        <v>42996</v>
      </c>
      <c r="B1671">
        <v>2007</v>
      </c>
      <c r="C1671">
        <v>2742</v>
      </c>
      <c r="D1671">
        <v>1670</v>
      </c>
      <c r="E1671">
        <v>9500</v>
      </c>
      <c r="F1671" t="s">
        <v>59</v>
      </c>
      <c r="G1671">
        <v>6</v>
      </c>
      <c r="H1671" t="s">
        <v>133</v>
      </c>
      <c r="I1671">
        <v>12</v>
      </c>
      <c r="J1671" s="54">
        <f t="shared" si="26"/>
        <v>6</v>
      </c>
    </row>
    <row r="1672" spans="1:10">
      <c r="A1672" s="43">
        <v>42985</v>
      </c>
      <c r="B1672">
        <v>2007</v>
      </c>
      <c r="C1672">
        <v>2742</v>
      </c>
      <c r="D1672">
        <v>1671</v>
      </c>
      <c r="E1672">
        <v>9450</v>
      </c>
      <c r="F1672" t="s">
        <v>59</v>
      </c>
      <c r="G1672">
        <v>7</v>
      </c>
      <c r="H1672" t="s">
        <v>133</v>
      </c>
      <c r="I1672">
        <v>12</v>
      </c>
      <c r="J1672" s="54">
        <f t="shared" si="26"/>
        <v>7</v>
      </c>
    </row>
    <row r="1673" spans="1:10">
      <c r="A1673" s="43">
        <v>42983</v>
      </c>
      <c r="B1673">
        <v>2006</v>
      </c>
      <c r="C1673">
        <v>2742</v>
      </c>
      <c r="D1673">
        <v>1672</v>
      </c>
      <c r="E1673">
        <v>9700</v>
      </c>
      <c r="F1673" t="s">
        <v>59</v>
      </c>
      <c r="G1673">
        <v>8</v>
      </c>
      <c r="H1673" t="s">
        <v>133</v>
      </c>
      <c r="I1673">
        <v>13</v>
      </c>
      <c r="J1673" s="54">
        <f t="shared" si="26"/>
        <v>8</v>
      </c>
    </row>
    <row r="1674" spans="1:10">
      <c r="A1674" s="43">
        <v>42972</v>
      </c>
      <c r="B1674">
        <v>2007</v>
      </c>
      <c r="C1674">
        <v>2742</v>
      </c>
      <c r="D1674">
        <v>1673</v>
      </c>
      <c r="E1674">
        <v>9500</v>
      </c>
      <c r="F1674" t="s">
        <v>59</v>
      </c>
      <c r="G1674">
        <v>8</v>
      </c>
      <c r="H1674" t="s">
        <v>133</v>
      </c>
      <c r="I1674">
        <v>12</v>
      </c>
      <c r="J1674" s="54">
        <f t="shared" si="26"/>
        <v>8</v>
      </c>
    </row>
    <row r="1675" spans="1:10">
      <c r="A1675" s="43">
        <v>42948</v>
      </c>
      <c r="B1675">
        <v>2006</v>
      </c>
      <c r="C1675">
        <v>2742</v>
      </c>
      <c r="D1675">
        <v>1674</v>
      </c>
      <c r="E1675">
        <v>9500</v>
      </c>
      <c r="F1675" t="s">
        <v>59</v>
      </c>
      <c r="G1675">
        <v>7</v>
      </c>
      <c r="H1675" t="s">
        <v>133</v>
      </c>
      <c r="I1675">
        <v>13</v>
      </c>
      <c r="J1675" s="54">
        <f t="shared" si="26"/>
        <v>7</v>
      </c>
    </row>
    <row r="1676" spans="1:10">
      <c r="A1676" s="43">
        <v>42913</v>
      </c>
      <c r="B1676">
        <v>2007</v>
      </c>
      <c r="C1676">
        <v>2742</v>
      </c>
      <c r="D1676">
        <v>1675</v>
      </c>
      <c r="E1676">
        <v>9400</v>
      </c>
      <c r="F1676" t="s">
        <v>59</v>
      </c>
      <c r="G1676">
        <v>6</v>
      </c>
      <c r="H1676" t="s">
        <v>133</v>
      </c>
      <c r="I1676">
        <v>12</v>
      </c>
      <c r="J1676" s="54">
        <f t="shared" si="26"/>
        <v>6</v>
      </c>
    </row>
    <row r="1677" spans="1:10">
      <c r="A1677" s="43">
        <v>42887</v>
      </c>
      <c r="B1677">
        <v>2006</v>
      </c>
      <c r="C1677">
        <v>2742</v>
      </c>
      <c r="D1677">
        <v>1676</v>
      </c>
      <c r="E1677">
        <v>8500</v>
      </c>
      <c r="F1677" t="s">
        <v>59</v>
      </c>
      <c r="G1677">
        <v>6</v>
      </c>
      <c r="H1677" t="s">
        <v>133</v>
      </c>
      <c r="I1677">
        <v>13</v>
      </c>
      <c r="J1677" s="54">
        <f t="shared" si="26"/>
        <v>6</v>
      </c>
    </row>
    <row r="1678" spans="1:10">
      <c r="A1678" s="43">
        <v>42879</v>
      </c>
      <c r="B1678">
        <v>2007</v>
      </c>
      <c r="C1678">
        <v>2742</v>
      </c>
      <c r="D1678">
        <v>1677</v>
      </c>
      <c r="E1678">
        <v>10000</v>
      </c>
      <c r="F1678" t="s">
        <v>59</v>
      </c>
      <c r="G1678">
        <v>3</v>
      </c>
      <c r="H1678" t="s">
        <v>133</v>
      </c>
      <c r="I1678">
        <v>12</v>
      </c>
      <c r="J1678" s="54">
        <f t="shared" si="26"/>
        <v>3</v>
      </c>
    </row>
    <row r="1679" spans="1:10">
      <c r="A1679" s="43">
        <v>42865</v>
      </c>
      <c r="B1679">
        <v>2006</v>
      </c>
      <c r="C1679">
        <v>2742</v>
      </c>
      <c r="D1679">
        <v>1678</v>
      </c>
      <c r="E1679">
        <v>9750</v>
      </c>
      <c r="F1679" t="s">
        <v>59</v>
      </c>
      <c r="G1679">
        <v>6</v>
      </c>
      <c r="H1679" t="s">
        <v>133</v>
      </c>
      <c r="I1679">
        <v>13</v>
      </c>
      <c r="J1679" s="54">
        <f t="shared" si="26"/>
        <v>6</v>
      </c>
    </row>
    <row r="1680" spans="1:10">
      <c r="A1680" s="43">
        <v>42850</v>
      </c>
      <c r="B1680">
        <v>2006</v>
      </c>
      <c r="C1680">
        <v>2742</v>
      </c>
      <c r="D1680">
        <v>1679</v>
      </c>
      <c r="E1680">
        <v>9700</v>
      </c>
      <c r="F1680" t="s">
        <v>59</v>
      </c>
      <c r="G1680">
        <v>8</v>
      </c>
      <c r="H1680" t="s">
        <v>133</v>
      </c>
      <c r="I1680">
        <v>13</v>
      </c>
      <c r="J1680" s="54">
        <f t="shared" si="26"/>
        <v>8</v>
      </c>
    </row>
    <row r="1681" spans="1:10">
      <c r="A1681" s="43">
        <v>42824</v>
      </c>
      <c r="B1681">
        <v>2007</v>
      </c>
      <c r="C1681">
        <v>2742</v>
      </c>
      <c r="D1681">
        <v>1680</v>
      </c>
      <c r="E1681">
        <v>8700</v>
      </c>
      <c r="F1681" t="s">
        <v>59</v>
      </c>
      <c r="G1681">
        <v>5</v>
      </c>
      <c r="H1681" t="s">
        <v>133</v>
      </c>
      <c r="I1681">
        <v>12</v>
      </c>
      <c r="J1681" s="54">
        <f t="shared" si="26"/>
        <v>5</v>
      </c>
    </row>
    <row r="1682" spans="1:10">
      <c r="A1682" s="43">
        <v>42793</v>
      </c>
      <c r="B1682">
        <v>2007</v>
      </c>
      <c r="C1682">
        <v>2742</v>
      </c>
      <c r="D1682">
        <v>1681</v>
      </c>
      <c r="E1682">
        <v>6800</v>
      </c>
      <c r="F1682" t="s">
        <v>59</v>
      </c>
      <c r="G1682">
        <v>7</v>
      </c>
      <c r="H1682" t="s">
        <v>133</v>
      </c>
      <c r="I1682">
        <v>12</v>
      </c>
      <c r="J1682" s="54">
        <f t="shared" si="26"/>
        <v>7</v>
      </c>
    </row>
    <row r="1683" spans="1:10">
      <c r="A1683" s="43">
        <v>42758</v>
      </c>
      <c r="B1683">
        <v>2006</v>
      </c>
      <c r="C1683">
        <v>2742</v>
      </c>
      <c r="D1683">
        <v>1682</v>
      </c>
      <c r="E1683">
        <v>6500</v>
      </c>
      <c r="F1683" t="s">
        <v>59</v>
      </c>
      <c r="G1683">
        <v>9</v>
      </c>
      <c r="H1683" t="s">
        <v>133</v>
      </c>
      <c r="I1683">
        <v>13</v>
      </c>
      <c r="J1683" s="54">
        <f t="shared" si="26"/>
        <v>9</v>
      </c>
    </row>
    <row r="1684" spans="1:10">
      <c r="A1684" s="43">
        <v>42741</v>
      </c>
      <c r="B1684">
        <v>2006</v>
      </c>
      <c r="C1684">
        <v>2742</v>
      </c>
      <c r="D1684">
        <v>1683</v>
      </c>
      <c r="E1684">
        <v>6500</v>
      </c>
      <c r="F1684" t="s">
        <v>59</v>
      </c>
      <c r="G1684">
        <v>8</v>
      </c>
      <c r="H1684" t="s">
        <v>133</v>
      </c>
      <c r="I1684">
        <v>13</v>
      </c>
      <c r="J1684" s="54">
        <f t="shared" si="26"/>
        <v>8</v>
      </c>
    </row>
    <row r="1685" spans="1:10">
      <c r="A1685" s="43">
        <v>42639</v>
      </c>
      <c r="B1685">
        <v>2007</v>
      </c>
      <c r="C1685">
        <v>2742</v>
      </c>
      <c r="D1685">
        <v>1684</v>
      </c>
      <c r="E1685">
        <v>6400</v>
      </c>
      <c r="F1685" t="s">
        <v>59</v>
      </c>
      <c r="G1685">
        <v>5</v>
      </c>
      <c r="H1685" t="s">
        <v>133</v>
      </c>
      <c r="I1685">
        <v>12</v>
      </c>
      <c r="J1685" s="54">
        <f t="shared" si="26"/>
        <v>5</v>
      </c>
    </row>
    <row r="1686" spans="1:10">
      <c r="A1686" s="43">
        <v>42628</v>
      </c>
      <c r="B1686">
        <v>2006</v>
      </c>
      <c r="C1686">
        <v>2742</v>
      </c>
      <c r="D1686">
        <v>1685</v>
      </c>
      <c r="E1686">
        <v>6500</v>
      </c>
      <c r="F1686" t="s">
        <v>59</v>
      </c>
      <c r="G1686">
        <v>9</v>
      </c>
      <c r="H1686" t="s">
        <v>133</v>
      </c>
      <c r="I1686">
        <v>13</v>
      </c>
      <c r="J1686" s="54">
        <f t="shared" si="26"/>
        <v>9</v>
      </c>
    </row>
    <row r="1687" spans="1:10">
      <c r="A1687" s="43">
        <v>42619</v>
      </c>
      <c r="B1687">
        <v>2007</v>
      </c>
      <c r="C1687">
        <v>2742</v>
      </c>
      <c r="D1687">
        <v>1686</v>
      </c>
      <c r="E1687">
        <v>6250</v>
      </c>
      <c r="F1687" t="s">
        <v>59</v>
      </c>
      <c r="G1687">
        <v>7</v>
      </c>
      <c r="H1687" t="s">
        <v>133</v>
      </c>
      <c r="I1687">
        <v>12</v>
      </c>
      <c r="J1687" s="54">
        <f t="shared" si="26"/>
        <v>7</v>
      </c>
    </row>
    <row r="1688" spans="1:10">
      <c r="A1688" s="43">
        <v>42590</v>
      </c>
      <c r="B1688">
        <v>2006</v>
      </c>
      <c r="C1688">
        <v>2742</v>
      </c>
      <c r="D1688">
        <v>1687</v>
      </c>
      <c r="E1688">
        <v>6250</v>
      </c>
      <c r="F1688" t="s">
        <v>59</v>
      </c>
      <c r="G1688">
        <v>6</v>
      </c>
      <c r="H1688" t="s">
        <v>133</v>
      </c>
      <c r="I1688">
        <v>13</v>
      </c>
      <c r="J1688" s="54">
        <f t="shared" si="26"/>
        <v>6</v>
      </c>
    </row>
    <row r="1689" spans="1:10">
      <c r="A1689" s="43">
        <v>42579</v>
      </c>
      <c r="B1689">
        <v>2007</v>
      </c>
      <c r="C1689">
        <v>2742</v>
      </c>
      <c r="D1689">
        <v>1688</v>
      </c>
      <c r="E1689">
        <v>6250</v>
      </c>
      <c r="F1689" t="s">
        <v>59</v>
      </c>
      <c r="G1689">
        <v>7</v>
      </c>
      <c r="H1689" t="s">
        <v>133</v>
      </c>
      <c r="I1689">
        <v>12</v>
      </c>
      <c r="J1689" s="54">
        <f t="shared" si="26"/>
        <v>7</v>
      </c>
    </row>
    <row r="1690" spans="1:10">
      <c r="A1690" s="43">
        <v>42549</v>
      </c>
      <c r="B1690">
        <v>2006</v>
      </c>
      <c r="C1690">
        <v>2742</v>
      </c>
      <c r="D1690">
        <v>1689</v>
      </c>
      <c r="E1690">
        <v>6350</v>
      </c>
      <c r="F1690" t="s">
        <v>59</v>
      </c>
      <c r="G1690">
        <v>60</v>
      </c>
      <c r="H1690" t="s">
        <v>60</v>
      </c>
      <c r="I1690">
        <v>13</v>
      </c>
      <c r="J1690" s="54">
        <f t="shared" si="26"/>
        <v>2</v>
      </c>
    </row>
    <row r="1691" spans="1:10">
      <c r="A1691" s="43">
        <v>42499</v>
      </c>
      <c r="B1691">
        <v>2006</v>
      </c>
      <c r="C1691">
        <v>2742</v>
      </c>
      <c r="D1691">
        <v>1690</v>
      </c>
      <c r="E1691">
        <v>7000</v>
      </c>
      <c r="F1691" t="s">
        <v>59</v>
      </c>
      <c r="G1691">
        <v>8</v>
      </c>
      <c r="H1691" t="s">
        <v>133</v>
      </c>
      <c r="I1691">
        <v>13</v>
      </c>
      <c r="J1691" s="54">
        <f t="shared" si="26"/>
        <v>8</v>
      </c>
    </row>
    <row r="1692" spans="1:10">
      <c r="A1692" s="43">
        <v>42489</v>
      </c>
      <c r="B1692">
        <v>2006</v>
      </c>
      <c r="C1692">
        <v>2742</v>
      </c>
      <c r="D1692">
        <v>1691</v>
      </c>
      <c r="E1692">
        <v>7000</v>
      </c>
      <c r="F1692" t="s">
        <v>59</v>
      </c>
      <c r="G1692">
        <v>6</v>
      </c>
      <c r="H1692" t="s">
        <v>133</v>
      </c>
      <c r="I1692">
        <v>13</v>
      </c>
      <c r="J1692" s="54">
        <f t="shared" si="26"/>
        <v>6</v>
      </c>
    </row>
    <row r="1693" spans="1:10">
      <c r="A1693" s="43">
        <v>42431</v>
      </c>
      <c r="B1693">
        <v>2007</v>
      </c>
      <c r="C1693">
        <v>2742</v>
      </c>
      <c r="D1693">
        <v>1692</v>
      </c>
      <c r="E1693">
        <v>6500</v>
      </c>
      <c r="F1693" t="s">
        <v>59</v>
      </c>
      <c r="G1693">
        <v>6</v>
      </c>
      <c r="H1693" t="s">
        <v>133</v>
      </c>
      <c r="I1693">
        <v>12</v>
      </c>
      <c r="J1693" s="54">
        <f t="shared" si="26"/>
        <v>6</v>
      </c>
    </row>
    <row r="1694" spans="1:10">
      <c r="A1694" s="43">
        <v>43529</v>
      </c>
      <c r="B1694">
        <v>2009</v>
      </c>
      <c r="C1694">
        <v>2758</v>
      </c>
      <c r="D1694">
        <v>1693</v>
      </c>
      <c r="E1694">
        <v>8500</v>
      </c>
      <c r="F1694" t="s">
        <v>59</v>
      </c>
      <c r="G1694">
        <v>6</v>
      </c>
      <c r="H1694" t="s">
        <v>133</v>
      </c>
      <c r="I1694">
        <v>10</v>
      </c>
      <c r="J1694" s="54">
        <f t="shared" si="26"/>
        <v>6</v>
      </c>
    </row>
    <row r="1695" spans="1:10">
      <c r="A1695" s="43">
        <v>43459</v>
      </c>
      <c r="B1695">
        <v>2010</v>
      </c>
      <c r="C1695">
        <v>2758</v>
      </c>
      <c r="D1695">
        <v>1694</v>
      </c>
      <c r="E1695">
        <v>9000</v>
      </c>
      <c r="F1695" t="s">
        <v>59</v>
      </c>
      <c r="G1695">
        <v>7</v>
      </c>
      <c r="H1695" t="s">
        <v>133</v>
      </c>
      <c r="I1695">
        <v>9</v>
      </c>
      <c r="J1695" s="54">
        <f t="shared" si="26"/>
        <v>7</v>
      </c>
    </row>
    <row r="1696" spans="1:10">
      <c r="A1696" s="43">
        <v>43416</v>
      </c>
      <c r="B1696">
        <v>2010</v>
      </c>
      <c r="C1696">
        <v>2758</v>
      </c>
      <c r="D1696">
        <v>1695</v>
      </c>
      <c r="E1696">
        <v>10000</v>
      </c>
      <c r="F1696" t="s">
        <v>59</v>
      </c>
      <c r="G1696">
        <v>12</v>
      </c>
      <c r="H1696" t="s">
        <v>133</v>
      </c>
      <c r="I1696">
        <v>9</v>
      </c>
      <c r="J1696" s="54">
        <f t="shared" si="26"/>
        <v>12</v>
      </c>
    </row>
    <row r="1697" spans="1:10">
      <c r="A1697" s="43">
        <v>43376</v>
      </c>
      <c r="B1697">
        <v>2009</v>
      </c>
      <c r="C1697">
        <v>2758</v>
      </c>
      <c r="D1697">
        <v>1696</v>
      </c>
      <c r="E1697">
        <v>11400</v>
      </c>
      <c r="F1697" t="s">
        <v>59</v>
      </c>
      <c r="G1697">
        <v>75</v>
      </c>
      <c r="H1697" t="s">
        <v>60</v>
      </c>
      <c r="I1697">
        <v>10</v>
      </c>
      <c r="J1697" s="54">
        <f t="shared" si="26"/>
        <v>3</v>
      </c>
    </row>
    <row r="1698" spans="1:10">
      <c r="A1698" s="43">
        <v>43305</v>
      </c>
      <c r="B1698">
        <v>2009</v>
      </c>
      <c r="C1698">
        <v>2758</v>
      </c>
      <c r="D1698">
        <v>1697</v>
      </c>
      <c r="E1698">
        <v>11500</v>
      </c>
      <c r="F1698" t="s">
        <v>59</v>
      </c>
      <c r="G1698">
        <v>42</v>
      </c>
      <c r="H1698" t="s">
        <v>60</v>
      </c>
      <c r="I1698">
        <v>10</v>
      </c>
      <c r="J1698" s="54">
        <f t="shared" si="26"/>
        <v>1</v>
      </c>
    </row>
    <row r="1699" spans="1:10">
      <c r="A1699" s="43">
        <v>43224</v>
      </c>
      <c r="B1699">
        <v>2009</v>
      </c>
      <c r="C1699">
        <v>2758</v>
      </c>
      <c r="D1699">
        <v>1698</v>
      </c>
      <c r="E1699">
        <v>11750</v>
      </c>
      <c r="F1699" t="s">
        <v>59</v>
      </c>
      <c r="G1699">
        <v>7</v>
      </c>
      <c r="H1699" t="s">
        <v>133</v>
      </c>
      <c r="I1699">
        <v>10</v>
      </c>
      <c r="J1699" s="54">
        <f t="shared" si="26"/>
        <v>7</v>
      </c>
    </row>
    <row r="1700" spans="1:10">
      <c r="A1700" s="43">
        <v>43132</v>
      </c>
      <c r="B1700">
        <v>2010</v>
      </c>
      <c r="C1700">
        <v>2758</v>
      </c>
      <c r="D1700">
        <v>1699</v>
      </c>
      <c r="E1700">
        <v>8500</v>
      </c>
      <c r="F1700" t="s">
        <v>59</v>
      </c>
      <c r="G1700">
        <v>84</v>
      </c>
      <c r="H1700" t="s">
        <v>60</v>
      </c>
      <c r="I1700">
        <v>9</v>
      </c>
      <c r="J1700" s="54">
        <f t="shared" si="26"/>
        <v>3</v>
      </c>
    </row>
    <row r="1701" spans="1:10">
      <c r="A1701" s="43">
        <v>43056</v>
      </c>
      <c r="B1701">
        <v>2010</v>
      </c>
      <c r="C1701">
        <v>2758</v>
      </c>
      <c r="D1701">
        <v>1700</v>
      </c>
      <c r="E1701">
        <v>9750</v>
      </c>
      <c r="F1701" t="s">
        <v>59</v>
      </c>
      <c r="G1701">
        <v>6</v>
      </c>
      <c r="H1701" t="s">
        <v>133</v>
      </c>
      <c r="I1701">
        <v>9</v>
      </c>
      <c r="J1701" s="54">
        <f t="shared" si="26"/>
        <v>6</v>
      </c>
    </row>
    <row r="1702" spans="1:10">
      <c r="A1702" s="43">
        <v>42998</v>
      </c>
      <c r="B1702">
        <v>2009</v>
      </c>
      <c r="C1702">
        <v>2758</v>
      </c>
      <c r="D1702">
        <v>1701</v>
      </c>
      <c r="E1702">
        <v>9500</v>
      </c>
      <c r="F1702" t="s">
        <v>59</v>
      </c>
      <c r="G1702">
        <v>7</v>
      </c>
      <c r="H1702" t="s">
        <v>133</v>
      </c>
      <c r="I1702">
        <v>10</v>
      </c>
      <c r="J1702" s="54">
        <f t="shared" si="26"/>
        <v>7</v>
      </c>
    </row>
    <row r="1703" spans="1:10">
      <c r="A1703" s="43">
        <v>42760</v>
      </c>
      <c r="B1703">
        <v>2009</v>
      </c>
      <c r="C1703">
        <v>2758</v>
      </c>
      <c r="D1703">
        <v>1702</v>
      </c>
      <c r="E1703">
        <v>6000</v>
      </c>
      <c r="F1703" t="s">
        <v>59</v>
      </c>
      <c r="G1703">
        <v>8</v>
      </c>
      <c r="H1703" t="s">
        <v>133</v>
      </c>
      <c r="I1703">
        <v>10</v>
      </c>
      <c r="J1703" s="54">
        <f t="shared" si="26"/>
        <v>8</v>
      </c>
    </row>
    <row r="1704" spans="1:10">
      <c r="A1704" s="43">
        <v>42717</v>
      </c>
      <c r="B1704">
        <v>2010</v>
      </c>
      <c r="C1704">
        <v>2758</v>
      </c>
      <c r="D1704">
        <v>1703</v>
      </c>
      <c r="E1704">
        <v>7200</v>
      </c>
      <c r="F1704" t="s">
        <v>59</v>
      </c>
      <c r="G1704">
        <v>13</v>
      </c>
      <c r="H1704" t="s">
        <v>133</v>
      </c>
      <c r="I1704">
        <v>9</v>
      </c>
      <c r="J1704" s="54">
        <f t="shared" si="26"/>
        <v>13</v>
      </c>
    </row>
    <row r="1705" spans="1:10">
      <c r="A1705" s="43">
        <v>42705</v>
      </c>
      <c r="B1705">
        <v>2010</v>
      </c>
      <c r="C1705">
        <v>2758</v>
      </c>
      <c r="D1705">
        <v>1704</v>
      </c>
      <c r="E1705">
        <v>7200</v>
      </c>
      <c r="F1705" t="s">
        <v>59</v>
      </c>
      <c r="G1705">
        <v>12</v>
      </c>
      <c r="H1705" t="s">
        <v>133</v>
      </c>
      <c r="I1705">
        <v>9</v>
      </c>
      <c r="J1705" s="54">
        <f t="shared" si="26"/>
        <v>12</v>
      </c>
    </row>
    <row r="1706" spans="1:10">
      <c r="A1706" s="43">
        <v>42415</v>
      </c>
      <c r="B1706">
        <v>2010</v>
      </c>
      <c r="C1706">
        <v>2758</v>
      </c>
      <c r="D1706">
        <v>1705</v>
      </c>
      <c r="E1706">
        <v>8800</v>
      </c>
      <c r="F1706" t="s">
        <v>59</v>
      </c>
      <c r="G1706">
        <v>14</v>
      </c>
      <c r="H1706" t="s">
        <v>133</v>
      </c>
      <c r="I1706">
        <v>9</v>
      </c>
      <c r="J1706" s="54">
        <f t="shared" si="26"/>
        <v>14</v>
      </c>
    </row>
    <row r="1707" spans="1:10">
      <c r="A1707" s="43">
        <v>42401</v>
      </c>
      <c r="B1707">
        <v>2010</v>
      </c>
      <c r="C1707">
        <v>2758</v>
      </c>
      <c r="D1707">
        <v>1706</v>
      </c>
      <c r="E1707">
        <v>8800</v>
      </c>
      <c r="F1707" t="s">
        <v>59</v>
      </c>
      <c r="G1707">
        <v>14</v>
      </c>
      <c r="H1707" t="s">
        <v>133</v>
      </c>
      <c r="I1707">
        <v>9</v>
      </c>
      <c r="J1707" s="54">
        <f t="shared" si="26"/>
        <v>14</v>
      </c>
    </row>
    <row r="1708" spans="1:10">
      <c r="A1708" s="43">
        <v>43558</v>
      </c>
      <c r="B1708">
        <v>2007</v>
      </c>
      <c r="C1708">
        <v>2785</v>
      </c>
      <c r="D1708">
        <v>1707</v>
      </c>
      <c r="E1708">
        <v>9300</v>
      </c>
      <c r="F1708" t="s">
        <v>59</v>
      </c>
      <c r="G1708">
        <v>7</v>
      </c>
      <c r="H1708" t="s">
        <v>133</v>
      </c>
      <c r="I1708">
        <v>12</v>
      </c>
      <c r="J1708" s="54">
        <f t="shared" si="26"/>
        <v>7</v>
      </c>
    </row>
    <row r="1709" spans="1:10">
      <c r="A1709" s="43">
        <v>43361</v>
      </c>
      <c r="B1709">
        <v>2008</v>
      </c>
      <c r="C1709">
        <v>2785</v>
      </c>
      <c r="D1709">
        <v>1708</v>
      </c>
      <c r="E1709">
        <v>11000</v>
      </c>
      <c r="F1709" t="s">
        <v>59</v>
      </c>
      <c r="G1709">
        <v>7</v>
      </c>
      <c r="H1709" t="s">
        <v>133</v>
      </c>
      <c r="I1709">
        <v>11</v>
      </c>
      <c r="J1709" s="54">
        <f t="shared" si="26"/>
        <v>7</v>
      </c>
    </row>
    <row r="1710" spans="1:10">
      <c r="A1710" s="43">
        <v>43301</v>
      </c>
      <c r="B1710">
        <v>2007</v>
      </c>
      <c r="C1710">
        <v>2785</v>
      </c>
      <c r="D1710">
        <v>1709</v>
      </c>
      <c r="E1710">
        <v>13000</v>
      </c>
      <c r="F1710" t="s">
        <v>59</v>
      </c>
      <c r="G1710">
        <v>6</v>
      </c>
      <c r="H1710" t="s">
        <v>133</v>
      </c>
      <c r="I1710">
        <v>12</v>
      </c>
      <c r="J1710" s="54">
        <f t="shared" si="26"/>
        <v>6</v>
      </c>
    </row>
    <row r="1711" spans="1:10">
      <c r="A1711" s="43">
        <v>43144</v>
      </c>
      <c r="B1711">
        <v>2008</v>
      </c>
      <c r="C1711">
        <v>2785</v>
      </c>
      <c r="D1711">
        <v>1710</v>
      </c>
      <c r="E1711">
        <v>8550</v>
      </c>
      <c r="F1711" t="s">
        <v>59</v>
      </c>
      <c r="G1711">
        <v>5</v>
      </c>
      <c r="H1711" t="s">
        <v>133</v>
      </c>
      <c r="I1711">
        <v>11</v>
      </c>
      <c r="J1711" s="54">
        <f t="shared" si="26"/>
        <v>5</v>
      </c>
    </row>
    <row r="1712" spans="1:10">
      <c r="A1712" s="43">
        <v>43039</v>
      </c>
      <c r="B1712">
        <v>2008</v>
      </c>
      <c r="C1712">
        <v>2785</v>
      </c>
      <c r="D1712">
        <v>1711</v>
      </c>
      <c r="E1712">
        <v>8500</v>
      </c>
      <c r="F1712" t="s">
        <v>59</v>
      </c>
      <c r="G1712">
        <v>8</v>
      </c>
      <c r="H1712" t="s">
        <v>133</v>
      </c>
      <c r="I1712">
        <v>11</v>
      </c>
      <c r="J1712" s="54">
        <f t="shared" si="26"/>
        <v>8</v>
      </c>
    </row>
    <row r="1713" spans="1:10">
      <c r="A1713" s="43">
        <v>43026</v>
      </c>
      <c r="B1713">
        <v>2007</v>
      </c>
      <c r="C1713">
        <v>2785</v>
      </c>
      <c r="D1713">
        <v>1712</v>
      </c>
      <c r="E1713">
        <v>9000</v>
      </c>
      <c r="F1713" t="s">
        <v>59</v>
      </c>
      <c r="G1713">
        <v>8</v>
      </c>
      <c r="H1713" t="s">
        <v>133</v>
      </c>
      <c r="I1713">
        <v>12</v>
      </c>
      <c r="J1713" s="54">
        <f t="shared" si="26"/>
        <v>8</v>
      </c>
    </row>
    <row r="1714" spans="1:10">
      <c r="A1714" s="43">
        <v>43530</v>
      </c>
      <c r="B1714">
        <v>2010</v>
      </c>
      <c r="C1714">
        <v>2790</v>
      </c>
      <c r="D1714">
        <v>1713</v>
      </c>
      <c r="E1714">
        <v>9750</v>
      </c>
      <c r="F1714" t="s">
        <v>59</v>
      </c>
      <c r="G1714">
        <v>8</v>
      </c>
      <c r="H1714" t="s">
        <v>133</v>
      </c>
      <c r="I1714">
        <v>9</v>
      </c>
      <c r="J1714" s="54">
        <f t="shared" si="26"/>
        <v>8</v>
      </c>
    </row>
    <row r="1715" spans="1:10">
      <c r="A1715" s="43">
        <v>43205</v>
      </c>
      <c r="B1715">
        <v>2010</v>
      </c>
      <c r="C1715">
        <v>2790</v>
      </c>
      <c r="D1715">
        <v>1714</v>
      </c>
      <c r="E1715">
        <v>11750</v>
      </c>
      <c r="F1715" t="s">
        <v>59</v>
      </c>
      <c r="G1715">
        <v>12</v>
      </c>
      <c r="H1715" t="s">
        <v>133</v>
      </c>
      <c r="I1715">
        <v>9</v>
      </c>
      <c r="J1715" s="54">
        <f t="shared" si="26"/>
        <v>12</v>
      </c>
    </row>
    <row r="1716" spans="1:10">
      <c r="A1716" s="43">
        <v>42852</v>
      </c>
      <c r="B1716">
        <v>2010</v>
      </c>
      <c r="C1716">
        <v>2790</v>
      </c>
      <c r="D1716">
        <v>1715</v>
      </c>
      <c r="E1716">
        <v>9600</v>
      </c>
      <c r="F1716" t="s">
        <v>59</v>
      </c>
      <c r="G1716">
        <v>12</v>
      </c>
      <c r="H1716" t="s">
        <v>133</v>
      </c>
      <c r="I1716">
        <v>9</v>
      </c>
      <c r="J1716" s="54">
        <f t="shared" si="26"/>
        <v>12</v>
      </c>
    </row>
    <row r="1717" spans="1:10">
      <c r="A1717" s="43">
        <v>42597</v>
      </c>
      <c r="B1717">
        <v>2010</v>
      </c>
      <c r="C1717">
        <v>2790</v>
      </c>
      <c r="D1717">
        <v>1716</v>
      </c>
      <c r="E1717">
        <v>6400</v>
      </c>
      <c r="F1717" t="s">
        <v>59</v>
      </c>
      <c r="G1717">
        <v>7</v>
      </c>
      <c r="H1717" t="s">
        <v>133</v>
      </c>
      <c r="I1717">
        <v>9</v>
      </c>
      <c r="J1717" s="54">
        <f t="shared" si="26"/>
        <v>7</v>
      </c>
    </row>
    <row r="1718" spans="1:10">
      <c r="A1718" s="43">
        <v>42450</v>
      </c>
      <c r="B1718">
        <v>2010</v>
      </c>
      <c r="C1718">
        <v>2790</v>
      </c>
      <c r="D1718">
        <v>1717</v>
      </c>
      <c r="E1718">
        <v>6000</v>
      </c>
      <c r="F1718" t="s">
        <v>59</v>
      </c>
      <c r="G1718">
        <v>6</v>
      </c>
      <c r="H1718" t="s">
        <v>133</v>
      </c>
      <c r="I1718">
        <v>9</v>
      </c>
      <c r="J1718" s="54">
        <f t="shared" si="26"/>
        <v>6</v>
      </c>
    </row>
    <row r="1719" spans="1:10">
      <c r="A1719" s="43">
        <v>43588</v>
      </c>
      <c r="B1719">
        <v>2010</v>
      </c>
      <c r="C1719">
        <v>2796</v>
      </c>
      <c r="D1719">
        <v>1718</v>
      </c>
      <c r="E1719">
        <v>8000</v>
      </c>
      <c r="F1719" t="s">
        <v>59</v>
      </c>
      <c r="G1719">
        <v>12</v>
      </c>
      <c r="H1719" t="s">
        <v>133</v>
      </c>
      <c r="I1719">
        <v>9</v>
      </c>
      <c r="J1719" s="54">
        <f t="shared" si="26"/>
        <v>12</v>
      </c>
    </row>
    <row r="1720" spans="1:10">
      <c r="A1720" s="43">
        <v>43171</v>
      </c>
      <c r="B1720">
        <v>2010</v>
      </c>
      <c r="C1720">
        <v>2796</v>
      </c>
      <c r="D1720">
        <v>1719</v>
      </c>
      <c r="E1720">
        <v>8900</v>
      </c>
      <c r="F1720" t="s">
        <v>59</v>
      </c>
      <c r="G1720">
        <v>8</v>
      </c>
      <c r="H1720" t="s">
        <v>133</v>
      </c>
      <c r="I1720">
        <v>9</v>
      </c>
      <c r="J1720" s="54">
        <f t="shared" si="26"/>
        <v>8</v>
      </c>
    </row>
    <row r="1721" spans="1:10">
      <c r="A1721" s="43">
        <v>42795</v>
      </c>
      <c r="B1721">
        <v>2010</v>
      </c>
      <c r="C1721">
        <v>2796</v>
      </c>
      <c r="D1721">
        <v>1720</v>
      </c>
      <c r="E1721">
        <v>6000</v>
      </c>
      <c r="F1721" t="s">
        <v>59</v>
      </c>
      <c r="G1721">
        <v>12</v>
      </c>
      <c r="H1721" t="s">
        <v>133</v>
      </c>
      <c r="I1721">
        <v>9</v>
      </c>
      <c r="J1721" s="54">
        <f t="shared" si="26"/>
        <v>12</v>
      </c>
    </row>
    <row r="1722" spans="1:10">
      <c r="A1722" s="43">
        <v>42449</v>
      </c>
      <c r="B1722">
        <v>2010</v>
      </c>
      <c r="C1722">
        <v>2796</v>
      </c>
      <c r="D1722">
        <v>1721</v>
      </c>
      <c r="E1722">
        <v>6000</v>
      </c>
      <c r="F1722" t="s">
        <v>59</v>
      </c>
      <c r="G1722">
        <v>12</v>
      </c>
      <c r="H1722" t="s">
        <v>133</v>
      </c>
      <c r="I1722">
        <v>9</v>
      </c>
      <c r="J1722" s="54">
        <f t="shared" si="26"/>
        <v>12</v>
      </c>
    </row>
    <row r="1723" spans="1:10">
      <c r="A1723" s="43">
        <v>43626</v>
      </c>
      <c r="B1723">
        <v>2007</v>
      </c>
      <c r="C1723">
        <v>2824</v>
      </c>
      <c r="D1723">
        <v>1722</v>
      </c>
      <c r="E1723">
        <v>9900</v>
      </c>
      <c r="F1723" t="s">
        <v>59</v>
      </c>
      <c r="G1723">
        <v>4</v>
      </c>
      <c r="H1723" t="s">
        <v>133</v>
      </c>
      <c r="I1723">
        <v>12</v>
      </c>
      <c r="J1723" s="54">
        <f t="shared" si="26"/>
        <v>4</v>
      </c>
    </row>
    <row r="1724" spans="1:10">
      <c r="A1724" s="43">
        <v>43616</v>
      </c>
      <c r="B1724">
        <v>2007</v>
      </c>
      <c r="C1724">
        <v>2824</v>
      </c>
      <c r="D1724">
        <v>1723</v>
      </c>
      <c r="E1724">
        <v>9100</v>
      </c>
      <c r="F1724" t="s">
        <v>59</v>
      </c>
      <c r="G1724">
        <v>6</v>
      </c>
      <c r="H1724" t="s">
        <v>133</v>
      </c>
      <c r="I1724">
        <v>12</v>
      </c>
      <c r="J1724" s="54">
        <f t="shared" si="26"/>
        <v>6</v>
      </c>
    </row>
    <row r="1725" spans="1:10">
      <c r="A1725" s="43">
        <v>43616</v>
      </c>
      <c r="B1725">
        <v>2006</v>
      </c>
      <c r="C1725">
        <v>2824</v>
      </c>
      <c r="D1725">
        <v>1724</v>
      </c>
      <c r="E1725">
        <v>9300</v>
      </c>
      <c r="F1725" t="s">
        <v>59</v>
      </c>
      <c r="G1725">
        <v>2</v>
      </c>
      <c r="H1725" t="s">
        <v>134</v>
      </c>
      <c r="I1725">
        <v>13</v>
      </c>
      <c r="J1725" s="54">
        <f t="shared" si="26"/>
        <v>24</v>
      </c>
    </row>
    <row r="1726" spans="1:10">
      <c r="A1726" s="43">
        <v>43587</v>
      </c>
      <c r="B1726">
        <v>2006</v>
      </c>
      <c r="C1726">
        <v>2824</v>
      </c>
      <c r="D1726">
        <v>1725</v>
      </c>
      <c r="E1726">
        <v>10250</v>
      </c>
      <c r="F1726" t="s">
        <v>59</v>
      </c>
      <c r="G1726">
        <v>7</v>
      </c>
      <c r="H1726" t="s">
        <v>133</v>
      </c>
      <c r="I1726">
        <v>13</v>
      </c>
      <c r="J1726" s="54">
        <f t="shared" si="26"/>
        <v>7</v>
      </c>
    </row>
    <row r="1727" spans="1:10">
      <c r="A1727" s="43">
        <v>43579</v>
      </c>
      <c r="B1727">
        <v>2007</v>
      </c>
      <c r="C1727">
        <v>2824</v>
      </c>
      <c r="D1727">
        <v>1726</v>
      </c>
      <c r="E1727">
        <v>8700</v>
      </c>
      <c r="F1727" t="s">
        <v>59</v>
      </c>
      <c r="G1727">
        <v>4</v>
      </c>
      <c r="H1727" t="s">
        <v>133</v>
      </c>
      <c r="I1727">
        <v>12</v>
      </c>
      <c r="J1727" s="54">
        <f t="shared" si="26"/>
        <v>4</v>
      </c>
    </row>
    <row r="1728" spans="1:10">
      <c r="A1728" s="43">
        <v>43572</v>
      </c>
      <c r="B1728">
        <v>2007</v>
      </c>
      <c r="C1728">
        <v>2824</v>
      </c>
      <c r="D1728">
        <v>1727</v>
      </c>
      <c r="E1728">
        <v>8500</v>
      </c>
      <c r="F1728" t="s">
        <v>59</v>
      </c>
      <c r="G1728">
        <v>5</v>
      </c>
      <c r="H1728" t="s">
        <v>133</v>
      </c>
      <c r="I1728">
        <v>12</v>
      </c>
      <c r="J1728" s="54">
        <f t="shared" si="26"/>
        <v>5</v>
      </c>
    </row>
    <row r="1729" spans="1:10">
      <c r="A1729" s="43">
        <v>43565</v>
      </c>
      <c r="B1729">
        <v>2006</v>
      </c>
      <c r="C1729">
        <v>2824</v>
      </c>
      <c r="D1729">
        <v>1728</v>
      </c>
      <c r="E1729">
        <v>10250</v>
      </c>
      <c r="F1729" t="s">
        <v>59</v>
      </c>
      <c r="G1729">
        <v>6</v>
      </c>
      <c r="H1729" t="s">
        <v>133</v>
      </c>
      <c r="I1729">
        <v>13</v>
      </c>
      <c r="J1729" s="54">
        <f t="shared" si="26"/>
        <v>6</v>
      </c>
    </row>
    <row r="1730" spans="1:10">
      <c r="A1730" s="43">
        <v>43565</v>
      </c>
      <c r="B1730">
        <v>2006</v>
      </c>
      <c r="C1730">
        <v>2824</v>
      </c>
      <c r="D1730">
        <v>1729</v>
      </c>
      <c r="E1730">
        <v>9500</v>
      </c>
      <c r="F1730" t="s">
        <v>59</v>
      </c>
      <c r="G1730">
        <v>10</v>
      </c>
      <c r="H1730" t="s">
        <v>133</v>
      </c>
      <c r="I1730">
        <v>13</v>
      </c>
      <c r="J1730" s="54">
        <f t="shared" ref="J1730:J1793" si="27">IF(H1730="days",ROUND(G1730/30,0),IF(H1730="years",G1730*12,G1730))</f>
        <v>10</v>
      </c>
    </row>
    <row r="1731" spans="1:10">
      <c r="A1731" s="43">
        <v>43558</v>
      </c>
      <c r="B1731">
        <v>2006</v>
      </c>
      <c r="C1731">
        <v>2824</v>
      </c>
      <c r="D1731">
        <v>1730</v>
      </c>
      <c r="E1731">
        <v>8500</v>
      </c>
      <c r="F1731" t="s">
        <v>59</v>
      </c>
      <c r="G1731">
        <v>12</v>
      </c>
      <c r="H1731" t="s">
        <v>133</v>
      </c>
      <c r="I1731">
        <v>13</v>
      </c>
      <c r="J1731" s="54">
        <f t="shared" si="27"/>
        <v>12</v>
      </c>
    </row>
    <row r="1732" spans="1:10">
      <c r="A1732" s="43">
        <v>43537</v>
      </c>
      <c r="B1732">
        <v>2007</v>
      </c>
      <c r="C1732">
        <v>2824</v>
      </c>
      <c r="D1732">
        <v>1731</v>
      </c>
      <c r="E1732">
        <v>8000</v>
      </c>
      <c r="F1732" t="s">
        <v>59</v>
      </c>
      <c r="G1732">
        <v>3</v>
      </c>
      <c r="H1732" t="s">
        <v>133</v>
      </c>
      <c r="I1732">
        <v>12</v>
      </c>
      <c r="J1732" s="54">
        <f t="shared" si="27"/>
        <v>3</v>
      </c>
    </row>
    <row r="1733" spans="1:10">
      <c r="A1733" s="43">
        <v>43528</v>
      </c>
      <c r="B1733">
        <v>2007</v>
      </c>
      <c r="C1733">
        <v>2824</v>
      </c>
      <c r="D1733">
        <v>1732</v>
      </c>
      <c r="E1733">
        <v>8000</v>
      </c>
      <c r="F1733" t="s">
        <v>59</v>
      </c>
      <c r="G1733">
        <v>50</v>
      </c>
      <c r="H1733" t="s">
        <v>60</v>
      </c>
      <c r="I1733">
        <v>12</v>
      </c>
      <c r="J1733" s="54">
        <f t="shared" si="27"/>
        <v>2</v>
      </c>
    </row>
    <row r="1734" spans="1:10">
      <c r="A1734" s="43">
        <v>43525</v>
      </c>
      <c r="B1734">
        <v>2006</v>
      </c>
      <c r="C1734">
        <v>2824</v>
      </c>
      <c r="D1734">
        <v>1733</v>
      </c>
      <c r="E1734">
        <v>9300</v>
      </c>
      <c r="F1734" t="s">
        <v>59</v>
      </c>
      <c r="G1734">
        <v>7</v>
      </c>
      <c r="H1734" t="s">
        <v>133</v>
      </c>
      <c r="I1734">
        <v>13</v>
      </c>
      <c r="J1734" s="54">
        <f t="shared" si="27"/>
        <v>7</v>
      </c>
    </row>
    <row r="1735" spans="1:10">
      <c r="A1735" s="43">
        <v>43525</v>
      </c>
      <c r="B1735">
        <v>2007</v>
      </c>
      <c r="C1735">
        <v>2824</v>
      </c>
      <c r="D1735">
        <v>1734</v>
      </c>
      <c r="E1735">
        <v>8100</v>
      </c>
      <c r="F1735" t="s">
        <v>59</v>
      </c>
      <c r="G1735">
        <v>7</v>
      </c>
      <c r="H1735" t="s">
        <v>133</v>
      </c>
      <c r="I1735">
        <v>12</v>
      </c>
      <c r="J1735" s="54">
        <f t="shared" si="27"/>
        <v>7</v>
      </c>
    </row>
    <row r="1736" spans="1:10">
      <c r="A1736" s="43">
        <v>43525</v>
      </c>
      <c r="B1736">
        <v>2007</v>
      </c>
      <c r="C1736">
        <v>2824</v>
      </c>
      <c r="D1736">
        <v>1735</v>
      </c>
      <c r="E1736">
        <v>8500</v>
      </c>
      <c r="F1736" t="s">
        <v>59</v>
      </c>
      <c r="G1736">
        <v>12</v>
      </c>
      <c r="H1736" t="s">
        <v>133</v>
      </c>
      <c r="I1736">
        <v>12</v>
      </c>
      <c r="J1736" s="54">
        <f t="shared" si="27"/>
        <v>12</v>
      </c>
    </row>
    <row r="1737" spans="1:10">
      <c r="A1737" s="43">
        <v>43523</v>
      </c>
      <c r="B1737">
        <v>2006</v>
      </c>
      <c r="C1737">
        <v>2824</v>
      </c>
      <c r="D1737">
        <v>1736</v>
      </c>
      <c r="E1737">
        <v>8000</v>
      </c>
      <c r="F1737" t="s">
        <v>59</v>
      </c>
      <c r="G1737">
        <v>2</v>
      </c>
      <c r="H1737" t="s">
        <v>133</v>
      </c>
      <c r="I1737">
        <v>13</v>
      </c>
      <c r="J1737" s="54">
        <f t="shared" si="27"/>
        <v>2</v>
      </c>
    </row>
    <row r="1738" spans="1:10">
      <c r="A1738" s="43">
        <v>43521</v>
      </c>
      <c r="B1738">
        <v>2006</v>
      </c>
      <c r="C1738">
        <v>2824</v>
      </c>
      <c r="D1738">
        <v>1737</v>
      </c>
      <c r="E1738">
        <v>8000</v>
      </c>
      <c r="F1738" t="s">
        <v>59</v>
      </c>
      <c r="G1738">
        <v>12</v>
      </c>
      <c r="H1738" t="s">
        <v>133</v>
      </c>
      <c r="I1738">
        <v>13</v>
      </c>
      <c r="J1738" s="54">
        <f t="shared" si="27"/>
        <v>12</v>
      </c>
    </row>
    <row r="1739" spans="1:10">
      <c r="A1739" s="43">
        <v>43521</v>
      </c>
      <c r="B1739">
        <v>2007</v>
      </c>
      <c r="C1739">
        <v>2824</v>
      </c>
      <c r="D1739">
        <v>1738</v>
      </c>
      <c r="E1739">
        <v>9500</v>
      </c>
      <c r="F1739" t="s">
        <v>59</v>
      </c>
      <c r="G1739">
        <v>8</v>
      </c>
      <c r="H1739" t="s">
        <v>133</v>
      </c>
      <c r="I1739">
        <v>12</v>
      </c>
      <c r="J1739" s="54">
        <f t="shared" si="27"/>
        <v>8</v>
      </c>
    </row>
    <row r="1740" spans="1:10">
      <c r="A1740" s="43">
        <v>43516</v>
      </c>
      <c r="B1740">
        <v>2006</v>
      </c>
      <c r="C1740">
        <v>2824</v>
      </c>
      <c r="D1740">
        <v>1739</v>
      </c>
      <c r="E1740">
        <v>8500</v>
      </c>
      <c r="F1740" t="s">
        <v>59</v>
      </c>
      <c r="G1740">
        <v>6</v>
      </c>
      <c r="H1740" t="s">
        <v>133</v>
      </c>
      <c r="I1740">
        <v>13</v>
      </c>
      <c r="J1740" s="54">
        <f t="shared" si="27"/>
        <v>6</v>
      </c>
    </row>
    <row r="1741" spans="1:10">
      <c r="A1741" s="43">
        <v>43514</v>
      </c>
      <c r="B1741">
        <v>2006</v>
      </c>
      <c r="C1741">
        <v>2824</v>
      </c>
      <c r="D1741">
        <v>1740</v>
      </c>
      <c r="E1741">
        <v>9100</v>
      </c>
      <c r="F1741" t="s">
        <v>59</v>
      </c>
      <c r="G1741">
        <v>100</v>
      </c>
      <c r="H1741" t="s">
        <v>60</v>
      </c>
      <c r="I1741">
        <v>13</v>
      </c>
      <c r="J1741" s="54">
        <f t="shared" si="27"/>
        <v>3</v>
      </c>
    </row>
    <row r="1742" spans="1:10">
      <c r="A1742" s="43">
        <v>43504</v>
      </c>
      <c r="B1742">
        <v>2006</v>
      </c>
      <c r="C1742">
        <v>2824</v>
      </c>
      <c r="D1742">
        <v>1741</v>
      </c>
      <c r="E1742">
        <v>9300</v>
      </c>
      <c r="F1742" t="s">
        <v>59</v>
      </c>
      <c r="G1742">
        <v>12</v>
      </c>
      <c r="H1742" t="s">
        <v>133</v>
      </c>
      <c r="I1742">
        <v>13</v>
      </c>
      <c r="J1742" s="54">
        <f t="shared" si="27"/>
        <v>12</v>
      </c>
    </row>
    <row r="1743" spans="1:10">
      <c r="A1743" s="43">
        <v>43493</v>
      </c>
      <c r="B1743">
        <v>2007</v>
      </c>
      <c r="C1743">
        <v>2824</v>
      </c>
      <c r="D1743">
        <v>1742</v>
      </c>
      <c r="E1743">
        <v>8000</v>
      </c>
      <c r="F1743" t="s">
        <v>59</v>
      </c>
      <c r="G1743">
        <v>12</v>
      </c>
      <c r="H1743" t="s">
        <v>133</v>
      </c>
      <c r="I1743">
        <v>12</v>
      </c>
      <c r="J1743" s="54">
        <f t="shared" si="27"/>
        <v>12</v>
      </c>
    </row>
    <row r="1744" spans="1:10">
      <c r="A1744" s="43">
        <v>43493</v>
      </c>
      <c r="B1744">
        <v>2008</v>
      </c>
      <c r="C1744">
        <v>2824</v>
      </c>
      <c r="D1744">
        <v>1743</v>
      </c>
      <c r="E1744">
        <v>8000</v>
      </c>
      <c r="F1744" t="s">
        <v>59</v>
      </c>
      <c r="G1744">
        <v>12</v>
      </c>
      <c r="H1744" t="s">
        <v>133</v>
      </c>
      <c r="I1744">
        <v>11</v>
      </c>
      <c r="J1744" s="54">
        <f t="shared" si="27"/>
        <v>12</v>
      </c>
    </row>
    <row r="1745" spans="1:10">
      <c r="A1745" s="43">
        <v>43488</v>
      </c>
      <c r="B1745">
        <v>2007</v>
      </c>
      <c r="C1745">
        <v>2824</v>
      </c>
      <c r="D1745">
        <v>1744</v>
      </c>
      <c r="E1745">
        <v>9250</v>
      </c>
      <c r="F1745" t="s">
        <v>59</v>
      </c>
      <c r="G1745">
        <v>8</v>
      </c>
      <c r="H1745" t="s">
        <v>133</v>
      </c>
      <c r="I1745">
        <v>12</v>
      </c>
      <c r="J1745" s="54">
        <f t="shared" si="27"/>
        <v>8</v>
      </c>
    </row>
    <row r="1746" spans="1:10">
      <c r="A1746" s="43">
        <v>43469</v>
      </c>
      <c r="B1746">
        <v>2006</v>
      </c>
      <c r="C1746">
        <v>2824</v>
      </c>
      <c r="D1746">
        <v>1745</v>
      </c>
      <c r="E1746">
        <v>8750</v>
      </c>
      <c r="F1746" t="s">
        <v>59</v>
      </c>
      <c r="G1746">
        <v>8</v>
      </c>
      <c r="H1746" t="s">
        <v>133</v>
      </c>
      <c r="I1746">
        <v>13</v>
      </c>
      <c r="J1746" s="54">
        <f t="shared" si="27"/>
        <v>8</v>
      </c>
    </row>
    <row r="1747" spans="1:10">
      <c r="A1747" s="43">
        <v>43469</v>
      </c>
      <c r="B1747">
        <v>2007</v>
      </c>
      <c r="C1747">
        <v>2824</v>
      </c>
      <c r="D1747">
        <v>1746</v>
      </c>
      <c r="E1747">
        <v>8500</v>
      </c>
      <c r="F1747" t="s">
        <v>59</v>
      </c>
      <c r="G1747">
        <v>50</v>
      </c>
      <c r="H1747" t="s">
        <v>60</v>
      </c>
      <c r="I1747">
        <v>12</v>
      </c>
      <c r="J1747" s="54">
        <f t="shared" si="27"/>
        <v>2</v>
      </c>
    </row>
    <row r="1748" spans="1:10">
      <c r="A1748" s="43">
        <v>43437</v>
      </c>
      <c r="B1748">
        <v>2007</v>
      </c>
      <c r="C1748">
        <v>2824</v>
      </c>
      <c r="D1748">
        <v>1747</v>
      </c>
      <c r="E1748">
        <v>9300</v>
      </c>
      <c r="F1748" t="s">
        <v>59</v>
      </c>
      <c r="G1748">
        <v>12</v>
      </c>
      <c r="H1748" t="s">
        <v>133</v>
      </c>
      <c r="I1748">
        <v>12</v>
      </c>
      <c r="J1748" s="54">
        <f t="shared" si="27"/>
        <v>12</v>
      </c>
    </row>
    <row r="1749" spans="1:10">
      <c r="A1749" s="43">
        <v>43426</v>
      </c>
      <c r="B1749">
        <v>2007</v>
      </c>
      <c r="C1749">
        <v>2824</v>
      </c>
      <c r="D1749">
        <v>1748</v>
      </c>
      <c r="E1749">
        <v>9500</v>
      </c>
      <c r="F1749" t="s">
        <v>59</v>
      </c>
      <c r="G1749">
        <v>60</v>
      </c>
      <c r="H1749" t="s">
        <v>60</v>
      </c>
      <c r="I1749">
        <v>12</v>
      </c>
      <c r="J1749" s="54">
        <f t="shared" si="27"/>
        <v>2</v>
      </c>
    </row>
    <row r="1750" spans="1:10">
      <c r="A1750" s="43">
        <v>43417</v>
      </c>
      <c r="B1750">
        <v>2007</v>
      </c>
      <c r="C1750">
        <v>2824</v>
      </c>
      <c r="D1750">
        <v>1749</v>
      </c>
      <c r="E1750">
        <v>10500</v>
      </c>
      <c r="F1750" t="s">
        <v>59</v>
      </c>
      <c r="G1750">
        <v>40</v>
      </c>
      <c r="H1750" t="s">
        <v>60</v>
      </c>
      <c r="I1750">
        <v>12</v>
      </c>
      <c r="J1750" s="54">
        <f t="shared" si="27"/>
        <v>1</v>
      </c>
    </row>
    <row r="1751" spans="1:10">
      <c r="A1751" s="43">
        <v>43405</v>
      </c>
      <c r="B1751">
        <v>2008</v>
      </c>
      <c r="C1751">
        <v>2824</v>
      </c>
      <c r="D1751">
        <v>1750</v>
      </c>
      <c r="E1751">
        <v>10500</v>
      </c>
      <c r="F1751" t="s">
        <v>59</v>
      </c>
      <c r="G1751">
        <v>6</v>
      </c>
      <c r="H1751" t="s">
        <v>133</v>
      </c>
      <c r="I1751">
        <v>11</v>
      </c>
      <c r="J1751" s="54">
        <f t="shared" si="27"/>
        <v>6</v>
      </c>
    </row>
    <row r="1752" spans="1:10">
      <c r="A1752" s="43">
        <v>43403</v>
      </c>
      <c r="B1752">
        <v>2006</v>
      </c>
      <c r="C1752">
        <v>2824</v>
      </c>
      <c r="D1752">
        <v>1751</v>
      </c>
      <c r="E1752">
        <v>10000</v>
      </c>
      <c r="F1752" t="s">
        <v>59</v>
      </c>
      <c r="G1752">
        <v>12</v>
      </c>
      <c r="H1752" t="s">
        <v>133</v>
      </c>
      <c r="I1752">
        <v>13</v>
      </c>
      <c r="J1752" s="54">
        <f t="shared" si="27"/>
        <v>12</v>
      </c>
    </row>
    <row r="1753" spans="1:10">
      <c r="A1753" s="43">
        <v>43398</v>
      </c>
      <c r="B1753">
        <v>2007</v>
      </c>
      <c r="C1753">
        <v>2824</v>
      </c>
      <c r="D1753">
        <v>1752</v>
      </c>
      <c r="E1753">
        <v>10900</v>
      </c>
      <c r="F1753" t="s">
        <v>59</v>
      </c>
      <c r="G1753">
        <v>12</v>
      </c>
      <c r="H1753" t="s">
        <v>133</v>
      </c>
      <c r="I1753">
        <v>12</v>
      </c>
      <c r="J1753" s="54">
        <f t="shared" si="27"/>
        <v>12</v>
      </c>
    </row>
    <row r="1754" spans="1:10">
      <c r="A1754" s="43">
        <v>43391</v>
      </c>
      <c r="B1754">
        <v>2007</v>
      </c>
      <c r="C1754">
        <v>2824</v>
      </c>
      <c r="D1754">
        <v>1753</v>
      </c>
      <c r="E1754">
        <v>10300</v>
      </c>
      <c r="F1754" t="s">
        <v>59</v>
      </c>
      <c r="G1754">
        <v>3</v>
      </c>
      <c r="H1754" t="s">
        <v>133</v>
      </c>
      <c r="I1754">
        <v>12</v>
      </c>
      <c r="J1754" s="54">
        <f t="shared" si="27"/>
        <v>3</v>
      </c>
    </row>
    <row r="1755" spans="1:10">
      <c r="A1755" s="43">
        <v>43388</v>
      </c>
      <c r="B1755">
        <v>2006</v>
      </c>
      <c r="C1755">
        <v>2824</v>
      </c>
      <c r="D1755">
        <v>1754</v>
      </c>
      <c r="E1755">
        <v>11450</v>
      </c>
      <c r="F1755" t="s">
        <v>59</v>
      </c>
      <c r="G1755">
        <v>7</v>
      </c>
      <c r="H1755" t="s">
        <v>133</v>
      </c>
      <c r="I1755">
        <v>13</v>
      </c>
      <c r="J1755" s="54">
        <f t="shared" si="27"/>
        <v>7</v>
      </c>
    </row>
    <row r="1756" spans="1:10">
      <c r="A1756" s="43">
        <v>43385</v>
      </c>
      <c r="B1756">
        <v>2006</v>
      </c>
      <c r="C1756">
        <v>2824</v>
      </c>
      <c r="D1756">
        <v>1755</v>
      </c>
      <c r="E1756">
        <v>11000</v>
      </c>
      <c r="F1756" t="s">
        <v>59</v>
      </c>
      <c r="G1756">
        <v>9</v>
      </c>
      <c r="H1756" t="s">
        <v>133</v>
      </c>
      <c r="I1756">
        <v>13</v>
      </c>
      <c r="J1756" s="54">
        <f t="shared" si="27"/>
        <v>9</v>
      </c>
    </row>
    <row r="1757" spans="1:10">
      <c r="A1757" s="43">
        <v>43374</v>
      </c>
      <c r="B1757">
        <v>2007</v>
      </c>
      <c r="C1757">
        <v>2824</v>
      </c>
      <c r="D1757">
        <v>1756</v>
      </c>
      <c r="E1757">
        <v>10850</v>
      </c>
      <c r="F1757" t="s">
        <v>59</v>
      </c>
      <c r="G1757">
        <v>6</v>
      </c>
      <c r="H1757" t="s">
        <v>133</v>
      </c>
      <c r="I1757">
        <v>12</v>
      </c>
      <c r="J1757" s="54">
        <f t="shared" si="27"/>
        <v>6</v>
      </c>
    </row>
    <row r="1758" spans="1:10">
      <c r="A1758" s="43">
        <v>43369</v>
      </c>
      <c r="B1758">
        <v>2006</v>
      </c>
      <c r="C1758">
        <v>2824</v>
      </c>
      <c r="D1758">
        <v>1757</v>
      </c>
      <c r="E1758">
        <v>11300</v>
      </c>
      <c r="F1758" t="s">
        <v>59</v>
      </c>
      <c r="G1758">
        <v>6</v>
      </c>
      <c r="H1758" t="s">
        <v>133</v>
      </c>
      <c r="I1758">
        <v>13</v>
      </c>
      <c r="J1758" s="54">
        <f t="shared" si="27"/>
        <v>6</v>
      </c>
    </row>
    <row r="1759" spans="1:10">
      <c r="A1759" s="43">
        <v>43328</v>
      </c>
      <c r="B1759">
        <v>2007</v>
      </c>
      <c r="C1759">
        <v>2824</v>
      </c>
      <c r="D1759">
        <v>1758</v>
      </c>
      <c r="E1759">
        <v>11700</v>
      </c>
      <c r="F1759" t="s">
        <v>59</v>
      </c>
      <c r="G1759">
        <v>6</v>
      </c>
      <c r="H1759" t="s">
        <v>133</v>
      </c>
      <c r="I1759">
        <v>12</v>
      </c>
      <c r="J1759" s="54">
        <f t="shared" si="27"/>
        <v>6</v>
      </c>
    </row>
    <row r="1760" spans="1:10">
      <c r="A1760" s="43">
        <v>43328</v>
      </c>
      <c r="B1760">
        <v>2007</v>
      </c>
      <c r="C1760">
        <v>2824</v>
      </c>
      <c r="D1760">
        <v>1759</v>
      </c>
      <c r="E1760">
        <v>11400</v>
      </c>
      <c r="F1760" t="s">
        <v>59</v>
      </c>
      <c r="G1760">
        <v>70</v>
      </c>
      <c r="H1760" t="s">
        <v>60</v>
      </c>
      <c r="I1760">
        <v>12</v>
      </c>
      <c r="J1760" s="54">
        <f t="shared" si="27"/>
        <v>2</v>
      </c>
    </row>
    <row r="1761" spans="1:10">
      <c r="A1761" s="43">
        <v>43306</v>
      </c>
      <c r="B1761">
        <v>2006</v>
      </c>
      <c r="C1761">
        <v>2824</v>
      </c>
      <c r="D1761">
        <v>1760</v>
      </c>
      <c r="E1761">
        <v>11650</v>
      </c>
      <c r="F1761" t="s">
        <v>59</v>
      </c>
      <c r="G1761">
        <v>6</v>
      </c>
      <c r="H1761" t="s">
        <v>133</v>
      </c>
      <c r="I1761">
        <v>13</v>
      </c>
      <c r="J1761" s="54">
        <f t="shared" si="27"/>
        <v>6</v>
      </c>
    </row>
    <row r="1762" spans="1:10">
      <c r="A1762" s="43">
        <v>43293</v>
      </c>
      <c r="B1762">
        <v>2008</v>
      </c>
      <c r="C1762">
        <v>2824</v>
      </c>
      <c r="D1762">
        <v>1761</v>
      </c>
      <c r="E1762">
        <v>11950</v>
      </c>
      <c r="F1762" t="s">
        <v>59</v>
      </c>
      <c r="G1762">
        <v>4</v>
      </c>
      <c r="H1762" t="s">
        <v>133</v>
      </c>
      <c r="I1762">
        <v>11</v>
      </c>
      <c r="J1762" s="54">
        <f t="shared" si="27"/>
        <v>4</v>
      </c>
    </row>
    <row r="1763" spans="1:10">
      <c r="A1763" s="43">
        <v>43272</v>
      </c>
      <c r="B1763">
        <v>2007</v>
      </c>
      <c r="C1763">
        <v>2824</v>
      </c>
      <c r="D1763">
        <v>1762</v>
      </c>
      <c r="E1763">
        <v>12000</v>
      </c>
      <c r="F1763" t="s">
        <v>59</v>
      </c>
      <c r="G1763">
        <v>11</v>
      </c>
      <c r="H1763" t="s">
        <v>133</v>
      </c>
      <c r="I1763">
        <v>12</v>
      </c>
      <c r="J1763" s="54">
        <f t="shared" si="27"/>
        <v>11</v>
      </c>
    </row>
    <row r="1764" spans="1:10">
      <c r="A1764" s="43">
        <v>43269</v>
      </c>
      <c r="B1764">
        <v>2006</v>
      </c>
      <c r="C1764">
        <v>2824</v>
      </c>
      <c r="D1764">
        <v>1763</v>
      </c>
      <c r="E1764">
        <v>11450</v>
      </c>
      <c r="F1764" t="s">
        <v>59</v>
      </c>
      <c r="G1764">
        <v>5</v>
      </c>
      <c r="H1764" t="s">
        <v>133</v>
      </c>
      <c r="I1764">
        <v>13</v>
      </c>
      <c r="J1764" s="54">
        <f t="shared" si="27"/>
        <v>5</v>
      </c>
    </row>
    <row r="1765" spans="1:10">
      <c r="A1765" s="43">
        <v>43266</v>
      </c>
      <c r="B1765">
        <v>2008</v>
      </c>
      <c r="C1765">
        <v>2824</v>
      </c>
      <c r="D1765">
        <v>1764</v>
      </c>
      <c r="E1765">
        <v>11800</v>
      </c>
      <c r="F1765" t="s">
        <v>59</v>
      </c>
      <c r="G1765">
        <v>12</v>
      </c>
      <c r="H1765" t="s">
        <v>133</v>
      </c>
      <c r="I1765">
        <v>11</v>
      </c>
      <c r="J1765" s="54">
        <f t="shared" si="27"/>
        <v>12</v>
      </c>
    </row>
    <row r="1766" spans="1:10">
      <c r="A1766" s="43">
        <v>43261</v>
      </c>
      <c r="B1766">
        <v>2006</v>
      </c>
      <c r="C1766">
        <v>2824</v>
      </c>
      <c r="D1766">
        <v>1765</v>
      </c>
      <c r="E1766">
        <v>12250</v>
      </c>
      <c r="F1766" t="s">
        <v>59</v>
      </c>
      <c r="G1766">
        <v>11</v>
      </c>
      <c r="H1766" t="s">
        <v>133</v>
      </c>
      <c r="I1766">
        <v>13</v>
      </c>
      <c r="J1766" s="54">
        <f t="shared" si="27"/>
        <v>11</v>
      </c>
    </row>
    <row r="1767" spans="1:10">
      <c r="A1767" s="43">
        <v>43257</v>
      </c>
      <c r="B1767">
        <v>2006</v>
      </c>
      <c r="C1767">
        <v>2824</v>
      </c>
      <c r="D1767">
        <v>1766</v>
      </c>
      <c r="E1767">
        <v>11800</v>
      </c>
      <c r="F1767" t="s">
        <v>59</v>
      </c>
      <c r="G1767">
        <v>10</v>
      </c>
      <c r="H1767" t="s">
        <v>133</v>
      </c>
      <c r="I1767">
        <v>13</v>
      </c>
      <c r="J1767" s="54">
        <f t="shared" si="27"/>
        <v>10</v>
      </c>
    </row>
    <row r="1768" spans="1:10">
      <c r="A1768" s="43">
        <v>43255</v>
      </c>
      <c r="B1768">
        <v>2007</v>
      </c>
      <c r="C1768">
        <v>2824</v>
      </c>
      <c r="D1768">
        <v>1767</v>
      </c>
      <c r="E1768">
        <v>11600</v>
      </c>
      <c r="F1768" t="s">
        <v>59</v>
      </c>
      <c r="G1768">
        <v>12</v>
      </c>
      <c r="H1768" t="s">
        <v>133</v>
      </c>
      <c r="I1768">
        <v>12</v>
      </c>
      <c r="J1768" s="54">
        <f t="shared" si="27"/>
        <v>12</v>
      </c>
    </row>
    <row r="1769" spans="1:10">
      <c r="A1769" s="43">
        <v>43231</v>
      </c>
      <c r="B1769">
        <v>2006</v>
      </c>
      <c r="C1769">
        <v>2824</v>
      </c>
      <c r="D1769">
        <v>1768</v>
      </c>
      <c r="E1769">
        <v>11450</v>
      </c>
      <c r="F1769" t="s">
        <v>59</v>
      </c>
      <c r="G1769">
        <v>6</v>
      </c>
      <c r="H1769" t="s">
        <v>133</v>
      </c>
      <c r="I1769">
        <v>13</v>
      </c>
      <c r="J1769" s="54">
        <f t="shared" si="27"/>
        <v>6</v>
      </c>
    </row>
    <row r="1770" spans="1:10">
      <c r="A1770" s="43">
        <v>43229</v>
      </c>
      <c r="B1770">
        <v>2006</v>
      </c>
      <c r="C1770">
        <v>2824</v>
      </c>
      <c r="D1770">
        <v>1769</v>
      </c>
      <c r="E1770">
        <v>11450</v>
      </c>
      <c r="F1770" t="s">
        <v>59</v>
      </c>
      <c r="G1770">
        <v>7</v>
      </c>
      <c r="H1770" t="s">
        <v>133</v>
      </c>
      <c r="I1770">
        <v>13</v>
      </c>
      <c r="J1770" s="54">
        <f t="shared" si="27"/>
        <v>7</v>
      </c>
    </row>
    <row r="1771" spans="1:10">
      <c r="A1771" s="43">
        <v>43228</v>
      </c>
      <c r="B1771">
        <v>2006</v>
      </c>
      <c r="C1771">
        <v>2824</v>
      </c>
      <c r="D1771">
        <v>1770</v>
      </c>
      <c r="E1771">
        <v>11600</v>
      </c>
      <c r="F1771" t="s">
        <v>59</v>
      </c>
      <c r="G1771">
        <v>9</v>
      </c>
      <c r="H1771" t="s">
        <v>133</v>
      </c>
      <c r="I1771">
        <v>13</v>
      </c>
      <c r="J1771" s="54">
        <f t="shared" si="27"/>
        <v>9</v>
      </c>
    </row>
    <row r="1772" spans="1:10">
      <c r="A1772" s="43">
        <v>43220</v>
      </c>
      <c r="B1772">
        <v>2007</v>
      </c>
      <c r="C1772">
        <v>2824</v>
      </c>
      <c r="D1772">
        <v>1771</v>
      </c>
      <c r="E1772">
        <v>11250</v>
      </c>
      <c r="F1772" t="s">
        <v>59</v>
      </c>
      <c r="G1772">
        <v>6</v>
      </c>
      <c r="H1772" t="s">
        <v>133</v>
      </c>
      <c r="I1772">
        <v>12</v>
      </c>
      <c r="J1772" s="54">
        <f t="shared" si="27"/>
        <v>6</v>
      </c>
    </row>
    <row r="1773" spans="1:10">
      <c r="A1773" s="43">
        <v>43216</v>
      </c>
      <c r="B1773">
        <v>2006</v>
      </c>
      <c r="C1773">
        <v>2824</v>
      </c>
      <c r="D1773">
        <v>1772</v>
      </c>
      <c r="E1773">
        <v>9450</v>
      </c>
      <c r="F1773" t="s">
        <v>59</v>
      </c>
      <c r="G1773">
        <v>40</v>
      </c>
      <c r="H1773" t="s">
        <v>60</v>
      </c>
      <c r="I1773">
        <v>13</v>
      </c>
      <c r="J1773" s="54">
        <f t="shared" si="27"/>
        <v>1</v>
      </c>
    </row>
    <row r="1774" spans="1:10">
      <c r="A1774" s="43">
        <v>43215</v>
      </c>
      <c r="B1774">
        <v>2006</v>
      </c>
      <c r="C1774">
        <v>2824</v>
      </c>
      <c r="D1774">
        <v>1773</v>
      </c>
      <c r="E1774">
        <v>11500</v>
      </c>
      <c r="F1774" t="s">
        <v>59</v>
      </c>
      <c r="G1774">
        <v>12</v>
      </c>
      <c r="H1774" t="s">
        <v>133</v>
      </c>
      <c r="I1774">
        <v>13</v>
      </c>
      <c r="J1774" s="54">
        <f t="shared" si="27"/>
        <v>12</v>
      </c>
    </row>
    <row r="1775" spans="1:10">
      <c r="A1775" s="43">
        <v>43186</v>
      </c>
      <c r="B1775">
        <v>2006</v>
      </c>
      <c r="C1775">
        <v>2824</v>
      </c>
      <c r="D1775">
        <v>1774</v>
      </c>
      <c r="E1775">
        <v>10750</v>
      </c>
      <c r="F1775" t="s">
        <v>59</v>
      </c>
      <c r="G1775">
        <v>12</v>
      </c>
      <c r="H1775" t="s">
        <v>133</v>
      </c>
      <c r="I1775">
        <v>13</v>
      </c>
      <c r="J1775" s="54">
        <f t="shared" si="27"/>
        <v>12</v>
      </c>
    </row>
    <row r="1776" spans="1:10">
      <c r="A1776" s="43">
        <v>43185</v>
      </c>
      <c r="B1776">
        <v>2007</v>
      </c>
      <c r="C1776">
        <v>2824</v>
      </c>
      <c r="D1776">
        <v>1775</v>
      </c>
      <c r="E1776">
        <v>10700</v>
      </c>
      <c r="F1776" t="s">
        <v>59</v>
      </c>
      <c r="G1776">
        <v>7</v>
      </c>
      <c r="H1776" t="s">
        <v>133</v>
      </c>
      <c r="I1776">
        <v>12</v>
      </c>
      <c r="J1776" s="54">
        <f t="shared" si="27"/>
        <v>7</v>
      </c>
    </row>
    <row r="1777" spans="1:10">
      <c r="A1777" s="43">
        <v>43178</v>
      </c>
      <c r="B1777">
        <v>2007</v>
      </c>
      <c r="C1777">
        <v>2824</v>
      </c>
      <c r="D1777">
        <v>1776</v>
      </c>
      <c r="E1777">
        <v>10300</v>
      </c>
      <c r="F1777" t="s">
        <v>59</v>
      </c>
      <c r="G1777">
        <v>7</v>
      </c>
      <c r="H1777" t="s">
        <v>133</v>
      </c>
      <c r="I1777">
        <v>12</v>
      </c>
      <c r="J1777" s="54">
        <f t="shared" si="27"/>
        <v>7</v>
      </c>
    </row>
    <row r="1778" spans="1:10">
      <c r="A1778" s="43">
        <v>43174</v>
      </c>
      <c r="B1778">
        <v>2007</v>
      </c>
      <c r="C1778">
        <v>2824</v>
      </c>
      <c r="D1778">
        <v>1777</v>
      </c>
      <c r="E1778">
        <v>10250</v>
      </c>
      <c r="F1778" t="s">
        <v>59</v>
      </c>
      <c r="G1778">
        <v>7</v>
      </c>
      <c r="H1778" t="s">
        <v>133</v>
      </c>
      <c r="I1778">
        <v>12</v>
      </c>
      <c r="J1778" s="54">
        <f t="shared" si="27"/>
        <v>7</v>
      </c>
    </row>
    <row r="1779" spans="1:10">
      <c r="A1779" s="43">
        <v>43161</v>
      </c>
      <c r="B1779">
        <v>2007</v>
      </c>
      <c r="C1779">
        <v>2824</v>
      </c>
      <c r="D1779">
        <v>1778</v>
      </c>
      <c r="E1779">
        <v>9000</v>
      </c>
      <c r="F1779" t="s">
        <v>59</v>
      </c>
      <c r="G1779">
        <v>12</v>
      </c>
      <c r="H1779" t="s">
        <v>133</v>
      </c>
      <c r="I1779">
        <v>12</v>
      </c>
      <c r="J1779" s="54">
        <f t="shared" si="27"/>
        <v>12</v>
      </c>
    </row>
    <row r="1780" spans="1:10">
      <c r="A1780" s="43">
        <v>43160</v>
      </c>
      <c r="B1780">
        <v>2008</v>
      </c>
      <c r="C1780">
        <v>2824</v>
      </c>
      <c r="D1780">
        <v>1779</v>
      </c>
      <c r="E1780">
        <v>9000</v>
      </c>
      <c r="F1780" t="s">
        <v>59</v>
      </c>
      <c r="G1780">
        <v>12</v>
      </c>
      <c r="H1780" t="s">
        <v>133</v>
      </c>
      <c r="I1780">
        <v>11</v>
      </c>
      <c r="J1780" s="54">
        <f t="shared" si="27"/>
        <v>12</v>
      </c>
    </row>
    <row r="1781" spans="1:10">
      <c r="A1781" s="43">
        <v>43151</v>
      </c>
      <c r="B1781">
        <v>2007</v>
      </c>
      <c r="C1781">
        <v>2824</v>
      </c>
      <c r="D1781">
        <v>1780</v>
      </c>
      <c r="E1781">
        <v>9500</v>
      </c>
      <c r="F1781" t="s">
        <v>59</v>
      </c>
      <c r="G1781">
        <v>7</v>
      </c>
      <c r="H1781" t="s">
        <v>133</v>
      </c>
      <c r="I1781">
        <v>12</v>
      </c>
      <c r="J1781" s="54">
        <f t="shared" si="27"/>
        <v>7</v>
      </c>
    </row>
    <row r="1782" spans="1:10">
      <c r="A1782" s="43">
        <v>43151</v>
      </c>
      <c r="B1782">
        <v>2006</v>
      </c>
      <c r="C1782">
        <v>2824</v>
      </c>
      <c r="D1782">
        <v>1781</v>
      </c>
      <c r="E1782">
        <v>9350</v>
      </c>
      <c r="F1782" t="s">
        <v>59</v>
      </c>
      <c r="G1782">
        <v>6</v>
      </c>
      <c r="H1782" t="s">
        <v>133</v>
      </c>
      <c r="I1782">
        <v>13</v>
      </c>
      <c r="J1782" s="54">
        <f t="shared" si="27"/>
        <v>6</v>
      </c>
    </row>
    <row r="1783" spans="1:10">
      <c r="A1783" s="43">
        <v>43144</v>
      </c>
      <c r="B1783">
        <v>2007</v>
      </c>
      <c r="C1783">
        <v>2824</v>
      </c>
      <c r="D1783">
        <v>1782</v>
      </c>
      <c r="E1783">
        <v>9000</v>
      </c>
      <c r="F1783" t="s">
        <v>59</v>
      </c>
      <c r="G1783">
        <v>6</v>
      </c>
      <c r="H1783" t="s">
        <v>133</v>
      </c>
      <c r="I1783">
        <v>12</v>
      </c>
      <c r="J1783" s="54">
        <f t="shared" si="27"/>
        <v>6</v>
      </c>
    </row>
    <row r="1784" spans="1:10">
      <c r="A1784" s="43">
        <v>43144</v>
      </c>
      <c r="B1784">
        <v>2006</v>
      </c>
      <c r="C1784">
        <v>2824</v>
      </c>
      <c r="D1784">
        <v>1783</v>
      </c>
      <c r="E1784">
        <v>10250</v>
      </c>
      <c r="F1784" t="s">
        <v>59</v>
      </c>
      <c r="G1784">
        <v>8</v>
      </c>
      <c r="H1784" t="s">
        <v>133</v>
      </c>
      <c r="I1784">
        <v>13</v>
      </c>
      <c r="J1784" s="54">
        <f t="shared" si="27"/>
        <v>8</v>
      </c>
    </row>
    <row r="1785" spans="1:10">
      <c r="A1785" s="43">
        <v>43122</v>
      </c>
      <c r="B1785">
        <v>2007</v>
      </c>
      <c r="C1785">
        <v>2824</v>
      </c>
      <c r="D1785">
        <v>1784</v>
      </c>
      <c r="E1785">
        <v>9050</v>
      </c>
      <c r="F1785" t="s">
        <v>59</v>
      </c>
      <c r="G1785">
        <v>12</v>
      </c>
      <c r="H1785" t="s">
        <v>133</v>
      </c>
      <c r="I1785">
        <v>12</v>
      </c>
      <c r="J1785" s="54">
        <f t="shared" si="27"/>
        <v>12</v>
      </c>
    </row>
    <row r="1786" spans="1:10">
      <c r="A1786" s="43">
        <v>43115</v>
      </c>
      <c r="B1786">
        <v>2006</v>
      </c>
      <c r="C1786">
        <v>2824</v>
      </c>
      <c r="D1786">
        <v>1785</v>
      </c>
      <c r="E1786">
        <v>9000</v>
      </c>
      <c r="F1786" t="s">
        <v>59</v>
      </c>
      <c r="G1786">
        <v>4</v>
      </c>
      <c r="H1786" t="s">
        <v>133</v>
      </c>
      <c r="I1786">
        <v>13</v>
      </c>
      <c r="J1786" s="54">
        <f t="shared" si="27"/>
        <v>4</v>
      </c>
    </row>
    <row r="1787" spans="1:10">
      <c r="A1787" s="43">
        <v>43101</v>
      </c>
      <c r="B1787">
        <v>2007</v>
      </c>
      <c r="C1787">
        <v>2824</v>
      </c>
      <c r="D1787">
        <v>1786</v>
      </c>
      <c r="E1787">
        <v>8750</v>
      </c>
      <c r="F1787" t="s">
        <v>59</v>
      </c>
      <c r="G1787">
        <v>5</v>
      </c>
      <c r="H1787" t="s">
        <v>133</v>
      </c>
      <c r="I1787">
        <v>12</v>
      </c>
      <c r="J1787" s="54">
        <f t="shared" si="27"/>
        <v>5</v>
      </c>
    </row>
    <row r="1788" spans="1:10">
      <c r="A1788" s="43">
        <v>43077</v>
      </c>
      <c r="B1788">
        <v>2006</v>
      </c>
      <c r="C1788">
        <v>2824</v>
      </c>
      <c r="D1788">
        <v>1787</v>
      </c>
      <c r="E1788">
        <v>8850</v>
      </c>
      <c r="F1788" t="s">
        <v>59</v>
      </c>
      <c r="G1788">
        <v>12</v>
      </c>
      <c r="H1788" t="s">
        <v>133</v>
      </c>
      <c r="I1788">
        <v>13</v>
      </c>
      <c r="J1788" s="54">
        <f t="shared" si="27"/>
        <v>12</v>
      </c>
    </row>
    <row r="1789" spans="1:10">
      <c r="A1789" s="43">
        <v>43061</v>
      </c>
      <c r="B1789">
        <v>2006</v>
      </c>
      <c r="C1789">
        <v>2824</v>
      </c>
      <c r="D1789">
        <v>1788</v>
      </c>
      <c r="E1789">
        <v>9100</v>
      </c>
      <c r="F1789" t="s">
        <v>59</v>
      </c>
      <c r="G1789">
        <v>50</v>
      </c>
      <c r="H1789" t="s">
        <v>60</v>
      </c>
      <c r="I1789">
        <v>13</v>
      </c>
      <c r="J1789" s="54">
        <f t="shared" si="27"/>
        <v>2</v>
      </c>
    </row>
    <row r="1790" spans="1:10">
      <c r="A1790" s="43">
        <v>43040</v>
      </c>
      <c r="B1790">
        <v>2006</v>
      </c>
      <c r="C1790">
        <v>2824</v>
      </c>
      <c r="D1790">
        <v>1789</v>
      </c>
      <c r="E1790">
        <v>7750</v>
      </c>
      <c r="F1790" t="s">
        <v>59</v>
      </c>
      <c r="G1790">
        <v>8</v>
      </c>
      <c r="H1790" t="s">
        <v>133</v>
      </c>
      <c r="I1790">
        <v>13</v>
      </c>
      <c r="J1790" s="54">
        <f t="shared" si="27"/>
        <v>8</v>
      </c>
    </row>
    <row r="1791" spans="1:10">
      <c r="A1791" s="43">
        <v>43034</v>
      </c>
      <c r="B1791">
        <v>2008</v>
      </c>
      <c r="C1791">
        <v>2824</v>
      </c>
      <c r="D1791">
        <v>1790</v>
      </c>
      <c r="E1791">
        <v>7750</v>
      </c>
      <c r="F1791" t="s">
        <v>59</v>
      </c>
      <c r="G1791">
        <v>8</v>
      </c>
      <c r="H1791" t="s">
        <v>133</v>
      </c>
      <c r="I1791">
        <v>11</v>
      </c>
      <c r="J1791" s="54">
        <f t="shared" si="27"/>
        <v>8</v>
      </c>
    </row>
    <row r="1792" spans="1:10">
      <c r="A1792" s="43">
        <v>43034</v>
      </c>
      <c r="B1792">
        <v>2007</v>
      </c>
      <c r="C1792">
        <v>2824</v>
      </c>
      <c r="D1792">
        <v>1791</v>
      </c>
      <c r="E1792">
        <v>9000</v>
      </c>
      <c r="F1792" t="s">
        <v>59</v>
      </c>
      <c r="G1792">
        <v>6</v>
      </c>
      <c r="H1792" t="s">
        <v>133</v>
      </c>
      <c r="I1792">
        <v>12</v>
      </c>
      <c r="J1792" s="54">
        <f t="shared" si="27"/>
        <v>6</v>
      </c>
    </row>
    <row r="1793" spans="1:10">
      <c r="A1793" s="43">
        <v>43031</v>
      </c>
      <c r="B1793">
        <v>2006</v>
      </c>
      <c r="C1793">
        <v>2824</v>
      </c>
      <c r="D1793">
        <v>1792</v>
      </c>
      <c r="E1793">
        <v>8000</v>
      </c>
      <c r="F1793" t="s">
        <v>59</v>
      </c>
      <c r="G1793">
        <v>5</v>
      </c>
      <c r="H1793" t="s">
        <v>133</v>
      </c>
      <c r="I1793">
        <v>13</v>
      </c>
      <c r="J1793" s="54">
        <f t="shared" si="27"/>
        <v>5</v>
      </c>
    </row>
    <row r="1794" spans="1:10">
      <c r="A1794" s="43">
        <v>43024</v>
      </c>
      <c r="B1794">
        <v>2007</v>
      </c>
      <c r="C1794">
        <v>2824</v>
      </c>
      <c r="D1794">
        <v>1793</v>
      </c>
      <c r="E1794">
        <v>9000</v>
      </c>
      <c r="F1794" t="s">
        <v>59</v>
      </c>
      <c r="G1794">
        <v>9</v>
      </c>
      <c r="H1794" t="s">
        <v>133</v>
      </c>
      <c r="I1794">
        <v>12</v>
      </c>
      <c r="J1794" s="54">
        <f t="shared" ref="J1794:J1857" si="28">IF(H1794="days",ROUND(G1794/30,0),IF(H1794="years",G1794*12,G1794))</f>
        <v>9</v>
      </c>
    </row>
    <row r="1795" spans="1:10">
      <c r="A1795" s="43">
        <v>43017</v>
      </c>
      <c r="B1795">
        <v>2006</v>
      </c>
      <c r="C1795">
        <v>2824</v>
      </c>
      <c r="D1795">
        <v>1794</v>
      </c>
      <c r="E1795">
        <v>9150</v>
      </c>
      <c r="F1795" t="s">
        <v>59</v>
      </c>
      <c r="G1795">
        <v>7</v>
      </c>
      <c r="H1795" t="s">
        <v>133</v>
      </c>
      <c r="I1795">
        <v>13</v>
      </c>
      <c r="J1795" s="54">
        <f t="shared" si="28"/>
        <v>7</v>
      </c>
    </row>
    <row r="1796" spans="1:10">
      <c r="A1796" s="43">
        <v>43007</v>
      </c>
      <c r="B1796">
        <v>2007</v>
      </c>
      <c r="C1796">
        <v>2824</v>
      </c>
      <c r="D1796">
        <v>1795</v>
      </c>
      <c r="E1796">
        <v>9450</v>
      </c>
      <c r="F1796" t="s">
        <v>59</v>
      </c>
      <c r="G1796">
        <v>70</v>
      </c>
      <c r="H1796" t="s">
        <v>60</v>
      </c>
      <c r="I1796">
        <v>12</v>
      </c>
      <c r="J1796" s="54">
        <f t="shared" si="28"/>
        <v>2</v>
      </c>
    </row>
    <row r="1797" spans="1:10">
      <c r="A1797" s="43">
        <v>43004</v>
      </c>
      <c r="B1797">
        <v>2007</v>
      </c>
      <c r="C1797">
        <v>2824</v>
      </c>
      <c r="D1797">
        <v>1796</v>
      </c>
      <c r="E1797">
        <v>7250</v>
      </c>
      <c r="F1797" t="s">
        <v>59</v>
      </c>
      <c r="G1797">
        <v>100</v>
      </c>
      <c r="H1797" t="s">
        <v>60</v>
      </c>
      <c r="I1797">
        <v>12</v>
      </c>
      <c r="J1797" s="54">
        <f t="shared" si="28"/>
        <v>3</v>
      </c>
    </row>
    <row r="1798" spans="1:10">
      <c r="A1798" s="43">
        <v>43004</v>
      </c>
      <c r="B1798">
        <v>2007</v>
      </c>
      <c r="C1798">
        <v>2824</v>
      </c>
      <c r="D1798">
        <v>1797</v>
      </c>
      <c r="E1798">
        <v>9000</v>
      </c>
      <c r="F1798" t="s">
        <v>59</v>
      </c>
      <c r="G1798">
        <v>8</v>
      </c>
      <c r="H1798" t="s">
        <v>133</v>
      </c>
      <c r="I1798">
        <v>12</v>
      </c>
      <c r="J1798" s="54">
        <f t="shared" si="28"/>
        <v>8</v>
      </c>
    </row>
    <row r="1799" spans="1:10">
      <c r="A1799" s="43">
        <v>42999</v>
      </c>
      <c r="B1799">
        <v>2008</v>
      </c>
      <c r="C1799">
        <v>2824</v>
      </c>
      <c r="D1799">
        <v>1798</v>
      </c>
      <c r="E1799">
        <v>8500</v>
      </c>
      <c r="F1799" t="s">
        <v>59</v>
      </c>
      <c r="G1799">
        <v>10</v>
      </c>
      <c r="H1799" t="s">
        <v>133</v>
      </c>
      <c r="I1799">
        <v>11</v>
      </c>
      <c r="J1799" s="54">
        <f t="shared" si="28"/>
        <v>10</v>
      </c>
    </row>
    <row r="1800" spans="1:10">
      <c r="A1800" s="43">
        <v>42993</v>
      </c>
      <c r="B1800">
        <v>2008</v>
      </c>
      <c r="C1800">
        <v>2824</v>
      </c>
      <c r="D1800">
        <v>1799</v>
      </c>
      <c r="E1800">
        <v>9450</v>
      </c>
      <c r="F1800" t="s">
        <v>59</v>
      </c>
      <c r="G1800">
        <v>6</v>
      </c>
      <c r="H1800" t="s">
        <v>133</v>
      </c>
      <c r="I1800">
        <v>11</v>
      </c>
      <c r="J1800" s="54">
        <f t="shared" si="28"/>
        <v>6</v>
      </c>
    </row>
    <row r="1801" spans="1:10">
      <c r="A1801" s="43">
        <v>42978</v>
      </c>
      <c r="B1801">
        <v>2006</v>
      </c>
      <c r="C1801">
        <v>2824</v>
      </c>
      <c r="D1801">
        <v>1800</v>
      </c>
      <c r="E1801">
        <v>8000</v>
      </c>
      <c r="F1801" t="s">
        <v>59</v>
      </c>
      <c r="G1801">
        <v>7</v>
      </c>
      <c r="H1801" t="s">
        <v>133</v>
      </c>
      <c r="I1801">
        <v>13</v>
      </c>
      <c r="J1801" s="54">
        <f t="shared" si="28"/>
        <v>7</v>
      </c>
    </row>
    <row r="1802" spans="1:10">
      <c r="A1802" s="43">
        <v>42968</v>
      </c>
      <c r="B1802">
        <v>2006</v>
      </c>
      <c r="C1802">
        <v>2824</v>
      </c>
      <c r="D1802">
        <v>1801</v>
      </c>
      <c r="E1802">
        <v>9000</v>
      </c>
      <c r="F1802" t="s">
        <v>59</v>
      </c>
      <c r="G1802">
        <v>8</v>
      </c>
      <c r="H1802" t="s">
        <v>133</v>
      </c>
      <c r="I1802">
        <v>13</v>
      </c>
      <c r="J1802" s="54">
        <f t="shared" si="28"/>
        <v>8</v>
      </c>
    </row>
    <row r="1803" spans="1:10">
      <c r="A1803" s="43">
        <v>42948</v>
      </c>
      <c r="B1803">
        <v>2006</v>
      </c>
      <c r="C1803">
        <v>2824</v>
      </c>
      <c r="D1803">
        <v>1802</v>
      </c>
      <c r="E1803">
        <v>9000</v>
      </c>
      <c r="F1803" t="s">
        <v>59</v>
      </c>
      <c r="G1803">
        <v>7</v>
      </c>
      <c r="H1803" t="s">
        <v>133</v>
      </c>
      <c r="I1803">
        <v>13</v>
      </c>
      <c r="J1803" s="54">
        <f t="shared" si="28"/>
        <v>7</v>
      </c>
    </row>
    <row r="1804" spans="1:10">
      <c r="A1804" s="43">
        <v>42936</v>
      </c>
      <c r="B1804">
        <v>2006</v>
      </c>
      <c r="C1804">
        <v>2824</v>
      </c>
      <c r="D1804">
        <v>1803</v>
      </c>
      <c r="E1804">
        <v>7500</v>
      </c>
      <c r="F1804" t="s">
        <v>59</v>
      </c>
      <c r="G1804">
        <v>6</v>
      </c>
      <c r="H1804" t="s">
        <v>133</v>
      </c>
      <c r="I1804">
        <v>13</v>
      </c>
      <c r="J1804" s="54">
        <f t="shared" si="28"/>
        <v>6</v>
      </c>
    </row>
    <row r="1805" spans="1:10">
      <c r="A1805" s="43">
        <v>42926</v>
      </c>
      <c r="B1805">
        <v>2006</v>
      </c>
      <c r="C1805">
        <v>2824</v>
      </c>
      <c r="D1805">
        <v>1804</v>
      </c>
      <c r="E1805">
        <v>7500</v>
      </c>
      <c r="F1805" t="s">
        <v>59</v>
      </c>
      <c r="G1805">
        <v>50</v>
      </c>
      <c r="H1805" t="s">
        <v>60</v>
      </c>
      <c r="I1805">
        <v>13</v>
      </c>
      <c r="J1805" s="54">
        <f t="shared" si="28"/>
        <v>2</v>
      </c>
    </row>
    <row r="1806" spans="1:10">
      <c r="A1806" s="43">
        <v>42923</v>
      </c>
      <c r="B1806">
        <v>2007</v>
      </c>
      <c r="C1806">
        <v>2824</v>
      </c>
      <c r="D1806">
        <v>1805</v>
      </c>
      <c r="E1806">
        <v>7500</v>
      </c>
      <c r="F1806" t="s">
        <v>59</v>
      </c>
      <c r="G1806">
        <v>7</v>
      </c>
      <c r="H1806" t="s">
        <v>133</v>
      </c>
      <c r="I1806">
        <v>12</v>
      </c>
      <c r="J1806" s="54">
        <f t="shared" si="28"/>
        <v>7</v>
      </c>
    </row>
    <row r="1807" spans="1:10">
      <c r="A1807" s="43">
        <v>42912</v>
      </c>
      <c r="B1807">
        <v>2007</v>
      </c>
      <c r="C1807">
        <v>2824</v>
      </c>
      <c r="D1807">
        <v>1806</v>
      </c>
      <c r="E1807">
        <v>7500</v>
      </c>
      <c r="F1807" t="s">
        <v>59</v>
      </c>
      <c r="G1807">
        <v>12</v>
      </c>
      <c r="H1807" t="s">
        <v>133</v>
      </c>
      <c r="I1807">
        <v>12</v>
      </c>
      <c r="J1807" s="54">
        <f t="shared" si="28"/>
        <v>12</v>
      </c>
    </row>
    <row r="1808" spans="1:10">
      <c r="A1808" s="43">
        <v>42912</v>
      </c>
      <c r="B1808">
        <v>2007</v>
      </c>
      <c r="C1808">
        <v>2824</v>
      </c>
      <c r="D1808">
        <v>1807</v>
      </c>
      <c r="E1808">
        <v>9000</v>
      </c>
      <c r="F1808" t="s">
        <v>59</v>
      </c>
      <c r="G1808">
        <v>3</v>
      </c>
      <c r="H1808" t="s">
        <v>133</v>
      </c>
      <c r="I1808">
        <v>12</v>
      </c>
      <c r="J1808" s="54">
        <f t="shared" si="28"/>
        <v>3</v>
      </c>
    </row>
    <row r="1809" spans="1:10">
      <c r="A1809" s="43">
        <v>42899</v>
      </c>
      <c r="B1809">
        <v>2007</v>
      </c>
      <c r="C1809">
        <v>2824</v>
      </c>
      <c r="D1809">
        <v>1808</v>
      </c>
      <c r="E1809">
        <v>9600</v>
      </c>
      <c r="F1809" t="s">
        <v>59</v>
      </c>
      <c r="G1809">
        <v>5</v>
      </c>
      <c r="H1809" t="s">
        <v>133</v>
      </c>
      <c r="I1809">
        <v>12</v>
      </c>
      <c r="J1809" s="54">
        <f t="shared" si="28"/>
        <v>5</v>
      </c>
    </row>
    <row r="1810" spans="1:10">
      <c r="A1810" s="43">
        <v>42887</v>
      </c>
      <c r="B1810">
        <v>2008</v>
      </c>
      <c r="C1810">
        <v>2824</v>
      </c>
      <c r="D1810">
        <v>1809</v>
      </c>
      <c r="E1810">
        <v>7500</v>
      </c>
      <c r="F1810" t="s">
        <v>59</v>
      </c>
      <c r="G1810">
        <v>4</v>
      </c>
      <c r="H1810" t="s">
        <v>133</v>
      </c>
      <c r="I1810">
        <v>11</v>
      </c>
      <c r="J1810" s="54">
        <f t="shared" si="28"/>
        <v>4</v>
      </c>
    </row>
    <row r="1811" spans="1:10">
      <c r="A1811" s="43">
        <v>42879</v>
      </c>
      <c r="B1811">
        <v>2006</v>
      </c>
      <c r="C1811">
        <v>2824</v>
      </c>
      <c r="D1811">
        <v>1810</v>
      </c>
      <c r="E1811">
        <v>9800</v>
      </c>
      <c r="F1811" t="s">
        <v>59</v>
      </c>
      <c r="G1811">
        <v>5</v>
      </c>
      <c r="H1811" t="s">
        <v>133</v>
      </c>
      <c r="I1811">
        <v>13</v>
      </c>
      <c r="J1811" s="54">
        <f t="shared" si="28"/>
        <v>5</v>
      </c>
    </row>
    <row r="1812" spans="1:10">
      <c r="A1812" s="43">
        <v>42859</v>
      </c>
      <c r="B1812">
        <v>2006</v>
      </c>
      <c r="C1812">
        <v>2824</v>
      </c>
      <c r="D1812">
        <v>1811</v>
      </c>
      <c r="E1812">
        <v>10000</v>
      </c>
      <c r="F1812" t="s">
        <v>59</v>
      </c>
      <c r="G1812">
        <v>6</v>
      </c>
      <c r="H1812" t="s">
        <v>133</v>
      </c>
      <c r="I1812">
        <v>13</v>
      </c>
      <c r="J1812" s="54">
        <f t="shared" si="28"/>
        <v>6</v>
      </c>
    </row>
    <row r="1813" spans="1:10">
      <c r="A1813" s="43">
        <v>42858</v>
      </c>
      <c r="B1813">
        <v>2006</v>
      </c>
      <c r="C1813">
        <v>2824</v>
      </c>
      <c r="D1813">
        <v>1812</v>
      </c>
      <c r="E1813">
        <v>9375</v>
      </c>
      <c r="F1813" t="s">
        <v>59</v>
      </c>
      <c r="G1813">
        <v>9</v>
      </c>
      <c r="H1813" t="s">
        <v>133</v>
      </c>
      <c r="I1813">
        <v>13</v>
      </c>
      <c r="J1813" s="54">
        <f t="shared" si="28"/>
        <v>9</v>
      </c>
    </row>
    <row r="1814" spans="1:10">
      <c r="A1814" s="43">
        <v>42851</v>
      </c>
      <c r="B1814">
        <v>2007</v>
      </c>
      <c r="C1814">
        <v>2824</v>
      </c>
      <c r="D1814">
        <v>1813</v>
      </c>
      <c r="E1814">
        <v>9000</v>
      </c>
      <c r="F1814" t="s">
        <v>59</v>
      </c>
      <c r="G1814">
        <v>11</v>
      </c>
      <c r="H1814" t="s">
        <v>133</v>
      </c>
      <c r="I1814">
        <v>12</v>
      </c>
      <c r="J1814" s="54">
        <f t="shared" si="28"/>
        <v>11</v>
      </c>
    </row>
    <row r="1815" spans="1:10">
      <c r="A1815" s="43">
        <v>42824</v>
      </c>
      <c r="B1815">
        <v>2006</v>
      </c>
      <c r="C1815">
        <v>2824</v>
      </c>
      <c r="D1815">
        <v>1814</v>
      </c>
      <c r="E1815">
        <v>8000</v>
      </c>
      <c r="F1815" t="s">
        <v>59</v>
      </c>
      <c r="G1815">
        <v>3</v>
      </c>
      <c r="H1815" t="s">
        <v>133</v>
      </c>
      <c r="I1815">
        <v>13</v>
      </c>
      <c r="J1815" s="54">
        <f t="shared" si="28"/>
        <v>3</v>
      </c>
    </row>
    <row r="1816" spans="1:10">
      <c r="A1816" s="43">
        <v>42795</v>
      </c>
      <c r="B1816">
        <v>2007</v>
      </c>
      <c r="C1816">
        <v>2824</v>
      </c>
      <c r="D1816">
        <v>1815</v>
      </c>
      <c r="E1816">
        <v>6000</v>
      </c>
      <c r="F1816" t="s">
        <v>59</v>
      </c>
      <c r="G1816">
        <v>120</v>
      </c>
      <c r="H1816" t="s">
        <v>60</v>
      </c>
      <c r="I1816">
        <v>12</v>
      </c>
      <c r="J1816" s="54">
        <f t="shared" si="28"/>
        <v>4</v>
      </c>
    </row>
    <row r="1817" spans="1:10">
      <c r="A1817" s="43">
        <v>42794</v>
      </c>
      <c r="B1817">
        <v>2007</v>
      </c>
      <c r="C1817">
        <v>2824</v>
      </c>
      <c r="D1817">
        <v>1816</v>
      </c>
      <c r="E1817">
        <v>6000</v>
      </c>
      <c r="F1817" t="s">
        <v>59</v>
      </c>
      <c r="G1817">
        <v>4</v>
      </c>
      <c r="H1817" t="s">
        <v>133</v>
      </c>
      <c r="I1817">
        <v>12</v>
      </c>
      <c r="J1817" s="54">
        <f t="shared" si="28"/>
        <v>4</v>
      </c>
    </row>
    <row r="1818" spans="1:10">
      <c r="A1818" s="43">
        <v>42774</v>
      </c>
      <c r="B1818">
        <v>2007</v>
      </c>
      <c r="C1818">
        <v>2824</v>
      </c>
      <c r="D1818">
        <v>1817</v>
      </c>
      <c r="E1818">
        <v>6600</v>
      </c>
      <c r="F1818" t="s">
        <v>59</v>
      </c>
      <c r="G1818">
        <v>7</v>
      </c>
      <c r="H1818" t="s">
        <v>133</v>
      </c>
      <c r="I1818">
        <v>12</v>
      </c>
      <c r="J1818" s="54">
        <f t="shared" si="28"/>
        <v>7</v>
      </c>
    </row>
    <row r="1819" spans="1:10">
      <c r="A1819" s="43">
        <v>42774</v>
      </c>
      <c r="B1819">
        <v>2007</v>
      </c>
      <c r="C1819">
        <v>2824</v>
      </c>
      <c r="D1819">
        <v>1818</v>
      </c>
      <c r="E1819">
        <v>6600</v>
      </c>
      <c r="F1819" t="s">
        <v>59</v>
      </c>
      <c r="G1819">
        <v>7</v>
      </c>
      <c r="H1819" t="s">
        <v>133</v>
      </c>
      <c r="I1819">
        <v>12</v>
      </c>
      <c r="J1819" s="54">
        <f t="shared" si="28"/>
        <v>7</v>
      </c>
    </row>
    <row r="1820" spans="1:10">
      <c r="A1820" s="43">
        <v>42758</v>
      </c>
      <c r="B1820">
        <v>2007</v>
      </c>
      <c r="C1820">
        <v>2824</v>
      </c>
      <c r="D1820">
        <v>1819</v>
      </c>
      <c r="E1820">
        <v>6100</v>
      </c>
      <c r="F1820" t="s">
        <v>59</v>
      </c>
      <c r="G1820">
        <v>8</v>
      </c>
      <c r="H1820" t="s">
        <v>133</v>
      </c>
      <c r="I1820">
        <v>12</v>
      </c>
      <c r="J1820" s="54">
        <f t="shared" si="28"/>
        <v>8</v>
      </c>
    </row>
    <row r="1821" spans="1:10">
      <c r="A1821" s="43">
        <v>42745</v>
      </c>
      <c r="B1821">
        <v>2006</v>
      </c>
      <c r="C1821">
        <v>2824</v>
      </c>
      <c r="D1821">
        <v>1820</v>
      </c>
      <c r="E1821">
        <v>6000</v>
      </c>
      <c r="F1821" t="s">
        <v>59</v>
      </c>
      <c r="G1821">
        <v>12</v>
      </c>
      <c r="H1821" t="s">
        <v>133</v>
      </c>
      <c r="I1821">
        <v>13</v>
      </c>
      <c r="J1821" s="54">
        <f t="shared" si="28"/>
        <v>12</v>
      </c>
    </row>
    <row r="1822" spans="1:10">
      <c r="A1822" s="43">
        <v>42745</v>
      </c>
      <c r="B1822">
        <v>2006</v>
      </c>
      <c r="C1822">
        <v>2824</v>
      </c>
      <c r="D1822">
        <v>1821</v>
      </c>
      <c r="E1822">
        <v>6250</v>
      </c>
      <c r="F1822" t="s">
        <v>59</v>
      </c>
      <c r="G1822">
        <v>10</v>
      </c>
      <c r="H1822" t="s">
        <v>133</v>
      </c>
      <c r="I1822">
        <v>13</v>
      </c>
      <c r="J1822" s="54">
        <f t="shared" si="28"/>
        <v>10</v>
      </c>
    </row>
    <row r="1823" spans="1:10">
      <c r="A1823" s="43">
        <v>42708</v>
      </c>
      <c r="B1823">
        <v>2006</v>
      </c>
      <c r="C1823">
        <v>2824</v>
      </c>
      <c r="D1823">
        <v>1822</v>
      </c>
      <c r="E1823">
        <v>6000</v>
      </c>
      <c r="F1823" t="s">
        <v>59</v>
      </c>
      <c r="G1823">
        <v>12</v>
      </c>
      <c r="H1823" t="s">
        <v>133</v>
      </c>
      <c r="I1823">
        <v>13</v>
      </c>
      <c r="J1823" s="54">
        <f t="shared" si="28"/>
        <v>12</v>
      </c>
    </row>
    <row r="1824" spans="1:10">
      <c r="A1824" s="43">
        <v>42683</v>
      </c>
      <c r="B1824">
        <v>2006</v>
      </c>
      <c r="C1824">
        <v>2824</v>
      </c>
      <c r="D1824">
        <v>1823</v>
      </c>
      <c r="E1824">
        <v>6000</v>
      </c>
      <c r="F1824" t="s">
        <v>59</v>
      </c>
      <c r="G1824">
        <v>9</v>
      </c>
      <c r="H1824" t="s">
        <v>133</v>
      </c>
      <c r="I1824">
        <v>13</v>
      </c>
      <c r="J1824" s="54">
        <f t="shared" si="28"/>
        <v>9</v>
      </c>
    </row>
    <row r="1825" spans="1:10">
      <c r="A1825" s="43">
        <v>42683</v>
      </c>
      <c r="B1825">
        <v>2006</v>
      </c>
      <c r="C1825">
        <v>2824</v>
      </c>
      <c r="D1825">
        <v>1824</v>
      </c>
      <c r="E1825">
        <v>6000</v>
      </c>
      <c r="F1825" t="s">
        <v>59</v>
      </c>
      <c r="G1825">
        <v>9</v>
      </c>
      <c r="H1825" t="s">
        <v>133</v>
      </c>
      <c r="I1825">
        <v>13</v>
      </c>
      <c r="J1825" s="54">
        <f t="shared" si="28"/>
        <v>9</v>
      </c>
    </row>
    <row r="1826" spans="1:10">
      <c r="A1826" s="43">
        <v>42681</v>
      </c>
      <c r="B1826">
        <v>2007</v>
      </c>
      <c r="C1826">
        <v>2824</v>
      </c>
      <c r="D1826">
        <v>1825</v>
      </c>
      <c r="E1826">
        <v>6000</v>
      </c>
      <c r="F1826" t="s">
        <v>59</v>
      </c>
      <c r="G1826">
        <v>12</v>
      </c>
      <c r="H1826" t="s">
        <v>133</v>
      </c>
      <c r="I1826">
        <v>12</v>
      </c>
      <c r="J1826" s="54">
        <f t="shared" si="28"/>
        <v>12</v>
      </c>
    </row>
    <row r="1827" spans="1:10">
      <c r="A1827" s="43">
        <v>42681</v>
      </c>
      <c r="B1827">
        <v>2008</v>
      </c>
      <c r="C1827">
        <v>2824</v>
      </c>
      <c r="D1827">
        <v>1826</v>
      </c>
      <c r="E1827">
        <v>6000</v>
      </c>
      <c r="F1827" t="s">
        <v>59</v>
      </c>
      <c r="G1827">
        <v>8</v>
      </c>
      <c r="H1827" t="s">
        <v>133</v>
      </c>
      <c r="I1827">
        <v>11</v>
      </c>
      <c r="J1827" s="54">
        <f t="shared" si="28"/>
        <v>8</v>
      </c>
    </row>
    <row r="1828" spans="1:10">
      <c r="A1828" s="43">
        <v>42667</v>
      </c>
      <c r="B1828">
        <v>2006</v>
      </c>
      <c r="C1828">
        <v>2824</v>
      </c>
      <c r="D1828">
        <v>1827</v>
      </c>
      <c r="E1828">
        <v>6000</v>
      </c>
      <c r="F1828" t="s">
        <v>59</v>
      </c>
      <c r="G1828">
        <v>8</v>
      </c>
      <c r="H1828" t="s">
        <v>133</v>
      </c>
      <c r="I1828">
        <v>13</v>
      </c>
      <c r="J1828" s="54">
        <f t="shared" si="28"/>
        <v>8</v>
      </c>
    </row>
    <row r="1829" spans="1:10">
      <c r="A1829" s="43">
        <v>42663</v>
      </c>
      <c r="B1829">
        <v>2007</v>
      </c>
      <c r="C1829">
        <v>2824</v>
      </c>
      <c r="D1829">
        <v>1828</v>
      </c>
      <c r="E1829">
        <v>6000</v>
      </c>
      <c r="F1829" t="s">
        <v>59</v>
      </c>
      <c r="G1829">
        <v>6</v>
      </c>
      <c r="H1829" t="s">
        <v>133</v>
      </c>
      <c r="I1829">
        <v>12</v>
      </c>
      <c r="J1829" s="54">
        <f t="shared" si="28"/>
        <v>6</v>
      </c>
    </row>
    <row r="1830" spans="1:10">
      <c r="A1830" s="43">
        <v>42639</v>
      </c>
      <c r="B1830">
        <v>2007</v>
      </c>
      <c r="C1830">
        <v>2824</v>
      </c>
      <c r="D1830">
        <v>1829</v>
      </c>
      <c r="E1830">
        <v>6000</v>
      </c>
      <c r="F1830" t="s">
        <v>59</v>
      </c>
      <c r="G1830">
        <v>7</v>
      </c>
      <c r="H1830" t="s">
        <v>133</v>
      </c>
      <c r="I1830">
        <v>12</v>
      </c>
      <c r="J1830" s="54">
        <f t="shared" si="28"/>
        <v>7</v>
      </c>
    </row>
    <row r="1831" spans="1:10">
      <c r="A1831" s="43">
        <v>42614</v>
      </c>
      <c r="B1831">
        <v>2007</v>
      </c>
      <c r="C1831">
        <v>2824</v>
      </c>
      <c r="D1831">
        <v>1830</v>
      </c>
      <c r="E1831">
        <v>6000</v>
      </c>
      <c r="F1831" t="s">
        <v>59</v>
      </c>
      <c r="G1831">
        <v>10</v>
      </c>
      <c r="H1831" t="s">
        <v>133</v>
      </c>
      <c r="I1831">
        <v>12</v>
      </c>
      <c r="J1831" s="54">
        <f t="shared" si="28"/>
        <v>10</v>
      </c>
    </row>
    <row r="1832" spans="1:10">
      <c r="A1832" s="43">
        <v>42612</v>
      </c>
      <c r="B1832">
        <v>2006</v>
      </c>
      <c r="C1832">
        <v>2824</v>
      </c>
      <c r="D1832">
        <v>1831</v>
      </c>
      <c r="E1832">
        <v>6000</v>
      </c>
      <c r="F1832" t="s">
        <v>59</v>
      </c>
      <c r="G1832">
        <v>9</v>
      </c>
      <c r="H1832" t="s">
        <v>133</v>
      </c>
      <c r="I1832">
        <v>13</v>
      </c>
      <c r="J1832" s="54">
        <f t="shared" si="28"/>
        <v>9</v>
      </c>
    </row>
    <row r="1833" spans="1:10">
      <c r="A1833" s="43">
        <v>42592</v>
      </c>
      <c r="B1833">
        <v>2007</v>
      </c>
      <c r="C1833">
        <v>2824</v>
      </c>
      <c r="D1833">
        <v>1832</v>
      </c>
      <c r="E1833">
        <v>6250</v>
      </c>
      <c r="F1833" t="s">
        <v>59</v>
      </c>
      <c r="G1833">
        <v>7</v>
      </c>
      <c r="H1833" t="s">
        <v>133</v>
      </c>
      <c r="I1833">
        <v>12</v>
      </c>
      <c r="J1833" s="54">
        <f t="shared" si="28"/>
        <v>7</v>
      </c>
    </row>
    <row r="1834" spans="1:10">
      <c r="A1834" s="43">
        <v>42592</v>
      </c>
      <c r="B1834">
        <v>2006</v>
      </c>
      <c r="C1834">
        <v>2824</v>
      </c>
      <c r="D1834">
        <v>1833</v>
      </c>
      <c r="E1834">
        <v>6100</v>
      </c>
      <c r="F1834" t="s">
        <v>59</v>
      </c>
      <c r="G1834">
        <v>10</v>
      </c>
      <c r="H1834" t="s">
        <v>133</v>
      </c>
      <c r="I1834">
        <v>13</v>
      </c>
      <c r="J1834" s="54">
        <f t="shared" si="28"/>
        <v>10</v>
      </c>
    </row>
    <row r="1835" spans="1:10">
      <c r="A1835" s="43">
        <v>42591</v>
      </c>
      <c r="B1835">
        <v>2006</v>
      </c>
      <c r="C1835">
        <v>2824</v>
      </c>
      <c r="D1835">
        <v>1834</v>
      </c>
      <c r="E1835">
        <v>6000</v>
      </c>
      <c r="F1835" t="s">
        <v>59</v>
      </c>
      <c r="G1835">
        <v>10</v>
      </c>
      <c r="H1835" t="s">
        <v>133</v>
      </c>
      <c r="I1835">
        <v>13</v>
      </c>
      <c r="J1835" s="54">
        <f t="shared" si="28"/>
        <v>10</v>
      </c>
    </row>
    <row r="1836" spans="1:10">
      <c r="A1836" s="43">
        <v>42577</v>
      </c>
      <c r="B1836">
        <v>2006</v>
      </c>
      <c r="C1836">
        <v>2824</v>
      </c>
      <c r="D1836">
        <v>1835</v>
      </c>
      <c r="E1836">
        <v>6000</v>
      </c>
      <c r="F1836" t="s">
        <v>59</v>
      </c>
      <c r="G1836">
        <v>6</v>
      </c>
      <c r="H1836" t="s">
        <v>133</v>
      </c>
      <c r="I1836">
        <v>13</v>
      </c>
      <c r="J1836" s="54">
        <f t="shared" si="28"/>
        <v>6</v>
      </c>
    </row>
    <row r="1837" spans="1:10">
      <c r="A1837" s="43">
        <v>42565</v>
      </c>
      <c r="B1837">
        <v>2007</v>
      </c>
      <c r="C1837">
        <v>2824</v>
      </c>
      <c r="D1837">
        <v>1836</v>
      </c>
      <c r="E1837">
        <v>6250</v>
      </c>
      <c r="F1837" t="s">
        <v>59</v>
      </c>
      <c r="G1837">
        <v>7</v>
      </c>
      <c r="H1837" t="s">
        <v>133</v>
      </c>
      <c r="I1837">
        <v>12</v>
      </c>
      <c r="J1837" s="54">
        <f t="shared" si="28"/>
        <v>7</v>
      </c>
    </row>
    <row r="1838" spans="1:10">
      <c r="A1838" s="43">
        <v>42546</v>
      </c>
      <c r="B1838">
        <v>2008</v>
      </c>
      <c r="C1838">
        <v>2824</v>
      </c>
      <c r="D1838">
        <v>1837</v>
      </c>
      <c r="E1838">
        <v>6100</v>
      </c>
      <c r="F1838" t="s">
        <v>59</v>
      </c>
      <c r="G1838">
        <v>4</v>
      </c>
      <c r="H1838" t="s">
        <v>133</v>
      </c>
      <c r="I1838">
        <v>11</v>
      </c>
      <c r="J1838" s="54">
        <f t="shared" si="28"/>
        <v>4</v>
      </c>
    </row>
    <row r="1839" spans="1:10">
      <c r="A1839" s="43">
        <v>42541</v>
      </c>
      <c r="B1839">
        <v>2008</v>
      </c>
      <c r="C1839">
        <v>2824</v>
      </c>
      <c r="D1839">
        <v>1838</v>
      </c>
      <c r="E1839">
        <v>6650</v>
      </c>
      <c r="F1839" t="s">
        <v>59</v>
      </c>
      <c r="G1839">
        <v>12</v>
      </c>
      <c r="H1839" t="s">
        <v>133</v>
      </c>
      <c r="I1839">
        <v>11</v>
      </c>
      <c r="J1839" s="54">
        <f t="shared" si="28"/>
        <v>12</v>
      </c>
    </row>
    <row r="1840" spans="1:10">
      <c r="A1840" s="43">
        <v>42505</v>
      </c>
      <c r="B1840">
        <v>2007</v>
      </c>
      <c r="C1840">
        <v>2824</v>
      </c>
      <c r="D1840">
        <v>1839</v>
      </c>
      <c r="E1840">
        <v>6000</v>
      </c>
      <c r="F1840" t="s">
        <v>59</v>
      </c>
      <c r="G1840">
        <v>5</v>
      </c>
      <c r="H1840" t="s">
        <v>133</v>
      </c>
      <c r="I1840">
        <v>12</v>
      </c>
      <c r="J1840" s="54">
        <f t="shared" si="28"/>
        <v>5</v>
      </c>
    </row>
    <row r="1841" spans="1:10">
      <c r="A1841" s="43">
        <v>42475</v>
      </c>
      <c r="B1841">
        <v>2006</v>
      </c>
      <c r="C1841">
        <v>2824</v>
      </c>
      <c r="D1841">
        <v>1840</v>
      </c>
      <c r="E1841">
        <v>5850</v>
      </c>
      <c r="F1841" t="s">
        <v>59</v>
      </c>
      <c r="G1841">
        <v>6</v>
      </c>
      <c r="H1841" t="s">
        <v>133</v>
      </c>
      <c r="I1841">
        <v>13</v>
      </c>
      <c r="J1841" s="54">
        <f t="shared" si="28"/>
        <v>6</v>
      </c>
    </row>
    <row r="1842" spans="1:10">
      <c r="A1842" s="43">
        <v>42468</v>
      </c>
      <c r="B1842">
        <v>2007</v>
      </c>
      <c r="C1842">
        <v>2824</v>
      </c>
      <c r="D1842">
        <v>1841</v>
      </c>
      <c r="E1842">
        <v>6250</v>
      </c>
      <c r="F1842" t="s">
        <v>59</v>
      </c>
      <c r="G1842">
        <v>3</v>
      </c>
      <c r="H1842" t="s">
        <v>133</v>
      </c>
      <c r="I1842">
        <v>12</v>
      </c>
      <c r="J1842" s="54">
        <f t="shared" si="28"/>
        <v>3</v>
      </c>
    </row>
    <row r="1843" spans="1:10">
      <c r="A1843" s="43">
        <v>42444</v>
      </c>
      <c r="B1843">
        <v>2006</v>
      </c>
      <c r="C1843">
        <v>2824</v>
      </c>
      <c r="D1843">
        <v>1842</v>
      </c>
      <c r="E1843">
        <v>6000</v>
      </c>
      <c r="F1843" t="s">
        <v>59</v>
      </c>
      <c r="G1843">
        <v>12</v>
      </c>
      <c r="H1843" t="s">
        <v>133</v>
      </c>
      <c r="I1843">
        <v>13</v>
      </c>
      <c r="J1843" s="54">
        <f t="shared" si="28"/>
        <v>12</v>
      </c>
    </row>
    <row r="1844" spans="1:10">
      <c r="A1844" s="43">
        <v>42431</v>
      </c>
      <c r="B1844">
        <v>2007</v>
      </c>
      <c r="C1844">
        <v>2824</v>
      </c>
      <c r="D1844">
        <v>1843</v>
      </c>
      <c r="E1844">
        <v>6000</v>
      </c>
      <c r="F1844" t="s">
        <v>59</v>
      </c>
      <c r="G1844">
        <v>11</v>
      </c>
      <c r="H1844" t="s">
        <v>133</v>
      </c>
      <c r="I1844">
        <v>12</v>
      </c>
      <c r="J1844" s="54">
        <f t="shared" si="28"/>
        <v>11</v>
      </c>
    </row>
    <row r="1845" spans="1:10">
      <c r="A1845" s="43">
        <v>42431</v>
      </c>
      <c r="B1845">
        <v>2006</v>
      </c>
      <c r="C1845">
        <v>2824</v>
      </c>
      <c r="D1845">
        <v>1844</v>
      </c>
      <c r="E1845">
        <v>6000</v>
      </c>
      <c r="F1845" t="s">
        <v>59</v>
      </c>
      <c r="G1845">
        <v>9</v>
      </c>
      <c r="H1845" t="s">
        <v>133</v>
      </c>
      <c r="I1845">
        <v>13</v>
      </c>
      <c r="J1845" s="54">
        <f t="shared" si="28"/>
        <v>9</v>
      </c>
    </row>
    <row r="1846" spans="1:10">
      <c r="A1846" s="43">
        <v>42430</v>
      </c>
      <c r="B1846">
        <v>2007</v>
      </c>
      <c r="C1846">
        <v>2824</v>
      </c>
      <c r="D1846">
        <v>1845</v>
      </c>
      <c r="E1846">
        <v>6200</v>
      </c>
      <c r="F1846" t="s">
        <v>59</v>
      </c>
      <c r="G1846">
        <v>7</v>
      </c>
      <c r="H1846" t="s">
        <v>133</v>
      </c>
      <c r="I1846">
        <v>12</v>
      </c>
      <c r="J1846" s="54">
        <f t="shared" si="28"/>
        <v>7</v>
      </c>
    </row>
    <row r="1847" spans="1:10">
      <c r="A1847" s="43">
        <v>42425</v>
      </c>
      <c r="B1847">
        <v>2007</v>
      </c>
      <c r="C1847">
        <v>2824</v>
      </c>
      <c r="D1847">
        <v>1846</v>
      </c>
      <c r="E1847">
        <v>6000</v>
      </c>
      <c r="F1847" t="s">
        <v>59</v>
      </c>
      <c r="G1847">
        <v>5</v>
      </c>
      <c r="H1847" t="s">
        <v>133</v>
      </c>
      <c r="I1847">
        <v>12</v>
      </c>
      <c r="J1847" s="54">
        <f t="shared" si="28"/>
        <v>5</v>
      </c>
    </row>
    <row r="1848" spans="1:10">
      <c r="A1848" s="43">
        <v>42425</v>
      </c>
      <c r="B1848">
        <v>2006</v>
      </c>
      <c r="C1848">
        <v>2824</v>
      </c>
      <c r="D1848">
        <v>1847</v>
      </c>
      <c r="E1848">
        <v>6000</v>
      </c>
      <c r="F1848" t="s">
        <v>59</v>
      </c>
      <c r="G1848">
        <v>10</v>
      </c>
      <c r="H1848" t="s">
        <v>133</v>
      </c>
      <c r="I1848">
        <v>13</v>
      </c>
      <c r="J1848" s="54">
        <f t="shared" si="28"/>
        <v>10</v>
      </c>
    </row>
    <row r="1849" spans="1:10">
      <c r="A1849" s="43">
        <v>42404</v>
      </c>
      <c r="B1849">
        <v>2006</v>
      </c>
      <c r="C1849">
        <v>2824</v>
      </c>
      <c r="D1849">
        <v>1848</v>
      </c>
      <c r="E1849">
        <v>6250</v>
      </c>
      <c r="F1849" t="s">
        <v>59</v>
      </c>
      <c r="G1849">
        <v>8</v>
      </c>
      <c r="H1849" t="s">
        <v>133</v>
      </c>
      <c r="I1849">
        <v>13</v>
      </c>
      <c r="J1849" s="54">
        <f t="shared" si="28"/>
        <v>8</v>
      </c>
    </row>
    <row r="1850" spans="1:10">
      <c r="A1850" s="43">
        <v>42404</v>
      </c>
      <c r="B1850">
        <v>2007</v>
      </c>
      <c r="C1850">
        <v>2824</v>
      </c>
      <c r="D1850">
        <v>1849</v>
      </c>
      <c r="E1850">
        <v>6000</v>
      </c>
      <c r="F1850" t="s">
        <v>59</v>
      </c>
      <c r="G1850">
        <v>9</v>
      </c>
      <c r="H1850" t="s">
        <v>133</v>
      </c>
      <c r="I1850">
        <v>12</v>
      </c>
      <c r="J1850" s="54">
        <f t="shared" si="28"/>
        <v>9</v>
      </c>
    </row>
    <row r="1851" spans="1:10">
      <c r="A1851" s="43">
        <v>42401</v>
      </c>
      <c r="B1851">
        <v>2006</v>
      </c>
      <c r="C1851">
        <v>2824</v>
      </c>
      <c r="D1851">
        <v>1850</v>
      </c>
      <c r="E1851">
        <v>6150</v>
      </c>
      <c r="F1851" t="s">
        <v>59</v>
      </c>
      <c r="G1851">
        <v>9</v>
      </c>
      <c r="H1851" t="s">
        <v>133</v>
      </c>
      <c r="I1851">
        <v>13</v>
      </c>
      <c r="J1851" s="54">
        <f t="shared" si="28"/>
        <v>9</v>
      </c>
    </row>
    <row r="1852" spans="1:10">
      <c r="A1852" s="43">
        <v>42401</v>
      </c>
      <c r="B1852">
        <v>2006</v>
      </c>
      <c r="C1852">
        <v>2824</v>
      </c>
      <c r="D1852">
        <v>1851</v>
      </c>
      <c r="E1852">
        <v>6000</v>
      </c>
      <c r="F1852" t="s">
        <v>59</v>
      </c>
      <c r="G1852">
        <v>9</v>
      </c>
      <c r="H1852" t="s">
        <v>133</v>
      </c>
      <c r="I1852">
        <v>13</v>
      </c>
      <c r="J1852" s="54">
        <f t="shared" si="28"/>
        <v>9</v>
      </c>
    </row>
    <row r="1853" spans="1:10">
      <c r="A1853" s="43">
        <v>42401</v>
      </c>
      <c r="B1853">
        <v>2007</v>
      </c>
      <c r="C1853">
        <v>2824</v>
      </c>
      <c r="D1853">
        <v>1852</v>
      </c>
      <c r="E1853">
        <v>6000</v>
      </c>
      <c r="F1853" t="s">
        <v>59</v>
      </c>
      <c r="G1853">
        <v>10</v>
      </c>
      <c r="H1853" t="s">
        <v>133</v>
      </c>
      <c r="I1853">
        <v>12</v>
      </c>
      <c r="J1853" s="54">
        <f t="shared" si="28"/>
        <v>10</v>
      </c>
    </row>
    <row r="1854" spans="1:10">
      <c r="A1854" s="43">
        <v>42387</v>
      </c>
      <c r="B1854">
        <v>2007</v>
      </c>
      <c r="C1854">
        <v>2824</v>
      </c>
      <c r="D1854">
        <v>1853</v>
      </c>
      <c r="E1854">
        <v>6000</v>
      </c>
      <c r="F1854" t="s">
        <v>59</v>
      </c>
      <c r="G1854">
        <v>9</v>
      </c>
      <c r="H1854" t="s">
        <v>133</v>
      </c>
      <c r="I1854">
        <v>12</v>
      </c>
      <c r="J1854" s="54">
        <f t="shared" si="28"/>
        <v>9</v>
      </c>
    </row>
    <row r="1855" spans="1:10">
      <c r="A1855" s="43">
        <v>42384</v>
      </c>
      <c r="B1855">
        <v>2006</v>
      </c>
      <c r="C1855">
        <v>2824</v>
      </c>
      <c r="D1855">
        <v>1854</v>
      </c>
      <c r="E1855">
        <v>6000</v>
      </c>
      <c r="F1855" t="s">
        <v>59</v>
      </c>
      <c r="G1855">
        <v>6</v>
      </c>
      <c r="H1855" t="s">
        <v>133</v>
      </c>
      <c r="I1855">
        <v>13</v>
      </c>
      <c r="J1855" s="54">
        <f t="shared" si="28"/>
        <v>6</v>
      </c>
    </row>
    <row r="1856" spans="1:10">
      <c r="A1856" s="43">
        <v>42380</v>
      </c>
      <c r="B1856">
        <v>2008</v>
      </c>
      <c r="C1856">
        <v>2824</v>
      </c>
      <c r="D1856">
        <v>1855</v>
      </c>
      <c r="E1856">
        <v>6100</v>
      </c>
      <c r="F1856" t="s">
        <v>59</v>
      </c>
      <c r="G1856">
        <v>8</v>
      </c>
      <c r="H1856" t="s">
        <v>133</v>
      </c>
      <c r="I1856">
        <v>11</v>
      </c>
      <c r="J1856" s="54">
        <f t="shared" si="28"/>
        <v>8</v>
      </c>
    </row>
    <row r="1857" spans="1:10">
      <c r="A1857" s="43">
        <v>42377</v>
      </c>
      <c r="B1857">
        <v>2006</v>
      </c>
      <c r="C1857">
        <v>2824</v>
      </c>
      <c r="D1857">
        <v>1856</v>
      </c>
      <c r="E1857">
        <v>6100</v>
      </c>
      <c r="F1857" t="s">
        <v>59</v>
      </c>
      <c r="G1857">
        <v>8</v>
      </c>
      <c r="H1857" t="s">
        <v>133</v>
      </c>
      <c r="I1857">
        <v>13</v>
      </c>
      <c r="J1857" s="54">
        <f t="shared" si="28"/>
        <v>8</v>
      </c>
    </row>
    <row r="1858" spans="1:10">
      <c r="A1858" s="43">
        <v>42370</v>
      </c>
      <c r="B1858">
        <v>2006</v>
      </c>
      <c r="C1858">
        <v>2824</v>
      </c>
      <c r="D1858">
        <v>1857</v>
      </c>
      <c r="E1858">
        <v>6000</v>
      </c>
      <c r="F1858" t="s">
        <v>59</v>
      </c>
      <c r="G1858">
        <v>12</v>
      </c>
      <c r="H1858" t="s">
        <v>133</v>
      </c>
      <c r="I1858">
        <v>13</v>
      </c>
      <c r="J1858" s="54">
        <f t="shared" ref="J1858:J1921" si="29">IF(H1858="days",ROUND(G1858/30,0),IF(H1858="years",G1858*12,G1858))</f>
        <v>12</v>
      </c>
    </row>
    <row r="1859" spans="1:10">
      <c r="A1859" s="43">
        <v>43617</v>
      </c>
      <c r="B1859">
        <v>2006</v>
      </c>
      <c r="C1859">
        <v>2826</v>
      </c>
      <c r="D1859">
        <v>1858</v>
      </c>
      <c r="E1859">
        <v>9000</v>
      </c>
      <c r="F1859" t="s">
        <v>59</v>
      </c>
      <c r="G1859">
        <v>60</v>
      </c>
      <c r="H1859" t="s">
        <v>60</v>
      </c>
      <c r="I1859">
        <v>13</v>
      </c>
      <c r="J1859" s="54">
        <f t="shared" si="29"/>
        <v>2</v>
      </c>
    </row>
    <row r="1860" spans="1:10">
      <c r="A1860" s="43">
        <v>43598</v>
      </c>
      <c r="B1860">
        <v>2006</v>
      </c>
      <c r="C1860">
        <v>2826</v>
      </c>
      <c r="D1860">
        <v>1859</v>
      </c>
      <c r="E1860">
        <v>10000</v>
      </c>
      <c r="F1860" t="s">
        <v>59</v>
      </c>
      <c r="G1860">
        <v>13</v>
      </c>
      <c r="H1860" t="s">
        <v>133</v>
      </c>
      <c r="I1860">
        <v>13</v>
      </c>
      <c r="J1860" s="54">
        <f t="shared" si="29"/>
        <v>13</v>
      </c>
    </row>
    <row r="1861" spans="1:10">
      <c r="A1861" s="43">
        <v>43524</v>
      </c>
      <c r="B1861">
        <v>2006</v>
      </c>
      <c r="C1861">
        <v>2826</v>
      </c>
      <c r="D1861">
        <v>1860</v>
      </c>
      <c r="E1861">
        <v>8500</v>
      </c>
      <c r="F1861" t="s">
        <v>59</v>
      </c>
      <c r="G1861">
        <v>12</v>
      </c>
      <c r="H1861" t="s">
        <v>133</v>
      </c>
      <c r="I1861">
        <v>13</v>
      </c>
      <c r="J1861" s="54">
        <f t="shared" si="29"/>
        <v>12</v>
      </c>
    </row>
    <row r="1862" spans="1:10">
      <c r="A1862" s="43">
        <v>43509</v>
      </c>
      <c r="B1862">
        <v>2006</v>
      </c>
      <c r="C1862">
        <v>2826</v>
      </c>
      <c r="D1862">
        <v>1861</v>
      </c>
      <c r="E1862">
        <v>9100</v>
      </c>
      <c r="F1862" t="s">
        <v>59</v>
      </c>
      <c r="G1862">
        <v>12</v>
      </c>
      <c r="H1862" t="s">
        <v>133</v>
      </c>
      <c r="I1862">
        <v>13</v>
      </c>
      <c r="J1862" s="54">
        <f t="shared" si="29"/>
        <v>12</v>
      </c>
    </row>
    <row r="1863" spans="1:10">
      <c r="A1863" s="43">
        <v>43508</v>
      </c>
      <c r="B1863">
        <v>2006</v>
      </c>
      <c r="C1863">
        <v>2826</v>
      </c>
      <c r="D1863">
        <v>1862</v>
      </c>
      <c r="E1863">
        <v>9000</v>
      </c>
      <c r="F1863" t="s">
        <v>59</v>
      </c>
      <c r="G1863">
        <v>2</v>
      </c>
      <c r="H1863" t="s">
        <v>133</v>
      </c>
      <c r="I1863">
        <v>13</v>
      </c>
      <c r="J1863" s="54">
        <f t="shared" si="29"/>
        <v>2</v>
      </c>
    </row>
    <row r="1864" spans="1:10">
      <c r="A1864" s="43">
        <v>43458</v>
      </c>
      <c r="B1864">
        <v>2006</v>
      </c>
      <c r="C1864">
        <v>2826</v>
      </c>
      <c r="D1864">
        <v>1863</v>
      </c>
      <c r="E1864">
        <v>9800</v>
      </c>
      <c r="F1864" t="s">
        <v>59</v>
      </c>
      <c r="G1864">
        <v>6</v>
      </c>
      <c r="H1864" t="s">
        <v>133</v>
      </c>
      <c r="I1864">
        <v>13</v>
      </c>
      <c r="J1864" s="54">
        <f t="shared" si="29"/>
        <v>6</v>
      </c>
    </row>
    <row r="1865" spans="1:10">
      <c r="A1865" s="43">
        <v>43418</v>
      </c>
      <c r="B1865">
        <v>2006</v>
      </c>
      <c r="C1865">
        <v>2826</v>
      </c>
      <c r="D1865">
        <v>1864</v>
      </c>
      <c r="E1865">
        <v>10000</v>
      </c>
      <c r="F1865" t="s">
        <v>59</v>
      </c>
      <c r="G1865">
        <v>4</v>
      </c>
      <c r="H1865" t="s">
        <v>133</v>
      </c>
      <c r="I1865">
        <v>13</v>
      </c>
      <c r="J1865" s="54">
        <f t="shared" si="29"/>
        <v>4</v>
      </c>
    </row>
    <row r="1866" spans="1:10">
      <c r="A1866" s="43">
        <v>43416</v>
      </c>
      <c r="B1866">
        <v>2006</v>
      </c>
      <c r="C1866">
        <v>2826</v>
      </c>
      <c r="D1866">
        <v>1865</v>
      </c>
      <c r="E1866">
        <v>10000</v>
      </c>
      <c r="F1866" t="s">
        <v>59</v>
      </c>
      <c r="G1866">
        <v>3</v>
      </c>
      <c r="H1866" t="s">
        <v>133</v>
      </c>
      <c r="I1866">
        <v>13</v>
      </c>
      <c r="J1866" s="54">
        <f t="shared" si="29"/>
        <v>3</v>
      </c>
    </row>
    <row r="1867" spans="1:10">
      <c r="A1867" s="43">
        <v>43355</v>
      </c>
      <c r="B1867">
        <v>2006</v>
      </c>
      <c r="C1867">
        <v>2826</v>
      </c>
      <c r="D1867">
        <v>1866</v>
      </c>
      <c r="E1867">
        <v>11300</v>
      </c>
      <c r="F1867" t="s">
        <v>59</v>
      </c>
      <c r="G1867">
        <v>6</v>
      </c>
      <c r="H1867" t="s">
        <v>133</v>
      </c>
      <c r="I1867">
        <v>13</v>
      </c>
      <c r="J1867" s="54">
        <f t="shared" si="29"/>
        <v>6</v>
      </c>
    </row>
    <row r="1868" spans="1:10">
      <c r="A1868" s="43">
        <v>43332</v>
      </c>
      <c r="B1868">
        <v>2006</v>
      </c>
      <c r="C1868">
        <v>2826</v>
      </c>
      <c r="D1868">
        <v>1867</v>
      </c>
      <c r="E1868">
        <v>11800</v>
      </c>
      <c r="F1868" t="s">
        <v>59</v>
      </c>
      <c r="G1868">
        <v>70</v>
      </c>
      <c r="H1868" t="s">
        <v>60</v>
      </c>
      <c r="I1868">
        <v>13</v>
      </c>
      <c r="J1868" s="54">
        <f t="shared" si="29"/>
        <v>2</v>
      </c>
    </row>
    <row r="1869" spans="1:10">
      <c r="A1869" s="43">
        <v>43328</v>
      </c>
      <c r="B1869">
        <v>2006</v>
      </c>
      <c r="C1869">
        <v>2826</v>
      </c>
      <c r="D1869">
        <v>1868</v>
      </c>
      <c r="E1869">
        <v>10900</v>
      </c>
      <c r="F1869" t="s">
        <v>59</v>
      </c>
      <c r="G1869">
        <v>6</v>
      </c>
      <c r="H1869" t="s">
        <v>133</v>
      </c>
      <c r="I1869">
        <v>13</v>
      </c>
      <c r="J1869" s="54">
        <f t="shared" si="29"/>
        <v>6</v>
      </c>
    </row>
    <row r="1870" spans="1:10">
      <c r="A1870" s="43">
        <v>43305</v>
      </c>
      <c r="B1870">
        <v>2006</v>
      </c>
      <c r="C1870">
        <v>2826</v>
      </c>
      <c r="D1870">
        <v>1869</v>
      </c>
      <c r="E1870">
        <v>11350</v>
      </c>
      <c r="F1870" t="s">
        <v>59</v>
      </c>
      <c r="G1870">
        <v>30</v>
      </c>
      <c r="H1870" t="s">
        <v>60</v>
      </c>
      <c r="I1870">
        <v>13</v>
      </c>
      <c r="J1870" s="54">
        <f t="shared" si="29"/>
        <v>1</v>
      </c>
    </row>
    <row r="1871" spans="1:10">
      <c r="A1871" s="43">
        <v>43298</v>
      </c>
      <c r="B1871">
        <v>2006</v>
      </c>
      <c r="C1871">
        <v>2826</v>
      </c>
      <c r="D1871">
        <v>1870</v>
      </c>
      <c r="E1871">
        <v>11600</v>
      </c>
      <c r="F1871" t="s">
        <v>59</v>
      </c>
      <c r="G1871">
        <v>30</v>
      </c>
      <c r="H1871" t="s">
        <v>60</v>
      </c>
      <c r="I1871">
        <v>13</v>
      </c>
      <c r="J1871" s="54">
        <f t="shared" si="29"/>
        <v>1</v>
      </c>
    </row>
    <row r="1872" spans="1:10">
      <c r="A1872" s="43">
        <v>43252</v>
      </c>
      <c r="B1872">
        <v>2006</v>
      </c>
      <c r="C1872">
        <v>2826</v>
      </c>
      <c r="D1872">
        <v>1871</v>
      </c>
      <c r="E1872">
        <v>12350</v>
      </c>
      <c r="F1872" t="s">
        <v>59</v>
      </c>
      <c r="G1872">
        <v>10</v>
      </c>
      <c r="H1872" t="s">
        <v>133</v>
      </c>
      <c r="I1872">
        <v>13</v>
      </c>
      <c r="J1872" s="54">
        <f t="shared" si="29"/>
        <v>10</v>
      </c>
    </row>
    <row r="1873" spans="1:10">
      <c r="A1873" s="43">
        <v>43172</v>
      </c>
      <c r="B1873">
        <v>2006</v>
      </c>
      <c r="C1873">
        <v>2826</v>
      </c>
      <c r="D1873">
        <v>1872</v>
      </c>
      <c r="E1873">
        <v>9800</v>
      </c>
      <c r="F1873" t="s">
        <v>59</v>
      </c>
      <c r="G1873">
        <v>3</v>
      </c>
      <c r="H1873" t="s">
        <v>133</v>
      </c>
      <c r="I1873">
        <v>13</v>
      </c>
      <c r="J1873" s="54">
        <f t="shared" si="29"/>
        <v>3</v>
      </c>
    </row>
    <row r="1874" spans="1:10">
      <c r="A1874" s="43">
        <v>43172</v>
      </c>
      <c r="B1874">
        <v>2006</v>
      </c>
      <c r="C1874">
        <v>2826</v>
      </c>
      <c r="D1874">
        <v>1873</v>
      </c>
      <c r="E1874">
        <v>9400</v>
      </c>
      <c r="F1874" t="s">
        <v>59</v>
      </c>
      <c r="G1874">
        <v>12</v>
      </c>
      <c r="H1874" t="s">
        <v>133</v>
      </c>
      <c r="I1874">
        <v>13</v>
      </c>
      <c r="J1874" s="54">
        <f t="shared" si="29"/>
        <v>12</v>
      </c>
    </row>
    <row r="1875" spans="1:10">
      <c r="A1875" s="43">
        <v>43168</v>
      </c>
      <c r="B1875">
        <v>2006</v>
      </c>
      <c r="C1875">
        <v>2826</v>
      </c>
      <c r="D1875">
        <v>1874</v>
      </c>
      <c r="E1875">
        <v>9800</v>
      </c>
      <c r="F1875" t="s">
        <v>59</v>
      </c>
      <c r="G1875">
        <v>4</v>
      </c>
      <c r="H1875" t="s">
        <v>133</v>
      </c>
      <c r="I1875">
        <v>13</v>
      </c>
      <c r="J1875" s="54">
        <f t="shared" si="29"/>
        <v>4</v>
      </c>
    </row>
    <row r="1876" spans="1:10">
      <c r="A1876" s="43">
        <v>43159</v>
      </c>
      <c r="B1876">
        <v>2006</v>
      </c>
      <c r="C1876">
        <v>2826</v>
      </c>
      <c r="D1876">
        <v>1875</v>
      </c>
      <c r="E1876">
        <v>9300</v>
      </c>
      <c r="F1876" t="s">
        <v>59</v>
      </c>
      <c r="G1876">
        <v>12</v>
      </c>
      <c r="H1876" t="s">
        <v>133</v>
      </c>
      <c r="I1876">
        <v>13</v>
      </c>
      <c r="J1876" s="54">
        <f t="shared" si="29"/>
        <v>12</v>
      </c>
    </row>
    <row r="1877" spans="1:10">
      <c r="A1877" s="43">
        <v>43111</v>
      </c>
      <c r="B1877">
        <v>2006</v>
      </c>
      <c r="C1877">
        <v>2826</v>
      </c>
      <c r="D1877">
        <v>1876</v>
      </c>
      <c r="E1877">
        <v>9200</v>
      </c>
      <c r="F1877" t="s">
        <v>59</v>
      </c>
      <c r="G1877">
        <v>90</v>
      </c>
      <c r="H1877" t="s">
        <v>60</v>
      </c>
      <c r="I1877">
        <v>13</v>
      </c>
      <c r="J1877" s="54">
        <f t="shared" si="29"/>
        <v>3</v>
      </c>
    </row>
    <row r="1878" spans="1:10">
      <c r="A1878" s="43">
        <v>43059</v>
      </c>
      <c r="B1878">
        <v>2006</v>
      </c>
      <c r="C1878">
        <v>2826</v>
      </c>
      <c r="D1878">
        <v>1877</v>
      </c>
      <c r="E1878">
        <v>9000</v>
      </c>
      <c r="F1878" t="s">
        <v>59</v>
      </c>
      <c r="G1878">
        <v>4</v>
      </c>
      <c r="H1878" t="s">
        <v>133</v>
      </c>
      <c r="I1878">
        <v>13</v>
      </c>
      <c r="J1878" s="54">
        <f t="shared" si="29"/>
        <v>4</v>
      </c>
    </row>
    <row r="1879" spans="1:10">
      <c r="A1879" s="43">
        <v>43033</v>
      </c>
      <c r="B1879">
        <v>2006</v>
      </c>
      <c r="C1879">
        <v>2826</v>
      </c>
      <c r="D1879">
        <v>1878</v>
      </c>
      <c r="E1879">
        <v>9000</v>
      </c>
      <c r="F1879" t="s">
        <v>59</v>
      </c>
      <c r="G1879">
        <v>9</v>
      </c>
      <c r="H1879" t="s">
        <v>133</v>
      </c>
      <c r="I1879">
        <v>13</v>
      </c>
      <c r="J1879" s="54">
        <f t="shared" si="29"/>
        <v>9</v>
      </c>
    </row>
    <row r="1880" spans="1:10">
      <c r="A1880" s="43">
        <v>43026</v>
      </c>
      <c r="B1880">
        <v>2006</v>
      </c>
      <c r="C1880">
        <v>2826</v>
      </c>
      <c r="D1880">
        <v>1879</v>
      </c>
      <c r="E1880">
        <v>8000</v>
      </c>
      <c r="F1880" t="s">
        <v>59</v>
      </c>
      <c r="G1880">
        <v>5</v>
      </c>
      <c r="H1880" t="s">
        <v>133</v>
      </c>
      <c r="I1880">
        <v>13</v>
      </c>
      <c r="J1880" s="54">
        <f t="shared" si="29"/>
        <v>5</v>
      </c>
    </row>
    <row r="1881" spans="1:10">
      <c r="A1881" s="43">
        <v>43007</v>
      </c>
      <c r="B1881">
        <v>2006</v>
      </c>
      <c r="C1881">
        <v>2826</v>
      </c>
      <c r="D1881">
        <v>1880</v>
      </c>
      <c r="E1881">
        <v>9300</v>
      </c>
      <c r="F1881" t="s">
        <v>59</v>
      </c>
      <c r="G1881">
        <v>5.5</v>
      </c>
      <c r="H1881" t="s">
        <v>133</v>
      </c>
      <c r="I1881">
        <v>13</v>
      </c>
      <c r="J1881" s="54">
        <f t="shared" si="29"/>
        <v>5.5</v>
      </c>
    </row>
    <row r="1882" spans="1:10">
      <c r="A1882" s="43">
        <v>43005</v>
      </c>
      <c r="B1882">
        <v>2006</v>
      </c>
      <c r="C1882">
        <v>2826</v>
      </c>
      <c r="D1882">
        <v>1881</v>
      </c>
      <c r="E1882">
        <v>7750</v>
      </c>
      <c r="F1882" t="s">
        <v>59</v>
      </c>
      <c r="G1882">
        <v>5</v>
      </c>
      <c r="H1882" t="s">
        <v>133</v>
      </c>
      <c r="I1882">
        <v>13</v>
      </c>
      <c r="J1882" s="54">
        <f t="shared" si="29"/>
        <v>5</v>
      </c>
    </row>
    <row r="1883" spans="1:10">
      <c r="A1883" s="43">
        <v>42927</v>
      </c>
      <c r="B1883">
        <v>2006</v>
      </c>
      <c r="C1883">
        <v>2826</v>
      </c>
      <c r="D1883">
        <v>1882</v>
      </c>
      <c r="E1883">
        <v>9200</v>
      </c>
      <c r="F1883" t="s">
        <v>59</v>
      </c>
      <c r="G1883">
        <v>3</v>
      </c>
      <c r="H1883" t="s">
        <v>133</v>
      </c>
      <c r="I1883">
        <v>13</v>
      </c>
      <c r="J1883" s="54">
        <f t="shared" si="29"/>
        <v>3</v>
      </c>
    </row>
    <row r="1884" spans="1:10">
      <c r="A1884" s="43">
        <v>42846</v>
      </c>
      <c r="B1884">
        <v>2006</v>
      </c>
      <c r="C1884">
        <v>2826</v>
      </c>
      <c r="D1884">
        <v>1883</v>
      </c>
      <c r="E1884">
        <v>6950</v>
      </c>
      <c r="F1884" t="s">
        <v>59</v>
      </c>
      <c r="G1884">
        <v>6</v>
      </c>
      <c r="H1884" t="s">
        <v>133</v>
      </c>
      <c r="I1884">
        <v>13</v>
      </c>
      <c r="J1884" s="54">
        <f t="shared" si="29"/>
        <v>6</v>
      </c>
    </row>
    <row r="1885" spans="1:10">
      <c r="A1885" s="43">
        <v>42830</v>
      </c>
      <c r="B1885">
        <v>2006</v>
      </c>
      <c r="C1885">
        <v>2826</v>
      </c>
      <c r="D1885">
        <v>1884</v>
      </c>
      <c r="E1885">
        <v>8500</v>
      </c>
      <c r="F1885" t="s">
        <v>59</v>
      </c>
      <c r="G1885">
        <v>6</v>
      </c>
      <c r="H1885" t="s">
        <v>133</v>
      </c>
      <c r="I1885">
        <v>13</v>
      </c>
      <c r="J1885" s="54">
        <f t="shared" si="29"/>
        <v>6</v>
      </c>
    </row>
    <row r="1886" spans="1:10">
      <c r="A1886" s="43">
        <v>42817</v>
      </c>
      <c r="B1886">
        <v>2006</v>
      </c>
      <c r="C1886">
        <v>2826</v>
      </c>
      <c r="D1886">
        <v>1885</v>
      </c>
      <c r="E1886">
        <v>7300</v>
      </c>
      <c r="F1886" t="s">
        <v>59</v>
      </c>
      <c r="G1886">
        <v>7</v>
      </c>
      <c r="H1886" t="s">
        <v>133</v>
      </c>
      <c r="I1886">
        <v>13</v>
      </c>
      <c r="J1886" s="54">
        <f t="shared" si="29"/>
        <v>7</v>
      </c>
    </row>
    <row r="1887" spans="1:10">
      <c r="A1887" s="43">
        <v>42797</v>
      </c>
      <c r="B1887">
        <v>2006</v>
      </c>
      <c r="C1887">
        <v>2826</v>
      </c>
      <c r="D1887">
        <v>1886</v>
      </c>
      <c r="E1887">
        <v>6800</v>
      </c>
      <c r="F1887" t="s">
        <v>59</v>
      </c>
      <c r="G1887">
        <v>7</v>
      </c>
      <c r="H1887" t="s">
        <v>133</v>
      </c>
      <c r="I1887">
        <v>13</v>
      </c>
      <c r="J1887" s="54">
        <f t="shared" si="29"/>
        <v>7</v>
      </c>
    </row>
    <row r="1888" spans="1:10">
      <c r="A1888" s="43">
        <v>42649</v>
      </c>
      <c r="B1888">
        <v>2006</v>
      </c>
      <c r="C1888">
        <v>2826</v>
      </c>
      <c r="D1888">
        <v>1887</v>
      </c>
      <c r="E1888">
        <v>6000</v>
      </c>
      <c r="F1888" t="s">
        <v>59</v>
      </c>
      <c r="G1888">
        <v>6</v>
      </c>
      <c r="H1888" t="s">
        <v>133</v>
      </c>
      <c r="I1888">
        <v>13</v>
      </c>
      <c r="J1888" s="54">
        <f t="shared" si="29"/>
        <v>6</v>
      </c>
    </row>
    <row r="1889" spans="1:10">
      <c r="A1889" s="43">
        <v>42646</v>
      </c>
      <c r="B1889">
        <v>2006</v>
      </c>
      <c r="C1889">
        <v>2826</v>
      </c>
      <c r="D1889">
        <v>1888</v>
      </c>
      <c r="E1889">
        <v>6000</v>
      </c>
      <c r="F1889" t="s">
        <v>59</v>
      </c>
      <c r="G1889">
        <v>12</v>
      </c>
      <c r="H1889" t="s">
        <v>133</v>
      </c>
      <c r="I1889">
        <v>13</v>
      </c>
      <c r="J1889" s="54">
        <f t="shared" si="29"/>
        <v>12</v>
      </c>
    </row>
    <row r="1890" spans="1:10">
      <c r="A1890" s="43">
        <v>42577</v>
      </c>
      <c r="B1890">
        <v>2006</v>
      </c>
      <c r="C1890">
        <v>2826</v>
      </c>
      <c r="D1890">
        <v>1889</v>
      </c>
      <c r="E1890">
        <v>6000</v>
      </c>
      <c r="F1890" t="s">
        <v>59</v>
      </c>
      <c r="G1890">
        <v>10</v>
      </c>
      <c r="H1890" t="s">
        <v>133</v>
      </c>
      <c r="I1890">
        <v>13</v>
      </c>
      <c r="J1890" s="54">
        <f t="shared" si="29"/>
        <v>10</v>
      </c>
    </row>
    <row r="1891" spans="1:10">
      <c r="A1891" s="43">
        <v>42535</v>
      </c>
      <c r="B1891">
        <v>2006</v>
      </c>
      <c r="C1891">
        <v>2826</v>
      </c>
      <c r="D1891">
        <v>1890</v>
      </c>
      <c r="E1891">
        <v>6100</v>
      </c>
      <c r="F1891" t="s">
        <v>59</v>
      </c>
      <c r="G1891">
        <v>5</v>
      </c>
      <c r="H1891" t="s">
        <v>133</v>
      </c>
      <c r="I1891">
        <v>13</v>
      </c>
      <c r="J1891" s="54">
        <f t="shared" si="29"/>
        <v>5</v>
      </c>
    </row>
    <row r="1892" spans="1:10">
      <c r="A1892" s="43">
        <v>42517</v>
      </c>
      <c r="B1892">
        <v>2006</v>
      </c>
      <c r="C1892">
        <v>2826</v>
      </c>
      <c r="D1892">
        <v>1891</v>
      </c>
      <c r="E1892">
        <v>6000</v>
      </c>
      <c r="F1892" t="s">
        <v>59</v>
      </c>
      <c r="G1892">
        <v>6</v>
      </c>
      <c r="H1892" t="s">
        <v>133</v>
      </c>
      <c r="I1892">
        <v>13</v>
      </c>
      <c r="J1892" s="54">
        <f t="shared" si="29"/>
        <v>6</v>
      </c>
    </row>
    <row r="1893" spans="1:10">
      <c r="A1893" s="43">
        <v>42447</v>
      </c>
      <c r="B1893">
        <v>2006</v>
      </c>
      <c r="C1893">
        <v>2826</v>
      </c>
      <c r="D1893">
        <v>1892</v>
      </c>
      <c r="E1893">
        <v>6000</v>
      </c>
      <c r="F1893" t="s">
        <v>59</v>
      </c>
      <c r="G1893">
        <v>3</v>
      </c>
      <c r="H1893" t="s">
        <v>133</v>
      </c>
      <c r="I1893">
        <v>13</v>
      </c>
      <c r="J1893" s="54">
        <f t="shared" si="29"/>
        <v>3</v>
      </c>
    </row>
    <row r="1894" spans="1:10">
      <c r="A1894" s="43">
        <v>42423</v>
      </c>
      <c r="B1894">
        <v>2006</v>
      </c>
      <c r="C1894">
        <v>2826</v>
      </c>
      <c r="D1894">
        <v>1893</v>
      </c>
      <c r="E1894">
        <v>6600</v>
      </c>
      <c r="F1894" t="s">
        <v>59</v>
      </c>
      <c r="G1894">
        <v>12</v>
      </c>
      <c r="H1894" t="s">
        <v>133</v>
      </c>
      <c r="I1894">
        <v>13</v>
      </c>
      <c r="J1894" s="54">
        <f t="shared" si="29"/>
        <v>12</v>
      </c>
    </row>
    <row r="1895" spans="1:10">
      <c r="A1895" s="43">
        <v>42417</v>
      </c>
      <c r="B1895">
        <v>2006</v>
      </c>
      <c r="C1895">
        <v>2826</v>
      </c>
      <c r="D1895">
        <v>1894</v>
      </c>
      <c r="E1895">
        <v>6150</v>
      </c>
      <c r="F1895" t="s">
        <v>59</v>
      </c>
      <c r="G1895">
        <v>10</v>
      </c>
      <c r="H1895" t="s">
        <v>133</v>
      </c>
      <c r="I1895">
        <v>13</v>
      </c>
      <c r="J1895" s="54">
        <f t="shared" si="29"/>
        <v>10</v>
      </c>
    </row>
    <row r="1896" spans="1:10">
      <c r="A1896" s="43">
        <v>42410</v>
      </c>
      <c r="B1896">
        <v>2006</v>
      </c>
      <c r="C1896">
        <v>2826</v>
      </c>
      <c r="D1896">
        <v>1895</v>
      </c>
      <c r="E1896">
        <v>6000</v>
      </c>
      <c r="F1896" t="s">
        <v>59</v>
      </c>
      <c r="G1896">
        <v>7</v>
      </c>
      <c r="H1896" t="s">
        <v>133</v>
      </c>
      <c r="I1896">
        <v>13</v>
      </c>
      <c r="J1896" s="54">
        <f t="shared" si="29"/>
        <v>7</v>
      </c>
    </row>
    <row r="1897" spans="1:10">
      <c r="A1897" s="43">
        <v>42401</v>
      </c>
      <c r="B1897">
        <v>2006</v>
      </c>
      <c r="C1897">
        <v>2826</v>
      </c>
      <c r="D1897">
        <v>1896</v>
      </c>
      <c r="E1897">
        <v>6000</v>
      </c>
      <c r="F1897" t="s">
        <v>59</v>
      </c>
      <c r="G1897">
        <v>6</v>
      </c>
      <c r="H1897" t="s">
        <v>133</v>
      </c>
      <c r="I1897">
        <v>13</v>
      </c>
      <c r="J1897" s="54">
        <f t="shared" si="29"/>
        <v>6</v>
      </c>
    </row>
    <row r="1898" spans="1:10">
      <c r="A1898" s="43">
        <v>43503</v>
      </c>
      <c r="B1898">
        <v>2006</v>
      </c>
      <c r="C1898">
        <v>2846</v>
      </c>
      <c r="D1898">
        <v>1897</v>
      </c>
      <c r="E1898">
        <v>8000</v>
      </c>
      <c r="F1898" t="s">
        <v>59</v>
      </c>
      <c r="G1898">
        <v>12</v>
      </c>
      <c r="H1898" t="s">
        <v>133</v>
      </c>
      <c r="I1898">
        <v>13</v>
      </c>
      <c r="J1898" s="54">
        <f t="shared" si="29"/>
        <v>12</v>
      </c>
    </row>
    <row r="1899" spans="1:10">
      <c r="A1899" s="43">
        <v>43355</v>
      </c>
      <c r="B1899">
        <v>2006</v>
      </c>
      <c r="C1899">
        <v>2846</v>
      </c>
      <c r="D1899">
        <v>1898</v>
      </c>
      <c r="E1899">
        <v>11075</v>
      </c>
      <c r="F1899" t="s">
        <v>59</v>
      </c>
      <c r="G1899">
        <v>1</v>
      </c>
      <c r="H1899" t="s">
        <v>133</v>
      </c>
      <c r="I1899">
        <v>13</v>
      </c>
      <c r="J1899" s="54">
        <f t="shared" si="29"/>
        <v>1</v>
      </c>
    </row>
    <row r="1900" spans="1:10">
      <c r="A1900" s="43">
        <v>43221</v>
      </c>
      <c r="B1900">
        <v>2006</v>
      </c>
      <c r="C1900">
        <v>2846</v>
      </c>
      <c r="D1900">
        <v>1899</v>
      </c>
      <c r="E1900">
        <v>11500</v>
      </c>
      <c r="F1900" t="s">
        <v>59</v>
      </c>
      <c r="G1900">
        <v>60</v>
      </c>
      <c r="H1900" t="s">
        <v>60</v>
      </c>
      <c r="I1900">
        <v>13</v>
      </c>
      <c r="J1900" s="54">
        <f t="shared" si="29"/>
        <v>2</v>
      </c>
    </row>
    <row r="1901" spans="1:10">
      <c r="A1901" s="43">
        <v>43322</v>
      </c>
      <c r="B1901">
        <v>2006</v>
      </c>
      <c r="C1901">
        <v>2867</v>
      </c>
      <c r="D1901">
        <v>1900</v>
      </c>
      <c r="E1901">
        <v>10650</v>
      </c>
      <c r="F1901" t="s">
        <v>59</v>
      </c>
      <c r="G1901">
        <v>4</v>
      </c>
      <c r="H1901" t="s">
        <v>133</v>
      </c>
      <c r="I1901">
        <v>13</v>
      </c>
      <c r="J1901" s="54">
        <f t="shared" si="29"/>
        <v>4</v>
      </c>
    </row>
    <row r="1902" spans="1:10">
      <c r="A1902" s="43">
        <v>43059</v>
      </c>
      <c r="B1902">
        <v>2006</v>
      </c>
      <c r="C1902">
        <v>2867</v>
      </c>
      <c r="D1902">
        <v>1901</v>
      </c>
      <c r="E1902">
        <v>8650</v>
      </c>
      <c r="F1902" t="s">
        <v>59</v>
      </c>
      <c r="G1902">
        <v>10</v>
      </c>
      <c r="H1902" t="s">
        <v>133</v>
      </c>
      <c r="I1902">
        <v>13</v>
      </c>
      <c r="J1902" s="54">
        <f t="shared" si="29"/>
        <v>10</v>
      </c>
    </row>
    <row r="1903" spans="1:10">
      <c r="A1903" s="43">
        <v>43054</v>
      </c>
      <c r="B1903">
        <v>2006</v>
      </c>
      <c r="C1903">
        <v>2867</v>
      </c>
      <c r="D1903">
        <v>1902</v>
      </c>
      <c r="E1903">
        <v>9250</v>
      </c>
      <c r="F1903" t="s">
        <v>59</v>
      </c>
      <c r="G1903">
        <v>7</v>
      </c>
      <c r="H1903" t="s">
        <v>133</v>
      </c>
      <c r="I1903">
        <v>13</v>
      </c>
      <c r="J1903" s="54">
        <f t="shared" si="29"/>
        <v>7</v>
      </c>
    </row>
    <row r="1904" spans="1:10">
      <c r="A1904" s="43">
        <v>42731</v>
      </c>
      <c r="B1904">
        <v>2006</v>
      </c>
      <c r="C1904">
        <v>2867</v>
      </c>
      <c r="D1904">
        <v>1903</v>
      </c>
      <c r="E1904">
        <v>5800</v>
      </c>
      <c r="F1904" t="s">
        <v>59</v>
      </c>
      <c r="G1904">
        <v>4</v>
      </c>
      <c r="H1904" t="s">
        <v>133</v>
      </c>
      <c r="I1904">
        <v>13</v>
      </c>
      <c r="J1904" s="54">
        <f t="shared" si="29"/>
        <v>4</v>
      </c>
    </row>
    <row r="1905" spans="1:10">
      <c r="A1905" s="43">
        <v>42655</v>
      </c>
      <c r="B1905">
        <v>2006</v>
      </c>
      <c r="C1905">
        <v>2867</v>
      </c>
      <c r="D1905">
        <v>1904</v>
      </c>
      <c r="E1905">
        <v>6000</v>
      </c>
      <c r="F1905" t="s">
        <v>59</v>
      </c>
      <c r="G1905">
        <v>12</v>
      </c>
      <c r="H1905" t="s">
        <v>133</v>
      </c>
      <c r="I1905">
        <v>13</v>
      </c>
      <c r="J1905" s="54">
        <f t="shared" si="29"/>
        <v>12</v>
      </c>
    </row>
    <row r="1906" spans="1:10">
      <c r="A1906" s="43">
        <v>42578</v>
      </c>
      <c r="B1906">
        <v>2006</v>
      </c>
      <c r="C1906">
        <v>2867</v>
      </c>
      <c r="D1906">
        <v>1905</v>
      </c>
      <c r="E1906">
        <v>6000</v>
      </c>
      <c r="F1906" t="s">
        <v>59</v>
      </c>
      <c r="G1906">
        <v>42</v>
      </c>
      <c r="H1906" t="s">
        <v>60</v>
      </c>
      <c r="I1906">
        <v>13</v>
      </c>
      <c r="J1906" s="54">
        <f t="shared" si="29"/>
        <v>1</v>
      </c>
    </row>
    <row r="1907" spans="1:10">
      <c r="A1907" s="43">
        <v>42444</v>
      </c>
      <c r="B1907">
        <v>2006</v>
      </c>
      <c r="C1907">
        <v>2867</v>
      </c>
      <c r="D1907">
        <v>1906</v>
      </c>
      <c r="E1907">
        <v>6000</v>
      </c>
      <c r="F1907" t="s">
        <v>59</v>
      </c>
      <c r="G1907">
        <v>10</v>
      </c>
      <c r="H1907" t="s">
        <v>133</v>
      </c>
      <c r="I1907">
        <v>13</v>
      </c>
      <c r="J1907" s="54">
        <f t="shared" si="29"/>
        <v>10</v>
      </c>
    </row>
    <row r="1908" spans="1:10">
      <c r="A1908" s="43">
        <v>42403</v>
      </c>
      <c r="B1908">
        <v>2006</v>
      </c>
      <c r="C1908">
        <v>2867</v>
      </c>
      <c r="D1908">
        <v>1907</v>
      </c>
      <c r="E1908">
        <v>6000</v>
      </c>
      <c r="F1908" t="s">
        <v>59</v>
      </c>
      <c r="G1908">
        <v>6</v>
      </c>
      <c r="H1908" t="s">
        <v>133</v>
      </c>
      <c r="I1908">
        <v>13</v>
      </c>
      <c r="J1908" s="54">
        <f t="shared" si="29"/>
        <v>6</v>
      </c>
    </row>
    <row r="1909" spans="1:10">
      <c r="A1909" s="43">
        <v>42371</v>
      </c>
      <c r="B1909">
        <v>2006</v>
      </c>
      <c r="C1909">
        <v>2867</v>
      </c>
      <c r="D1909">
        <v>1908</v>
      </c>
      <c r="E1909">
        <v>6100</v>
      </c>
      <c r="F1909" t="s">
        <v>59</v>
      </c>
      <c r="G1909">
        <v>4</v>
      </c>
      <c r="H1909" t="s">
        <v>133</v>
      </c>
      <c r="I1909">
        <v>13</v>
      </c>
      <c r="J1909" s="54">
        <f t="shared" si="29"/>
        <v>4</v>
      </c>
    </row>
    <row r="1910" spans="1:10">
      <c r="A1910" s="43">
        <v>43549</v>
      </c>
      <c r="B1910">
        <v>2008</v>
      </c>
      <c r="C1910">
        <v>2872</v>
      </c>
      <c r="D1910">
        <v>1909</v>
      </c>
      <c r="E1910">
        <v>9500</v>
      </c>
      <c r="F1910" t="s">
        <v>59</v>
      </c>
      <c r="G1910">
        <v>5</v>
      </c>
      <c r="H1910" t="s">
        <v>133</v>
      </c>
      <c r="I1910">
        <v>11</v>
      </c>
      <c r="J1910" s="54">
        <f t="shared" si="29"/>
        <v>5</v>
      </c>
    </row>
    <row r="1911" spans="1:10">
      <c r="A1911" s="43">
        <v>43509</v>
      </c>
      <c r="B1911">
        <v>2007</v>
      </c>
      <c r="C1911">
        <v>2872</v>
      </c>
      <c r="D1911">
        <v>1910</v>
      </c>
      <c r="E1911">
        <v>9100</v>
      </c>
      <c r="F1911" t="s">
        <v>59</v>
      </c>
      <c r="G1911">
        <v>3</v>
      </c>
      <c r="H1911" t="s">
        <v>133</v>
      </c>
      <c r="I1911">
        <v>12</v>
      </c>
      <c r="J1911" s="54">
        <f t="shared" si="29"/>
        <v>3</v>
      </c>
    </row>
    <row r="1912" spans="1:10">
      <c r="A1912" s="43">
        <v>43469</v>
      </c>
      <c r="B1912">
        <v>2008</v>
      </c>
      <c r="C1912">
        <v>2872</v>
      </c>
      <c r="D1912">
        <v>1911</v>
      </c>
      <c r="E1912">
        <v>13000</v>
      </c>
      <c r="F1912" t="s">
        <v>59</v>
      </c>
      <c r="G1912">
        <v>6</v>
      </c>
      <c r="H1912" t="s">
        <v>133</v>
      </c>
      <c r="I1912">
        <v>11</v>
      </c>
      <c r="J1912" s="54">
        <f t="shared" si="29"/>
        <v>6</v>
      </c>
    </row>
    <row r="1913" spans="1:10">
      <c r="A1913" s="43">
        <v>43468</v>
      </c>
      <c r="B1913">
        <v>2009</v>
      </c>
      <c r="C1913">
        <v>2872</v>
      </c>
      <c r="D1913">
        <v>1912</v>
      </c>
      <c r="E1913">
        <v>13000</v>
      </c>
      <c r="F1913" t="s">
        <v>59</v>
      </c>
      <c r="G1913">
        <v>6</v>
      </c>
      <c r="H1913" t="s">
        <v>133</v>
      </c>
      <c r="I1913">
        <v>10</v>
      </c>
      <c r="J1913" s="54">
        <f t="shared" si="29"/>
        <v>6</v>
      </c>
    </row>
    <row r="1914" spans="1:10">
      <c r="A1914" s="43">
        <v>43419</v>
      </c>
      <c r="B1914">
        <v>2008</v>
      </c>
      <c r="C1914">
        <v>2872</v>
      </c>
      <c r="D1914">
        <v>1913</v>
      </c>
      <c r="E1914">
        <v>13000</v>
      </c>
      <c r="F1914" t="s">
        <v>59</v>
      </c>
      <c r="G1914">
        <v>12</v>
      </c>
      <c r="H1914" t="s">
        <v>133</v>
      </c>
      <c r="I1914">
        <v>11</v>
      </c>
      <c r="J1914" s="54">
        <f t="shared" si="29"/>
        <v>12</v>
      </c>
    </row>
    <row r="1915" spans="1:10">
      <c r="A1915" s="43">
        <v>43398</v>
      </c>
      <c r="B1915">
        <v>2008</v>
      </c>
      <c r="C1915">
        <v>2872</v>
      </c>
      <c r="D1915">
        <v>1914</v>
      </c>
      <c r="E1915">
        <v>10300</v>
      </c>
      <c r="F1915" t="s">
        <v>59</v>
      </c>
      <c r="G1915">
        <v>6</v>
      </c>
      <c r="H1915" t="s">
        <v>133</v>
      </c>
      <c r="I1915">
        <v>11</v>
      </c>
      <c r="J1915" s="54">
        <f t="shared" si="29"/>
        <v>6</v>
      </c>
    </row>
    <row r="1916" spans="1:10">
      <c r="A1916" s="43">
        <v>43391</v>
      </c>
      <c r="B1916">
        <v>2008</v>
      </c>
      <c r="C1916">
        <v>2872</v>
      </c>
      <c r="D1916">
        <v>1915</v>
      </c>
      <c r="E1916">
        <v>11000</v>
      </c>
      <c r="F1916" t="s">
        <v>59</v>
      </c>
      <c r="G1916">
        <v>12</v>
      </c>
      <c r="H1916" t="s">
        <v>133</v>
      </c>
      <c r="I1916">
        <v>11</v>
      </c>
      <c r="J1916" s="54">
        <f t="shared" si="29"/>
        <v>12</v>
      </c>
    </row>
    <row r="1917" spans="1:10">
      <c r="A1917" s="43">
        <v>43391</v>
      </c>
      <c r="B1917">
        <v>2010</v>
      </c>
      <c r="C1917">
        <v>2872</v>
      </c>
      <c r="D1917">
        <v>1916</v>
      </c>
      <c r="E1917">
        <v>13350</v>
      </c>
      <c r="F1917" t="s">
        <v>59</v>
      </c>
      <c r="G1917">
        <v>13</v>
      </c>
      <c r="H1917" t="s">
        <v>133</v>
      </c>
      <c r="I1917">
        <v>9</v>
      </c>
      <c r="J1917" s="54">
        <f t="shared" si="29"/>
        <v>13</v>
      </c>
    </row>
    <row r="1918" spans="1:10">
      <c r="A1918" s="43">
        <v>43391</v>
      </c>
      <c r="B1918">
        <v>2010</v>
      </c>
      <c r="C1918">
        <v>2872</v>
      </c>
      <c r="D1918">
        <v>1917</v>
      </c>
      <c r="E1918">
        <v>13350</v>
      </c>
      <c r="F1918" t="s">
        <v>59</v>
      </c>
      <c r="G1918">
        <v>13</v>
      </c>
      <c r="H1918" t="s">
        <v>133</v>
      </c>
      <c r="I1918">
        <v>9</v>
      </c>
      <c r="J1918" s="54">
        <f t="shared" si="29"/>
        <v>13</v>
      </c>
    </row>
    <row r="1919" spans="1:10">
      <c r="A1919" s="43">
        <v>43383</v>
      </c>
      <c r="B1919">
        <v>2007</v>
      </c>
      <c r="C1919">
        <v>2872</v>
      </c>
      <c r="D1919">
        <v>1918</v>
      </c>
      <c r="E1919">
        <v>11450</v>
      </c>
      <c r="F1919" t="s">
        <v>59</v>
      </c>
      <c r="G1919">
        <v>6</v>
      </c>
      <c r="H1919" t="s">
        <v>133</v>
      </c>
      <c r="I1919">
        <v>12</v>
      </c>
      <c r="J1919" s="54">
        <f t="shared" si="29"/>
        <v>6</v>
      </c>
    </row>
    <row r="1920" spans="1:10">
      <c r="A1920" s="43">
        <v>43376</v>
      </c>
      <c r="B1920">
        <v>2008</v>
      </c>
      <c r="C1920">
        <v>2872</v>
      </c>
      <c r="D1920">
        <v>1919</v>
      </c>
      <c r="E1920">
        <v>11500</v>
      </c>
      <c r="F1920" t="s">
        <v>59</v>
      </c>
      <c r="G1920">
        <v>6</v>
      </c>
      <c r="H1920" t="s">
        <v>133</v>
      </c>
      <c r="I1920">
        <v>11</v>
      </c>
      <c r="J1920" s="54">
        <f t="shared" si="29"/>
        <v>6</v>
      </c>
    </row>
    <row r="1921" spans="1:10">
      <c r="A1921" s="43">
        <v>43290</v>
      </c>
      <c r="B1921">
        <v>2008</v>
      </c>
      <c r="C1921">
        <v>2872</v>
      </c>
      <c r="D1921">
        <v>1920</v>
      </c>
      <c r="E1921">
        <v>12000</v>
      </c>
      <c r="F1921" t="s">
        <v>59</v>
      </c>
      <c r="G1921">
        <v>5</v>
      </c>
      <c r="H1921" t="s">
        <v>133</v>
      </c>
      <c r="I1921">
        <v>11</v>
      </c>
      <c r="J1921" s="54">
        <f t="shared" si="29"/>
        <v>5</v>
      </c>
    </row>
    <row r="1922" spans="1:10">
      <c r="A1922" s="43">
        <v>43225</v>
      </c>
      <c r="B1922">
        <v>2007</v>
      </c>
      <c r="C1922">
        <v>2872</v>
      </c>
      <c r="D1922">
        <v>1921</v>
      </c>
      <c r="E1922">
        <v>11950</v>
      </c>
      <c r="F1922" t="s">
        <v>59</v>
      </c>
      <c r="G1922">
        <v>6</v>
      </c>
      <c r="H1922" t="s">
        <v>133</v>
      </c>
      <c r="I1922">
        <v>12</v>
      </c>
      <c r="J1922" s="54">
        <f t="shared" ref="J1922:J1933" si="30">IF(H1922="days",ROUND(G1922/30,0),IF(H1922="years",G1922*12,G1922))</f>
        <v>6</v>
      </c>
    </row>
    <row r="1923" spans="1:10">
      <c r="A1923" s="43">
        <v>43130</v>
      </c>
      <c r="B1923">
        <v>2008</v>
      </c>
      <c r="C1923">
        <v>2872</v>
      </c>
      <c r="D1923">
        <v>1922</v>
      </c>
      <c r="E1923">
        <v>9000</v>
      </c>
      <c r="F1923" t="s">
        <v>59</v>
      </c>
      <c r="G1923">
        <v>10</v>
      </c>
      <c r="H1923" t="s">
        <v>133</v>
      </c>
      <c r="I1923">
        <v>11</v>
      </c>
      <c r="J1923" s="54">
        <f t="shared" si="30"/>
        <v>10</v>
      </c>
    </row>
    <row r="1924" spans="1:10">
      <c r="A1924" s="43">
        <v>42948</v>
      </c>
      <c r="B1924">
        <v>2008</v>
      </c>
      <c r="C1924">
        <v>2872</v>
      </c>
      <c r="D1924">
        <v>1923</v>
      </c>
      <c r="E1924">
        <v>6800</v>
      </c>
      <c r="F1924" t="s">
        <v>59</v>
      </c>
      <c r="G1924">
        <v>3</v>
      </c>
      <c r="H1924" t="s">
        <v>133</v>
      </c>
      <c r="I1924">
        <v>11</v>
      </c>
      <c r="J1924" s="54">
        <f t="shared" si="30"/>
        <v>3</v>
      </c>
    </row>
    <row r="1925" spans="1:10">
      <c r="A1925" s="43">
        <v>42921</v>
      </c>
      <c r="B1925">
        <v>2007</v>
      </c>
      <c r="C1925">
        <v>2872</v>
      </c>
      <c r="D1925">
        <v>1924</v>
      </c>
      <c r="E1925">
        <v>8950</v>
      </c>
      <c r="F1925" t="s">
        <v>59</v>
      </c>
      <c r="G1925">
        <v>9</v>
      </c>
      <c r="H1925" t="s">
        <v>133</v>
      </c>
      <c r="I1925">
        <v>12</v>
      </c>
      <c r="J1925" s="54">
        <f t="shared" si="30"/>
        <v>9</v>
      </c>
    </row>
    <row r="1926" spans="1:10">
      <c r="A1926" s="43">
        <v>42829</v>
      </c>
      <c r="B1926">
        <v>2010</v>
      </c>
      <c r="C1926">
        <v>2872</v>
      </c>
      <c r="D1926">
        <v>1925</v>
      </c>
      <c r="E1926">
        <v>8750</v>
      </c>
      <c r="F1926" t="s">
        <v>59</v>
      </c>
      <c r="G1926">
        <v>4</v>
      </c>
      <c r="H1926" t="s">
        <v>133</v>
      </c>
      <c r="I1926">
        <v>9</v>
      </c>
      <c r="J1926" s="54">
        <f t="shared" si="30"/>
        <v>4</v>
      </c>
    </row>
    <row r="1927" spans="1:10">
      <c r="A1927" s="43">
        <v>42804</v>
      </c>
      <c r="B1927">
        <v>2008</v>
      </c>
      <c r="C1927">
        <v>2872</v>
      </c>
      <c r="D1927">
        <v>1926</v>
      </c>
      <c r="E1927">
        <v>8475</v>
      </c>
      <c r="F1927" t="s">
        <v>59</v>
      </c>
      <c r="G1927">
        <v>40</v>
      </c>
      <c r="H1927" t="s">
        <v>60</v>
      </c>
      <c r="I1927">
        <v>11</v>
      </c>
      <c r="J1927" s="54">
        <f t="shared" si="30"/>
        <v>1</v>
      </c>
    </row>
    <row r="1928" spans="1:10">
      <c r="A1928" s="43">
        <v>42559</v>
      </c>
      <c r="B1928">
        <v>2010</v>
      </c>
      <c r="C1928">
        <v>2872</v>
      </c>
      <c r="D1928">
        <v>1927</v>
      </c>
      <c r="E1928">
        <v>6500</v>
      </c>
      <c r="F1928" t="s">
        <v>59</v>
      </c>
      <c r="G1928">
        <v>6</v>
      </c>
      <c r="H1928" t="s">
        <v>133</v>
      </c>
      <c r="I1928">
        <v>9</v>
      </c>
      <c r="J1928" s="54">
        <f t="shared" si="30"/>
        <v>6</v>
      </c>
    </row>
    <row r="1929" spans="1:10">
      <c r="A1929" s="43">
        <v>42552</v>
      </c>
      <c r="B1929">
        <v>2010</v>
      </c>
      <c r="C1929">
        <v>2872</v>
      </c>
      <c r="D1929">
        <v>1928</v>
      </c>
      <c r="E1929">
        <v>6500</v>
      </c>
      <c r="F1929" t="s">
        <v>59</v>
      </c>
      <c r="G1929">
        <v>7</v>
      </c>
      <c r="H1929" t="s">
        <v>133</v>
      </c>
      <c r="I1929">
        <v>9</v>
      </c>
      <c r="J1929" s="54">
        <f t="shared" si="30"/>
        <v>7</v>
      </c>
    </row>
    <row r="1930" spans="1:10">
      <c r="A1930" s="43">
        <v>42475</v>
      </c>
      <c r="B1930">
        <v>2008</v>
      </c>
      <c r="C1930">
        <v>2872</v>
      </c>
      <c r="D1930">
        <v>1929</v>
      </c>
      <c r="E1930">
        <v>7000</v>
      </c>
      <c r="F1930" t="s">
        <v>59</v>
      </c>
      <c r="G1930">
        <v>12</v>
      </c>
      <c r="H1930" t="s">
        <v>133</v>
      </c>
      <c r="I1930">
        <v>11</v>
      </c>
      <c r="J1930" s="54">
        <f t="shared" si="30"/>
        <v>12</v>
      </c>
    </row>
    <row r="1931" spans="1:10">
      <c r="A1931" s="43">
        <v>42436</v>
      </c>
      <c r="B1931">
        <v>2010</v>
      </c>
      <c r="C1931">
        <v>2872</v>
      </c>
      <c r="D1931">
        <v>1930</v>
      </c>
      <c r="E1931">
        <v>6350</v>
      </c>
      <c r="F1931" t="s">
        <v>59</v>
      </c>
      <c r="G1931">
        <v>6</v>
      </c>
      <c r="H1931" t="s">
        <v>133</v>
      </c>
      <c r="I1931">
        <v>9</v>
      </c>
      <c r="J1931" s="54">
        <f t="shared" si="30"/>
        <v>6</v>
      </c>
    </row>
    <row r="1932" spans="1:10">
      <c r="A1932" s="43">
        <v>42436</v>
      </c>
      <c r="B1932">
        <v>2008</v>
      </c>
      <c r="C1932">
        <v>2872</v>
      </c>
      <c r="D1932">
        <v>1931</v>
      </c>
      <c r="E1932">
        <v>6500</v>
      </c>
      <c r="F1932" t="s">
        <v>59</v>
      </c>
      <c r="G1932">
        <v>6</v>
      </c>
      <c r="H1932" t="s">
        <v>133</v>
      </c>
      <c r="I1932">
        <v>11</v>
      </c>
      <c r="J1932" s="54">
        <f t="shared" si="30"/>
        <v>6</v>
      </c>
    </row>
    <row r="1933" spans="1:10">
      <c r="A1933" s="43">
        <v>42405</v>
      </c>
      <c r="B1933">
        <v>2007</v>
      </c>
      <c r="C1933">
        <v>2872</v>
      </c>
      <c r="D1933">
        <v>1932</v>
      </c>
      <c r="E1933">
        <v>6150</v>
      </c>
      <c r="F1933" t="s">
        <v>59</v>
      </c>
      <c r="G1933">
        <v>6</v>
      </c>
      <c r="H1933" t="s">
        <v>133</v>
      </c>
      <c r="I1933">
        <v>12</v>
      </c>
      <c r="J1933" s="54">
        <f t="shared" si="30"/>
        <v>6</v>
      </c>
    </row>
  </sheetData>
  <autoFilter ref="A1:J1933" xr:uid="{00000000-0009-0000-0000-000007000000}">
    <sortState xmlns:xlrd2="http://schemas.microsoft.com/office/spreadsheetml/2017/richdata2" ref="A2:J1933">
      <sortCondition ref="C1:C1933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J931"/>
  <sheetViews>
    <sheetView topLeftCell="A919" workbookViewId="0">
      <selection activeCell="A4" sqref="A4"/>
    </sheetView>
  </sheetViews>
  <sheetFormatPr defaultColWidth="11.5546875" defaultRowHeight="14.4"/>
  <cols>
    <col min="1" max="2" width="9.6640625" bestFit="1" customWidth="1"/>
    <col min="3" max="3" width="9" bestFit="1" customWidth="1"/>
    <col min="4" max="4" width="15.33203125" bestFit="1" customWidth="1"/>
    <col min="5" max="5" width="9.33203125" bestFit="1" customWidth="1"/>
    <col min="6" max="6" width="13.33203125" bestFit="1" customWidth="1"/>
    <col min="7" max="7" width="17.6640625" bestFit="1" customWidth="1"/>
    <col min="8" max="8" width="15.109375" bestFit="1" customWidth="1"/>
    <col min="9" max="9" width="8.6640625" bestFit="1" customWidth="1"/>
    <col min="10" max="10" width="20.33203125" bestFit="1" customWidth="1"/>
  </cols>
  <sheetData>
    <row r="1" spans="1:10">
      <c r="A1" s="55" t="s">
        <v>51</v>
      </c>
      <c r="B1" s="55" t="s">
        <v>52</v>
      </c>
      <c r="C1" s="55" t="s">
        <v>53</v>
      </c>
      <c r="D1" s="55" t="s">
        <v>345</v>
      </c>
      <c r="E1" s="55" t="s">
        <v>54</v>
      </c>
      <c r="F1" s="55" t="s">
        <v>55</v>
      </c>
      <c r="G1" s="55" t="s">
        <v>56</v>
      </c>
      <c r="H1" s="55" t="s">
        <v>57</v>
      </c>
      <c r="I1" s="55" t="s">
        <v>58</v>
      </c>
      <c r="J1" s="55" t="s">
        <v>346</v>
      </c>
    </row>
    <row r="2" spans="1:10">
      <c r="A2" s="43">
        <v>42704</v>
      </c>
      <c r="B2">
        <v>2000</v>
      </c>
      <c r="C2">
        <v>1005</v>
      </c>
      <c r="D2">
        <v>1</v>
      </c>
      <c r="E2">
        <v>6500</v>
      </c>
      <c r="F2" t="s">
        <v>59</v>
      </c>
      <c r="G2">
        <v>12</v>
      </c>
      <c r="H2" t="s">
        <v>133</v>
      </c>
      <c r="I2">
        <v>19</v>
      </c>
      <c r="J2" s="54">
        <f t="shared" ref="J2:J65" si="0">IF(H2="days",ROUND(G2/30,0),IF(H2="years",G2*12,G2))</f>
        <v>12</v>
      </c>
    </row>
    <row r="3" spans="1:10">
      <c r="A3" s="43">
        <v>42529</v>
      </c>
      <c r="B3">
        <v>2000</v>
      </c>
      <c r="C3">
        <v>1005</v>
      </c>
      <c r="D3">
        <v>2</v>
      </c>
      <c r="E3">
        <v>6250</v>
      </c>
      <c r="F3" t="s">
        <v>59</v>
      </c>
      <c r="G3">
        <v>9</v>
      </c>
      <c r="H3" t="s">
        <v>133</v>
      </c>
      <c r="I3">
        <v>19</v>
      </c>
      <c r="J3" s="54">
        <f t="shared" si="0"/>
        <v>9</v>
      </c>
    </row>
    <row r="4" spans="1:10">
      <c r="A4" s="43">
        <v>43385</v>
      </c>
      <c r="B4">
        <v>2005</v>
      </c>
      <c r="C4">
        <v>1008</v>
      </c>
      <c r="D4">
        <v>3</v>
      </c>
      <c r="E4">
        <v>6400</v>
      </c>
      <c r="F4" t="s">
        <v>59</v>
      </c>
      <c r="G4">
        <v>6</v>
      </c>
      <c r="H4" t="s">
        <v>133</v>
      </c>
      <c r="I4">
        <v>14</v>
      </c>
      <c r="J4" s="54">
        <f t="shared" si="0"/>
        <v>6</v>
      </c>
    </row>
    <row r="5" spans="1:10">
      <c r="A5" s="43">
        <v>43070</v>
      </c>
      <c r="B5">
        <v>2005</v>
      </c>
      <c r="C5">
        <v>1008</v>
      </c>
      <c r="D5">
        <v>4</v>
      </c>
      <c r="E5">
        <v>6950</v>
      </c>
      <c r="F5" t="s">
        <v>59</v>
      </c>
      <c r="G5">
        <v>3</v>
      </c>
      <c r="H5" t="s">
        <v>133</v>
      </c>
      <c r="I5">
        <v>14</v>
      </c>
      <c r="J5" s="54">
        <f t="shared" si="0"/>
        <v>3</v>
      </c>
    </row>
    <row r="6" spans="1:10">
      <c r="A6" s="43">
        <v>43070</v>
      </c>
      <c r="B6">
        <v>2005</v>
      </c>
      <c r="C6">
        <v>1008</v>
      </c>
      <c r="D6">
        <v>5</v>
      </c>
      <c r="E6">
        <v>6950</v>
      </c>
      <c r="F6" t="s">
        <v>59</v>
      </c>
      <c r="G6">
        <v>3</v>
      </c>
      <c r="H6" t="s">
        <v>133</v>
      </c>
      <c r="I6">
        <v>14</v>
      </c>
      <c r="J6" s="54">
        <f t="shared" si="0"/>
        <v>3</v>
      </c>
    </row>
    <row r="7" spans="1:10">
      <c r="A7" s="43">
        <v>42632</v>
      </c>
      <c r="B7">
        <v>2005</v>
      </c>
      <c r="C7">
        <v>1008</v>
      </c>
      <c r="D7">
        <v>6</v>
      </c>
      <c r="E7">
        <v>6750</v>
      </c>
      <c r="F7" t="s">
        <v>59</v>
      </c>
      <c r="G7">
        <v>12</v>
      </c>
      <c r="H7" t="s">
        <v>133</v>
      </c>
      <c r="I7">
        <v>14</v>
      </c>
      <c r="J7" s="54">
        <f t="shared" si="0"/>
        <v>12</v>
      </c>
    </row>
    <row r="8" spans="1:10">
      <c r="A8" s="43">
        <v>42600</v>
      </c>
      <c r="B8">
        <v>2004</v>
      </c>
      <c r="C8">
        <v>1008</v>
      </c>
      <c r="D8">
        <v>7</v>
      </c>
      <c r="E8">
        <v>6550</v>
      </c>
      <c r="F8" t="s">
        <v>59</v>
      </c>
      <c r="G8">
        <v>11</v>
      </c>
      <c r="H8" t="s">
        <v>133</v>
      </c>
      <c r="I8">
        <v>15</v>
      </c>
      <c r="J8" s="54">
        <f t="shared" si="0"/>
        <v>11</v>
      </c>
    </row>
    <row r="9" spans="1:10">
      <c r="A9" s="43">
        <v>42472</v>
      </c>
      <c r="B9">
        <v>2005</v>
      </c>
      <c r="C9">
        <v>1008</v>
      </c>
      <c r="D9">
        <v>8</v>
      </c>
      <c r="E9">
        <v>8400</v>
      </c>
      <c r="F9" t="s">
        <v>59</v>
      </c>
      <c r="G9">
        <v>8</v>
      </c>
      <c r="H9" t="s">
        <v>133</v>
      </c>
      <c r="I9">
        <v>14</v>
      </c>
      <c r="J9" s="54">
        <f t="shared" si="0"/>
        <v>8</v>
      </c>
    </row>
    <row r="10" spans="1:10">
      <c r="A10" s="43">
        <v>42948</v>
      </c>
      <c r="B10">
        <v>2000</v>
      </c>
      <c r="C10">
        <v>1025</v>
      </c>
      <c r="D10">
        <v>9</v>
      </c>
      <c r="E10">
        <v>6900</v>
      </c>
      <c r="F10" t="s">
        <v>59</v>
      </c>
      <c r="G10">
        <v>4</v>
      </c>
      <c r="H10" t="s">
        <v>133</v>
      </c>
      <c r="I10">
        <v>19</v>
      </c>
      <c r="J10" s="54">
        <f t="shared" si="0"/>
        <v>4</v>
      </c>
    </row>
    <row r="11" spans="1:10">
      <c r="A11" s="43">
        <v>42989</v>
      </c>
      <c r="B11">
        <v>2005</v>
      </c>
      <c r="C11">
        <v>1050</v>
      </c>
      <c r="D11">
        <v>10</v>
      </c>
      <c r="E11">
        <v>6500</v>
      </c>
      <c r="F11" t="s">
        <v>59</v>
      </c>
      <c r="G11">
        <v>7</v>
      </c>
      <c r="H11" t="s">
        <v>133</v>
      </c>
      <c r="I11">
        <v>14</v>
      </c>
      <c r="J11" s="54">
        <f t="shared" si="0"/>
        <v>7</v>
      </c>
    </row>
    <row r="12" spans="1:10">
      <c r="A12" s="43">
        <v>42592</v>
      </c>
      <c r="B12">
        <v>2005</v>
      </c>
      <c r="C12">
        <v>1050</v>
      </c>
      <c r="D12">
        <v>11</v>
      </c>
      <c r="E12">
        <v>6950</v>
      </c>
      <c r="F12" t="s">
        <v>59</v>
      </c>
      <c r="G12">
        <v>5</v>
      </c>
      <c r="H12" t="s">
        <v>133</v>
      </c>
      <c r="I12">
        <v>14</v>
      </c>
      <c r="J12" s="54">
        <f t="shared" si="0"/>
        <v>5</v>
      </c>
    </row>
    <row r="13" spans="1:10">
      <c r="A13" s="43">
        <v>43553</v>
      </c>
      <c r="B13">
        <v>2000</v>
      </c>
      <c r="C13">
        <v>1060</v>
      </c>
      <c r="D13">
        <v>12</v>
      </c>
      <c r="E13">
        <v>6500</v>
      </c>
      <c r="F13" t="s">
        <v>59</v>
      </c>
      <c r="G13">
        <v>4</v>
      </c>
      <c r="H13" t="s">
        <v>133</v>
      </c>
      <c r="I13">
        <v>19</v>
      </c>
      <c r="J13" s="54">
        <f t="shared" si="0"/>
        <v>4</v>
      </c>
    </row>
    <row r="14" spans="1:10">
      <c r="A14" s="43">
        <v>43388</v>
      </c>
      <c r="B14">
        <v>2000</v>
      </c>
      <c r="C14">
        <v>1060</v>
      </c>
      <c r="D14">
        <v>13</v>
      </c>
      <c r="E14">
        <v>7200</v>
      </c>
      <c r="F14" t="s">
        <v>59</v>
      </c>
      <c r="G14">
        <v>6</v>
      </c>
      <c r="H14" t="s">
        <v>133</v>
      </c>
      <c r="I14">
        <v>19</v>
      </c>
      <c r="J14" s="54">
        <f t="shared" si="0"/>
        <v>6</v>
      </c>
    </row>
    <row r="15" spans="1:10">
      <c r="A15" s="43">
        <v>42782</v>
      </c>
      <c r="B15">
        <v>2000</v>
      </c>
      <c r="C15">
        <v>1060</v>
      </c>
      <c r="D15">
        <v>14</v>
      </c>
      <c r="E15">
        <v>6500</v>
      </c>
      <c r="F15" t="s">
        <v>59</v>
      </c>
      <c r="G15">
        <v>6</v>
      </c>
      <c r="H15" t="s">
        <v>133</v>
      </c>
      <c r="I15">
        <v>19</v>
      </c>
      <c r="J15" s="54">
        <f t="shared" si="0"/>
        <v>6</v>
      </c>
    </row>
    <row r="16" spans="1:10">
      <c r="A16" s="43">
        <v>42440</v>
      </c>
      <c r="B16">
        <v>2000</v>
      </c>
      <c r="C16">
        <v>1060</v>
      </c>
      <c r="D16">
        <v>15</v>
      </c>
      <c r="E16">
        <v>7000</v>
      </c>
      <c r="F16" t="s">
        <v>59</v>
      </c>
      <c r="G16">
        <v>12</v>
      </c>
      <c r="H16" t="s">
        <v>133</v>
      </c>
      <c r="I16">
        <v>19</v>
      </c>
      <c r="J16" s="54">
        <f t="shared" si="0"/>
        <v>12</v>
      </c>
    </row>
    <row r="17" spans="1:10">
      <c r="A17" s="43">
        <v>43613</v>
      </c>
      <c r="B17">
        <v>2002</v>
      </c>
      <c r="C17">
        <v>1078</v>
      </c>
      <c r="D17">
        <v>16</v>
      </c>
      <c r="E17">
        <v>6500</v>
      </c>
      <c r="F17" t="s">
        <v>59</v>
      </c>
      <c r="G17">
        <v>6</v>
      </c>
      <c r="H17" t="s">
        <v>133</v>
      </c>
      <c r="I17">
        <v>17</v>
      </c>
      <c r="J17" s="54">
        <f t="shared" si="0"/>
        <v>6</v>
      </c>
    </row>
    <row r="18" spans="1:10">
      <c r="A18" s="43">
        <v>43549</v>
      </c>
      <c r="B18">
        <v>2002</v>
      </c>
      <c r="C18">
        <v>1078</v>
      </c>
      <c r="D18">
        <v>17</v>
      </c>
      <c r="E18">
        <v>6000</v>
      </c>
      <c r="F18" t="s">
        <v>59</v>
      </c>
      <c r="G18">
        <v>6</v>
      </c>
      <c r="H18" t="s">
        <v>133</v>
      </c>
      <c r="I18">
        <v>17</v>
      </c>
      <c r="J18" s="54">
        <f t="shared" si="0"/>
        <v>6</v>
      </c>
    </row>
    <row r="19" spans="1:10">
      <c r="A19" s="43">
        <v>43444</v>
      </c>
      <c r="B19">
        <v>2002</v>
      </c>
      <c r="C19">
        <v>1078</v>
      </c>
      <c r="D19">
        <v>18</v>
      </c>
      <c r="E19">
        <v>3850</v>
      </c>
      <c r="F19" t="s">
        <v>59</v>
      </c>
      <c r="G19">
        <v>4</v>
      </c>
      <c r="H19" t="s">
        <v>133</v>
      </c>
      <c r="I19">
        <v>17</v>
      </c>
      <c r="J19" s="54">
        <f t="shared" si="0"/>
        <v>4</v>
      </c>
    </row>
    <row r="20" spans="1:10">
      <c r="A20" s="43">
        <v>43200</v>
      </c>
      <c r="B20">
        <v>2002</v>
      </c>
      <c r="C20">
        <v>1078</v>
      </c>
      <c r="D20">
        <v>19</v>
      </c>
      <c r="E20">
        <v>9500</v>
      </c>
      <c r="F20" t="s">
        <v>59</v>
      </c>
      <c r="G20">
        <v>6</v>
      </c>
      <c r="H20" t="s">
        <v>133</v>
      </c>
      <c r="I20">
        <v>17</v>
      </c>
      <c r="J20" s="54">
        <f t="shared" si="0"/>
        <v>6</v>
      </c>
    </row>
    <row r="21" spans="1:10">
      <c r="A21" s="43">
        <v>43158</v>
      </c>
      <c r="B21">
        <v>2002</v>
      </c>
      <c r="C21">
        <v>1078</v>
      </c>
      <c r="D21">
        <v>20</v>
      </c>
      <c r="E21">
        <v>8600</v>
      </c>
      <c r="F21" t="s">
        <v>59</v>
      </c>
      <c r="G21">
        <v>4</v>
      </c>
      <c r="H21" t="s">
        <v>133</v>
      </c>
      <c r="I21">
        <v>17</v>
      </c>
      <c r="J21" s="54">
        <f t="shared" si="0"/>
        <v>4</v>
      </c>
    </row>
    <row r="22" spans="1:10">
      <c r="A22" s="43">
        <v>43112</v>
      </c>
      <c r="B22">
        <v>2002</v>
      </c>
      <c r="C22">
        <v>1078</v>
      </c>
      <c r="D22">
        <v>21</v>
      </c>
      <c r="E22">
        <v>7500</v>
      </c>
      <c r="F22" t="s">
        <v>59</v>
      </c>
      <c r="G22">
        <v>2</v>
      </c>
      <c r="H22" t="s">
        <v>133</v>
      </c>
      <c r="I22">
        <v>17</v>
      </c>
      <c r="J22" s="54">
        <f t="shared" si="0"/>
        <v>2</v>
      </c>
    </row>
    <row r="23" spans="1:10">
      <c r="A23" s="43">
        <v>43109</v>
      </c>
      <c r="B23">
        <v>2001</v>
      </c>
      <c r="C23">
        <v>1078</v>
      </c>
      <c r="D23">
        <v>22</v>
      </c>
      <c r="E23">
        <v>6500</v>
      </c>
      <c r="F23" t="s">
        <v>59</v>
      </c>
      <c r="G23">
        <v>16</v>
      </c>
      <c r="H23" t="s">
        <v>133</v>
      </c>
      <c r="I23">
        <v>18</v>
      </c>
      <c r="J23" s="54">
        <f t="shared" si="0"/>
        <v>16</v>
      </c>
    </row>
    <row r="24" spans="1:10">
      <c r="A24" s="43">
        <v>43070</v>
      </c>
      <c r="B24">
        <v>2002</v>
      </c>
      <c r="C24">
        <v>1078</v>
      </c>
      <c r="D24">
        <v>23</v>
      </c>
      <c r="E24">
        <v>6750</v>
      </c>
      <c r="F24" t="s">
        <v>59</v>
      </c>
      <c r="G24">
        <v>7</v>
      </c>
      <c r="H24" t="s">
        <v>133</v>
      </c>
      <c r="I24">
        <v>17</v>
      </c>
      <c r="J24" s="54">
        <f t="shared" si="0"/>
        <v>7</v>
      </c>
    </row>
    <row r="25" spans="1:10">
      <c r="A25" s="43">
        <v>43034</v>
      </c>
      <c r="B25">
        <v>2001</v>
      </c>
      <c r="C25">
        <v>1078</v>
      </c>
      <c r="D25">
        <v>24</v>
      </c>
      <c r="E25">
        <v>7500</v>
      </c>
      <c r="F25" t="s">
        <v>59</v>
      </c>
      <c r="G25">
        <v>40</v>
      </c>
      <c r="H25" t="s">
        <v>60</v>
      </c>
      <c r="I25">
        <v>18</v>
      </c>
      <c r="J25" s="54">
        <f t="shared" si="0"/>
        <v>1</v>
      </c>
    </row>
    <row r="26" spans="1:10">
      <c r="A26" s="43">
        <v>43025</v>
      </c>
      <c r="B26">
        <v>2001</v>
      </c>
      <c r="C26">
        <v>1078</v>
      </c>
      <c r="D26">
        <v>25</v>
      </c>
      <c r="E26">
        <v>6950</v>
      </c>
      <c r="F26" t="s">
        <v>59</v>
      </c>
      <c r="G26">
        <v>75</v>
      </c>
      <c r="H26" t="s">
        <v>60</v>
      </c>
      <c r="I26">
        <v>18</v>
      </c>
      <c r="J26" s="54">
        <f t="shared" si="0"/>
        <v>3</v>
      </c>
    </row>
    <row r="27" spans="1:10">
      <c r="A27" s="43">
        <v>43013</v>
      </c>
      <c r="B27">
        <v>2002</v>
      </c>
      <c r="C27">
        <v>1078</v>
      </c>
      <c r="D27">
        <v>26</v>
      </c>
      <c r="E27">
        <v>7400</v>
      </c>
      <c r="F27" t="s">
        <v>59</v>
      </c>
      <c r="G27">
        <v>5</v>
      </c>
      <c r="H27" t="s">
        <v>133</v>
      </c>
      <c r="I27">
        <v>17</v>
      </c>
      <c r="J27" s="54">
        <f t="shared" si="0"/>
        <v>5</v>
      </c>
    </row>
    <row r="28" spans="1:10">
      <c r="A28" s="43">
        <v>42991</v>
      </c>
      <c r="B28">
        <v>2001</v>
      </c>
      <c r="C28">
        <v>1078</v>
      </c>
      <c r="D28">
        <v>27</v>
      </c>
      <c r="E28">
        <v>7000</v>
      </c>
      <c r="F28" t="s">
        <v>59</v>
      </c>
      <c r="G28">
        <v>1.5</v>
      </c>
      <c r="H28" t="s">
        <v>133</v>
      </c>
      <c r="I28">
        <v>18</v>
      </c>
      <c r="J28" s="54">
        <f t="shared" si="0"/>
        <v>1.5</v>
      </c>
    </row>
    <row r="29" spans="1:10">
      <c r="A29" s="43">
        <v>42941</v>
      </c>
      <c r="B29">
        <v>2001</v>
      </c>
      <c r="C29">
        <v>1078</v>
      </c>
      <c r="D29">
        <v>28</v>
      </c>
      <c r="E29">
        <v>6800</v>
      </c>
      <c r="F29" t="s">
        <v>59</v>
      </c>
      <c r="G29">
        <v>90</v>
      </c>
      <c r="H29" t="s">
        <v>60</v>
      </c>
      <c r="I29">
        <v>18</v>
      </c>
      <c r="J29" s="54">
        <f t="shared" si="0"/>
        <v>3</v>
      </c>
    </row>
    <row r="30" spans="1:10">
      <c r="A30" s="43">
        <v>42936</v>
      </c>
      <c r="B30">
        <v>2002</v>
      </c>
      <c r="C30">
        <v>1078</v>
      </c>
      <c r="D30">
        <v>29</v>
      </c>
      <c r="E30">
        <v>6750</v>
      </c>
      <c r="F30" t="s">
        <v>59</v>
      </c>
      <c r="G30">
        <v>2</v>
      </c>
      <c r="H30" t="s">
        <v>133</v>
      </c>
      <c r="I30">
        <v>17</v>
      </c>
      <c r="J30" s="54">
        <f t="shared" si="0"/>
        <v>2</v>
      </c>
    </row>
    <row r="31" spans="1:10">
      <c r="A31" s="43">
        <v>42891</v>
      </c>
      <c r="B31">
        <v>2002</v>
      </c>
      <c r="C31">
        <v>1078</v>
      </c>
      <c r="D31">
        <v>30</v>
      </c>
      <c r="E31">
        <v>7100</v>
      </c>
      <c r="F31" t="s">
        <v>59</v>
      </c>
      <c r="G31">
        <v>4</v>
      </c>
      <c r="H31" t="s">
        <v>133</v>
      </c>
      <c r="I31">
        <v>17</v>
      </c>
      <c r="J31" s="54">
        <f t="shared" si="0"/>
        <v>4</v>
      </c>
    </row>
    <row r="32" spans="1:10">
      <c r="A32" s="43">
        <v>42849</v>
      </c>
      <c r="B32">
        <v>2002</v>
      </c>
      <c r="C32">
        <v>1078</v>
      </c>
      <c r="D32">
        <v>31</v>
      </c>
      <c r="E32">
        <v>6950</v>
      </c>
      <c r="F32" t="s">
        <v>59</v>
      </c>
      <c r="G32">
        <v>6</v>
      </c>
      <c r="H32" t="s">
        <v>133</v>
      </c>
      <c r="I32">
        <v>17</v>
      </c>
      <c r="J32" s="54">
        <f t="shared" si="0"/>
        <v>6</v>
      </c>
    </row>
    <row r="33" spans="1:10">
      <c r="A33" s="43">
        <v>42835</v>
      </c>
      <c r="B33">
        <v>2001</v>
      </c>
      <c r="C33">
        <v>1078</v>
      </c>
      <c r="D33">
        <v>32</v>
      </c>
      <c r="E33">
        <v>6500</v>
      </c>
      <c r="F33" t="s">
        <v>59</v>
      </c>
      <c r="G33">
        <v>3</v>
      </c>
      <c r="H33" t="s">
        <v>133</v>
      </c>
      <c r="I33">
        <v>18</v>
      </c>
      <c r="J33" s="54">
        <f t="shared" si="0"/>
        <v>3</v>
      </c>
    </row>
    <row r="34" spans="1:10">
      <c r="A34" s="43">
        <v>42817</v>
      </c>
      <c r="B34">
        <v>2001</v>
      </c>
      <c r="C34">
        <v>1078</v>
      </c>
      <c r="D34">
        <v>33</v>
      </c>
      <c r="E34">
        <v>6950</v>
      </c>
      <c r="F34" t="s">
        <v>59</v>
      </c>
      <c r="G34">
        <v>5</v>
      </c>
      <c r="H34" t="s">
        <v>133</v>
      </c>
      <c r="I34">
        <v>18</v>
      </c>
      <c r="J34" s="54">
        <f t="shared" si="0"/>
        <v>5</v>
      </c>
    </row>
    <row r="35" spans="1:10">
      <c r="A35" s="43">
        <v>42717</v>
      </c>
      <c r="B35">
        <v>2002</v>
      </c>
      <c r="C35">
        <v>1078</v>
      </c>
      <c r="D35">
        <v>34</v>
      </c>
      <c r="E35">
        <v>5700</v>
      </c>
      <c r="F35" t="s">
        <v>59</v>
      </c>
      <c r="G35">
        <v>56</v>
      </c>
      <c r="H35" t="s">
        <v>60</v>
      </c>
      <c r="I35">
        <v>17</v>
      </c>
      <c r="J35" s="54">
        <f t="shared" si="0"/>
        <v>2</v>
      </c>
    </row>
    <row r="36" spans="1:10">
      <c r="A36" s="43">
        <v>42612</v>
      </c>
      <c r="B36">
        <v>2001</v>
      </c>
      <c r="C36">
        <v>1078</v>
      </c>
      <c r="D36">
        <v>35</v>
      </c>
      <c r="E36">
        <v>6600</v>
      </c>
      <c r="F36" t="s">
        <v>59</v>
      </c>
      <c r="G36">
        <v>90</v>
      </c>
      <c r="H36" t="s">
        <v>60</v>
      </c>
      <c r="I36">
        <v>18</v>
      </c>
      <c r="J36" s="54">
        <f t="shared" si="0"/>
        <v>3</v>
      </c>
    </row>
    <row r="37" spans="1:10">
      <c r="A37" s="43">
        <v>42584</v>
      </c>
      <c r="B37">
        <v>2002</v>
      </c>
      <c r="C37">
        <v>1078</v>
      </c>
      <c r="D37">
        <v>36</v>
      </c>
      <c r="E37">
        <v>6750</v>
      </c>
      <c r="F37" t="s">
        <v>59</v>
      </c>
      <c r="G37">
        <v>4</v>
      </c>
      <c r="H37" t="s">
        <v>133</v>
      </c>
      <c r="I37">
        <v>17</v>
      </c>
      <c r="J37" s="54">
        <f t="shared" si="0"/>
        <v>4</v>
      </c>
    </row>
    <row r="38" spans="1:10">
      <c r="A38" s="43">
        <v>42521</v>
      </c>
      <c r="B38">
        <v>2002</v>
      </c>
      <c r="C38">
        <v>1078</v>
      </c>
      <c r="D38">
        <v>37</v>
      </c>
      <c r="E38">
        <v>6575</v>
      </c>
      <c r="F38" t="s">
        <v>59</v>
      </c>
      <c r="G38">
        <v>8</v>
      </c>
      <c r="H38" t="s">
        <v>133</v>
      </c>
      <c r="I38">
        <v>17</v>
      </c>
      <c r="J38" s="54">
        <f t="shared" si="0"/>
        <v>8</v>
      </c>
    </row>
    <row r="39" spans="1:10">
      <c r="A39" s="43">
        <v>42475</v>
      </c>
      <c r="B39">
        <v>2001</v>
      </c>
      <c r="C39">
        <v>1078</v>
      </c>
      <c r="D39">
        <v>38</v>
      </c>
      <c r="E39">
        <v>6450</v>
      </c>
      <c r="F39" t="s">
        <v>59</v>
      </c>
      <c r="G39">
        <v>4</v>
      </c>
      <c r="H39" t="s">
        <v>133</v>
      </c>
      <c r="I39">
        <v>18</v>
      </c>
      <c r="J39" s="54">
        <f t="shared" si="0"/>
        <v>4</v>
      </c>
    </row>
    <row r="40" spans="1:10">
      <c r="A40" s="43">
        <v>42425</v>
      </c>
      <c r="B40">
        <v>2002</v>
      </c>
      <c r="C40">
        <v>1078</v>
      </c>
      <c r="D40">
        <v>39</v>
      </c>
      <c r="E40">
        <v>7000</v>
      </c>
      <c r="F40" t="s">
        <v>59</v>
      </c>
      <c r="G40">
        <v>4</v>
      </c>
      <c r="H40" t="s">
        <v>133</v>
      </c>
      <c r="I40">
        <v>17</v>
      </c>
      <c r="J40" s="54">
        <f t="shared" si="0"/>
        <v>4</v>
      </c>
    </row>
    <row r="41" spans="1:10">
      <c r="A41" s="43">
        <v>42383</v>
      </c>
      <c r="B41">
        <v>2002</v>
      </c>
      <c r="C41">
        <v>1078</v>
      </c>
      <c r="D41">
        <v>40</v>
      </c>
      <c r="E41">
        <v>6600</v>
      </c>
      <c r="F41" t="s">
        <v>59</v>
      </c>
      <c r="G41">
        <v>4</v>
      </c>
      <c r="H41" t="s">
        <v>133</v>
      </c>
      <c r="I41">
        <v>17</v>
      </c>
      <c r="J41" s="54">
        <f t="shared" si="0"/>
        <v>4</v>
      </c>
    </row>
    <row r="42" spans="1:10">
      <c r="A42" s="43">
        <v>43585</v>
      </c>
      <c r="B42">
        <v>2005</v>
      </c>
      <c r="C42">
        <v>1080</v>
      </c>
      <c r="D42">
        <v>41</v>
      </c>
      <c r="E42">
        <v>6300</v>
      </c>
      <c r="F42" t="s">
        <v>59</v>
      </c>
      <c r="G42">
        <v>12</v>
      </c>
      <c r="H42" t="s">
        <v>133</v>
      </c>
      <c r="I42">
        <v>14</v>
      </c>
      <c r="J42" s="54">
        <f t="shared" si="0"/>
        <v>12</v>
      </c>
    </row>
    <row r="43" spans="1:10">
      <c r="A43" s="43">
        <v>42948</v>
      </c>
      <c r="B43">
        <v>2005</v>
      </c>
      <c r="C43">
        <v>1080</v>
      </c>
      <c r="D43">
        <v>42</v>
      </c>
      <c r="E43">
        <v>6100</v>
      </c>
      <c r="F43" t="s">
        <v>59</v>
      </c>
      <c r="G43">
        <v>12</v>
      </c>
      <c r="H43" t="s">
        <v>133</v>
      </c>
      <c r="I43">
        <v>14</v>
      </c>
      <c r="J43" s="54">
        <f t="shared" si="0"/>
        <v>12</v>
      </c>
    </row>
    <row r="44" spans="1:10">
      <c r="A44" s="43">
        <v>42906</v>
      </c>
      <c r="B44">
        <v>2005</v>
      </c>
      <c r="C44">
        <v>1080</v>
      </c>
      <c r="D44">
        <v>43</v>
      </c>
      <c r="E44">
        <v>5200</v>
      </c>
      <c r="F44" t="s">
        <v>59</v>
      </c>
      <c r="G44">
        <v>70</v>
      </c>
      <c r="H44" t="s">
        <v>60</v>
      </c>
      <c r="I44">
        <v>14</v>
      </c>
      <c r="J44" s="54">
        <f t="shared" si="0"/>
        <v>2</v>
      </c>
    </row>
    <row r="45" spans="1:10">
      <c r="A45" s="43">
        <v>42499</v>
      </c>
      <c r="B45">
        <v>2005</v>
      </c>
      <c r="C45">
        <v>1080</v>
      </c>
      <c r="D45">
        <v>44</v>
      </c>
      <c r="E45">
        <v>7650</v>
      </c>
      <c r="F45" t="s">
        <v>59</v>
      </c>
      <c r="G45">
        <v>12</v>
      </c>
      <c r="H45" t="s">
        <v>133</v>
      </c>
      <c r="I45">
        <v>14</v>
      </c>
      <c r="J45" s="54">
        <f t="shared" si="0"/>
        <v>12</v>
      </c>
    </row>
    <row r="46" spans="1:10">
      <c r="A46" s="43">
        <v>42409</v>
      </c>
      <c r="B46">
        <v>2005</v>
      </c>
      <c r="C46">
        <v>1080</v>
      </c>
      <c r="D46">
        <v>45</v>
      </c>
      <c r="E46">
        <v>6100</v>
      </c>
      <c r="F46" t="s">
        <v>59</v>
      </c>
      <c r="G46">
        <v>3</v>
      </c>
      <c r="H46" t="s">
        <v>133</v>
      </c>
      <c r="I46">
        <v>14</v>
      </c>
      <c r="J46" s="54">
        <f t="shared" si="0"/>
        <v>3</v>
      </c>
    </row>
    <row r="47" spans="1:10">
      <c r="A47" s="43">
        <v>43361</v>
      </c>
      <c r="B47">
        <v>2004</v>
      </c>
      <c r="C47">
        <v>1083</v>
      </c>
      <c r="D47">
        <v>46</v>
      </c>
      <c r="E47">
        <v>6900</v>
      </c>
      <c r="F47" t="s">
        <v>59</v>
      </c>
      <c r="G47">
        <v>6</v>
      </c>
      <c r="H47" t="s">
        <v>133</v>
      </c>
      <c r="I47">
        <v>15</v>
      </c>
      <c r="J47" s="54">
        <f t="shared" si="0"/>
        <v>6</v>
      </c>
    </row>
    <row r="48" spans="1:10">
      <c r="A48" s="43">
        <v>43158</v>
      </c>
      <c r="B48">
        <v>2004</v>
      </c>
      <c r="C48">
        <v>1083</v>
      </c>
      <c r="D48">
        <v>47</v>
      </c>
      <c r="E48">
        <v>8600</v>
      </c>
      <c r="F48" t="s">
        <v>59</v>
      </c>
      <c r="G48">
        <v>6</v>
      </c>
      <c r="H48" t="s">
        <v>133</v>
      </c>
      <c r="I48">
        <v>15</v>
      </c>
      <c r="J48" s="54">
        <f t="shared" si="0"/>
        <v>6</v>
      </c>
    </row>
    <row r="49" spans="1:10">
      <c r="A49" s="43">
        <v>42761</v>
      </c>
      <c r="B49">
        <v>2004</v>
      </c>
      <c r="C49">
        <v>1083</v>
      </c>
      <c r="D49">
        <v>48</v>
      </c>
      <c r="E49">
        <v>6600</v>
      </c>
      <c r="F49" t="s">
        <v>59</v>
      </c>
      <c r="G49">
        <v>7</v>
      </c>
      <c r="H49" t="s">
        <v>133</v>
      </c>
      <c r="I49">
        <v>15</v>
      </c>
      <c r="J49" s="54">
        <f t="shared" si="0"/>
        <v>7</v>
      </c>
    </row>
    <row r="50" spans="1:10">
      <c r="A50" s="43">
        <v>42549</v>
      </c>
      <c r="B50">
        <v>2004</v>
      </c>
      <c r="C50">
        <v>1083</v>
      </c>
      <c r="D50">
        <v>49</v>
      </c>
      <c r="E50">
        <v>7725</v>
      </c>
      <c r="F50" t="s">
        <v>59</v>
      </c>
      <c r="G50">
        <v>8</v>
      </c>
      <c r="H50" t="s">
        <v>133</v>
      </c>
      <c r="I50">
        <v>15</v>
      </c>
      <c r="J50" s="54">
        <f t="shared" si="0"/>
        <v>8</v>
      </c>
    </row>
    <row r="51" spans="1:10">
      <c r="A51" s="43">
        <v>43635</v>
      </c>
      <c r="B51">
        <v>2004</v>
      </c>
      <c r="C51">
        <v>1096</v>
      </c>
      <c r="D51">
        <v>50</v>
      </c>
      <c r="E51">
        <v>6800</v>
      </c>
      <c r="F51" t="s">
        <v>59</v>
      </c>
      <c r="G51">
        <v>5</v>
      </c>
      <c r="H51" t="s">
        <v>133</v>
      </c>
      <c r="I51">
        <v>15</v>
      </c>
      <c r="J51" s="54">
        <f t="shared" si="0"/>
        <v>5</v>
      </c>
    </row>
    <row r="52" spans="1:10">
      <c r="A52" s="43">
        <v>43586</v>
      </c>
      <c r="B52">
        <v>2003</v>
      </c>
      <c r="C52">
        <v>1096</v>
      </c>
      <c r="D52">
        <v>51</v>
      </c>
      <c r="E52">
        <v>7000</v>
      </c>
      <c r="F52" t="s">
        <v>59</v>
      </c>
      <c r="G52">
        <v>5</v>
      </c>
      <c r="H52" t="s">
        <v>133</v>
      </c>
      <c r="I52">
        <v>16</v>
      </c>
      <c r="J52" s="54">
        <f t="shared" si="0"/>
        <v>5</v>
      </c>
    </row>
    <row r="53" spans="1:10">
      <c r="A53" s="43">
        <v>43361</v>
      </c>
      <c r="B53">
        <v>2003</v>
      </c>
      <c r="C53">
        <v>1096</v>
      </c>
      <c r="D53">
        <v>52</v>
      </c>
      <c r="E53">
        <v>7450</v>
      </c>
      <c r="F53" t="s">
        <v>59</v>
      </c>
      <c r="G53">
        <v>4</v>
      </c>
      <c r="H53" t="s">
        <v>133</v>
      </c>
      <c r="I53">
        <v>16</v>
      </c>
      <c r="J53" s="54">
        <f t="shared" si="0"/>
        <v>4</v>
      </c>
    </row>
    <row r="54" spans="1:10">
      <c r="A54" s="43">
        <v>43341</v>
      </c>
      <c r="B54">
        <v>2004</v>
      </c>
      <c r="C54">
        <v>1096</v>
      </c>
      <c r="D54">
        <v>53</v>
      </c>
      <c r="E54">
        <v>7750</v>
      </c>
      <c r="F54" t="s">
        <v>59</v>
      </c>
      <c r="G54">
        <v>6</v>
      </c>
      <c r="H54" t="s">
        <v>133</v>
      </c>
      <c r="I54">
        <v>15</v>
      </c>
      <c r="J54" s="54">
        <f t="shared" si="0"/>
        <v>6</v>
      </c>
    </row>
    <row r="55" spans="1:10">
      <c r="A55" s="43">
        <v>43166</v>
      </c>
      <c r="B55">
        <v>2003</v>
      </c>
      <c r="C55">
        <v>1096</v>
      </c>
      <c r="D55">
        <v>54</v>
      </c>
      <c r="E55">
        <v>7500</v>
      </c>
      <c r="F55" t="s">
        <v>59</v>
      </c>
      <c r="G55">
        <v>12</v>
      </c>
      <c r="H55" t="s">
        <v>133</v>
      </c>
      <c r="I55">
        <v>16</v>
      </c>
      <c r="J55" s="54">
        <f t="shared" si="0"/>
        <v>12</v>
      </c>
    </row>
    <row r="56" spans="1:10">
      <c r="A56" s="43">
        <v>43052</v>
      </c>
      <c r="B56">
        <v>2004</v>
      </c>
      <c r="C56">
        <v>1096</v>
      </c>
      <c r="D56">
        <v>55</v>
      </c>
      <c r="E56">
        <v>7450</v>
      </c>
      <c r="F56" t="s">
        <v>59</v>
      </c>
      <c r="G56">
        <v>4</v>
      </c>
      <c r="H56" t="s">
        <v>133</v>
      </c>
      <c r="I56">
        <v>15</v>
      </c>
      <c r="J56" s="54">
        <f t="shared" si="0"/>
        <v>4</v>
      </c>
    </row>
    <row r="57" spans="1:10">
      <c r="A57" s="43">
        <v>42906</v>
      </c>
      <c r="B57">
        <v>2004</v>
      </c>
      <c r="C57">
        <v>1096</v>
      </c>
      <c r="D57">
        <v>56</v>
      </c>
      <c r="E57">
        <v>7195</v>
      </c>
      <c r="F57" t="s">
        <v>59</v>
      </c>
      <c r="G57">
        <v>5</v>
      </c>
      <c r="H57" t="s">
        <v>133</v>
      </c>
      <c r="I57">
        <v>15</v>
      </c>
      <c r="J57" s="54">
        <f t="shared" si="0"/>
        <v>5</v>
      </c>
    </row>
    <row r="58" spans="1:10">
      <c r="A58" s="43">
        <v>42871</v>
      </c>
      <c r="B58">
        <v>2004</v>
      </c>
      <c r="C58">
        <v>1096</v>
      </c>
      <c r="D58">
        <v>57</v>
      </c>
      <c r="E58">
        <v>7000</v>
      </c>
      <c r="F58" t="s">
        <v>59</v>
      </c>
      <c r="G58">
        <v>2</v>
      </c>
      <c r="H58" t="s">
        <v>133</v>
      </c>
      <c r="I58">
        <v>15</v>
      </c>
      <c r="J58" s="54">
        <f t="shared" si="0"/>
        <v>2</v>
      </c>
    </row>
    <row r="59" spans="1:10">
      <c r="A59" s="43">
        <v>42789</v>
      </c>
      <c r="B59">
        <v>2003</v>
      </c>
      <c r="C59">
        <v>1096</v>
      </c>
      <c r="D59">
        <v>58</v>
      </c>
      <c r="E59">
        <v>6000</v>
      </c>
      <c r="F59" t="s">
        <v>59</v>
      </c>
      <c r="G59">
        <v>12</v>
      </c>
      <c r="H59" t="s">
        <v>133</v>
      </c>
      <c r="I59">
        <v>16</v>
      </c>
      <c r="J59" s="54">
        <f t="shared" si="0"/>
        <v>12</v>
      </c>
    </row>
    <row r="60" spans="1:10">
      <c r="A60" s="43">
        <v>42639</v>
      </c>
      <c r="B60">
        <v>2003</v>
      </c>
      <c r="C60">
        <v>1096</v>
      </c>
      <c r="D60">
        <v>59</v>
      </c>
      <c r="E60">
        <v>6850</v>
      </c>
      <c r="F60" t="s">
        <v>59</v>
      </c>
      <c r="G60">
        <v>3</v>
      </c>
      <c r="H60" t="s">
        <v>133</v>
      </c>
      <c r="I60">
        <v>16</v>
      </c>
      <c r="J60" s="54">
        <f t="shared" si="0"/>
        <v>3</v>
      </c>
    </row>
    <row r="61" spans="1:10">
      <c r="A61" s="43">
        <v>42522</v>
      </c>
      <c r="B61">
        <v>2003</v>
      </c>
      <c r="C61">
        <v>1096</v>
      </c>
      <c r="D61">
        <v>60</v>
      </c>
      <c r="E61">
        <v>7000</v>
      </c>
      <c r="F61" t="s">
        <v>59</v>
      </c>
      <c r="G61">
        <v>8</v>
      </c>
      <c r="H61" t="s">
        <v>133</v>
      </c>
      <c r="I61">
        <v>16</v>
      </c>
      <c r="J61" s="54">
        <f t="shared" si="0"/>
        <v>8</v>
      </c>
    </row>
    <row r="62" spans="1:10">
      <c r="A62" s="43">
        <v>42437</v>
      </c>
      <c r="B62">
        <v>2004</v>
      </c>
      <c r="C62">
        <v>1096</v>
      </c>
      <c r="D62">
        <v>61</v>
      </c>
      <c r="E62">
        <v>8000</v>
      </c>
      <c r="F62" t="s">
        <v>59</v>
      </c>
      <c r="G62">
        <v>10</v>
      </c>
      <c r="H62" t="s">
        <v>133</v>
      </c>
      <c r="I62">
        <v>15</v>
      </c>
      <c r="J62" s="54">
        <f t="shared" si="0"/>
        <v>10</v>
      </c>
    </row>
    <row r="63" spans="1:10">
      <c r="A63" s="43">
        <v>43593</v>
      </c>
      <c r="B63">
        <v>2005</v>
      </c>
      <c r="C63">
        <v>1100</v>
      </c>
      <c r="D63">
        <v>62</v>
      </c>
      <c r="E63">
        <v>6150</v>
      </c>
      <c r="F63" t="s">
        <v>59</v>
      </c>
      <c r="G63">
        <v>60</v>
      </c>
      <c r="H63" t="s">
        <v>60</v>
      </c>
      <c r="I63">
        <v>14</v>
      </c>
      <c r="J63" s="54">
        <f t="shared" si="0"/>
        <v>2</v>
      </c>
    </row>
    <row r="64" spans="1:10">
      <c r="A64" s="43">
        <v>43214</v>
      </c>
      <c r="B64">
        <v>2003</v>
      </c>
      <c r="C64">
        <v>1100</v>
      </c>
      <c r="D64">
        <v>63</v>
      </c>
      <c r="E64">
        <v>8000</v>
      </c>
      <c r="F64" t="s">
        <v>59</v>
      </c>
      <c r="G64">
        <v>5</v>
      </c>
      <c r="H64" t="s">
        <v>133</v>
      </c>
      <c r="I64">
        <v>16</v>
      </c>
      <c r="J64" s="54">
        <f t="shared" si="0"/>
        <v>5</v>
      </c>
    </row>
    <row r="65" spans="1:10">
      <c r="A65" s="43">
        <v>42710</v>
      </c>
      <c r="B65">
        <v>2003</v>
      </c>
      <c r="C65">
        <v>1100</v>
      </c>
      <c r="D65">
        <v>64</v>
      </c>
      <c r="E65">
        <v>6500</v>
      </c>
      <c r="F65" t="s">
        <v>59</v>
      </c>
      <c r="G65">
        <v>120</v>
      </c>
      <c r="H65" t="s">
        <v>60</v>
      </c>
      <c r="I65">
        <v>16</v>
      </c>
      <c r="J65" s="54">
        <f t="shared" si="0"/>
        <v>4</v>
      </c>
    </row>
    <row r="66" spans="1:10">
      <c r="A66" s="43">
        <v>43636</v>
      </c>
      <c r="B66">
        <v>2002</v>
      </c>
      <c r="C66">
        <v>1102</v>
      </c>
      <c r="D66">
        <v>65</v>
      </c>
      <c r="E66">
        <v>5500</v>
      </c>
      <c r="F66" t="s">
        <v>59</v>
      </c>
      <c r="G66">
        <v>4</v>
      </c>
      <c r="H66" t="s">
        <v>133</v>
      </c>
      <c r="I66">
        <v>17</v>
      </c>
      <c r="J66" s="54">
        <f t="shared" ref="J66:J129" si="1">IF(H66="days",ROUND(G66/30,0),IF(H66="years",G66*12,G66))</f>
        <v>4</v>
      </c>
    </row>
    <row r="67" spans="1:10">
      <c r="A67" s="43">
        <v>42948</v>
      </c>
      <c r="B67">
        <v>2002</v>
      </c>
      <c r="C67">
        <v>1102</v>
      </c>
      <c r="D67">
        <v>66</v>
      </c>
      <c r="E67">
        <v>6000</v>
      </c>
      <c r="F67" t="s">
        <v>59</v>
      </c>
      <c r="G67">
        <v>6</v>
      </c>
      <c r="H67" t="s">
        <v>133</v>
      </c>
      <c r="I67">
        <v>17</v>
      </c>
      <c r="J67" s="54">
        <f t="shared" si="1"/>
        <v>6</v>
      </c>
    </row>
    <row r="68" spans="1:10">
      <c r="A68" s="43">
        <v>43593</v>
      </c>
      <c r="B68">
        <v>2003</v>
      </c>
      <c r="C68">
        <v>1118</v>
      </c>
      <c r="D68">
        <v>67</v>
      </c>
      <c r="E68">
        <v>7100</v>
      </c>
      <c r="F68" t="s">
        <v>59</v>
      </c>
      <c r="G68">
        <v>2</v>
      </c>
      <c r="H68" t="s">
        <v>133</v>
      </c>
      <c r="I68">
        <v>16</v>
      </c>
      <c r="J68" s="54">
        <f t="shared" si="1"/>
        <v>2</v>
      </c>
    </row>
    <row r="69" spans="1:10">
      <c r="A69" s="43">
        <v>43563</v>
      </c>
      <c r="B69">
        <v>2005</v>
      </c>
      <c r="C69">
        <v>1118</v>
      </c>
      <c r="D69">
        <v>68</v>
      </c>
      <c r="E69">
        <v>6800</v>
      </c>
      <c r="F69" t="s">
        <v>59</v>
      </c>
      <c r="G69">
        <v>2</v>
      </c>
      <c r="H69" t="s">
        <v>134</v>
      </c>
      <c r="I69">
        <v>14</v>
      </c>
      <c r="J69" s="54">
        <f t="shared" si="1"/>
        <v>24</v>
      </c>
    </row>
    <row r="70" spans="1:10">
      <c r="A70" s="43">
        <v>43458</v>
      </c>
      <c r="B70">
        <v>2005</v>
      </c>
      <c r="C70">
        <v>1118</v>
      </c>
      <c r="D70">
        <v>69</v>
      </c>
      <c r="E70">
        <v>6150</v>
      </c>
      <c r="F70" t="s">
        <v>59</v>
      </c>
      <c r="G70">
        <v>5</v>
      </c>
      <c r="H70" t="s">
        <v>133</v>
      </c>
      <c r="I70">
        <v>14</v>
      </c>
      <c r="J70" s="54">
        <f t="shared" si="1"/>
        <v>5</v>
      </c>
    </row>
    <row r="71" spans="1:10">
      <c r="A71" s="43">
        <v>43446</v>
      </c>
      <c r="B71">
        <v>2005</v>
      </c>
      <c r="C71">
        <v>1118</v>
      </c>
      <c r="D71">
        <v>70</v>
      </c>
      <c r="E71">
        <v>7000</v>
      </c>
      <c r="F71" t="s">
        <v>59</v>
      </c>
      <c r="G71">
        <v>8</v>
      </c>
      <c r="H71" t="s">
        <v>133</v>
      </c>
      <c r="I71">
        <v>14</v>
      </c>
      <c r="J71" s="54">
        <f t="shared" si="1"/>
        <v>8</v>
      </c>
    </row>
    <row r="72" spans="1:10">
      <c r="A72" s="43">
        <v>43391</v>
      </c>
      <c r="B72">
        <v>2005</v>
      </c>
      <c r="C72">
        <v>1118</v>
      </c>
      <c r="D72">
        <v>71</v>
      </c>
      <c r="E72">
        <v>7500</v>
      </c>
      <c r="F72" t="s">
        <v>59</v>
      </c>
      <c r="G72">
        <v>30</v>
      </c>
      <c r="H72" t="s">
        <v>60</v>
      </c>
      <c r="I72">
        <v>14</v>
      </c>
      <c r="J72" s="54">
        <f t="shared" si="1"/>
        <v>1</v>
      </c>
    </row>
    <row r="73" spans="1:10">
      <c r="A73" s="43">
        <v>43370</v>
      </c>
      <c r="B73">
        <v>2005</v>
      </c>
      <c r="C73">
        <v>1118</v>
      </c>
      <c r="D73">
        <v>72</v>
      </c>
      <c r="E73">
        <v>6750</v>
      </c>
      <c r="F73" t="s">
        <v>59</v>
      </c>
      <c r="G73">
        <v>7</v>
      </c>
      <c r="H73" t="s">
        <v>133</v>
      </c>
      <c r="I73">
        <v>14</v>
      </c>
      <c r="J73" s="54">
        <f t="shared" si="1"/>
        <v>7</v>
      </c>
    </row>
    <row r="74" spans="1:10">
      <c r="A74" s="43">
        <v>43266</v>
      </c>
      <c r="B74">
        <v>2005</v>
      </c>
      <c r="C74">
        <v>1118</v>
      </c>
      <c r="D74">
        <v>73</v>
      </c>
      <c r="E74">
        <v>8000</v>
      </c>
      <c r="F74" t="s">
        <v>59</v>
      </c>
      <c r="G74">
        <v>5</v>
      </c>
      <c r="H74" t="s">
        <v>133</v>
      </c>
      <c r="I74">
        <v>14</v>
      </c>
      <c r="J74" s="54">
        <f t="shared" si="1"/>
        <v>5</v>
      </c>
    </row>
    <row r="75" spans="1:10">
      <c r="A75" s="43">
        <v>43234</v>
      </c>
      <c r="B75">
        <v>2005</v>
      </c>
      <c r="C75">
        <v>1118</v>
      </c>
      <c r="D75">
        <v>74</v>
      </c>
      <c r="E75">
        <v>8000</v>
      </c>
      <c r="F75" t="s">
        <v>59</v>
      </c>
      <c r="G75">
        <v>6</v>
      </c>
      <c r="H75" t="s">
        <v>133</v>
      </c>
      <c r="I75">
        <v>14</v>
      </c>
      <c r="J75" s="54">
        <f t="shared" si="1"/>
        <v>6</v>
      </c>
    </row>
    <row r="76" spans="1:10">
      <c r="A76" s="43">
        <v>43227</v>
      </c>
      <c r="B76">
        <v>2005</v>
      </c>
      <c r="C76">
        <v>1118</v>
      </c>
      <c r="D76">
        <v>75</v>
      </c>
      <c r="E76">
        <v>8500</v>
      </c>
      <c r="F76" t="s">
        <v>59</v>
      </c>
      <c r="G76">
        <v>45</v>
      </c>
      <c r="H76" t="s">
        <v>60</v>
      </c>
      <c r="I76">
        <v>14</v>
      </c>
      <c r="J76" s="54">
        <f t="shared" si="1"/>
        <v>2</v>
      </c>
    </row>
    <row r="77" spans="1:10">
      <c r="A77" s="43">
        <v>43188</v>
      </c>
      <c r="B77">
        <v>2005</v>
      </c>
      <c r="C77">
        <v>1118</v>
      </c>
      <c r="D77">
        <v>76</v>
      </c>
      <c r="E77">
        <v>8400</v>
      </c>
      <c r="F77" t="s">
        <v>59</v>
      </c>
      <c r="G77">
        <v>6</v>
      </c>
      <c r="H77" t="s">
        <v>133</v>
      </c>
      <c r="I77">
        <v>14</v>
      </c>
      <c r="J77" s="54">
        <f t="shared" si="1"/>
        <v>6</v>
      </c>
    </row>
    <row r="78" spans="1:10">
      <c r="A78" s="43">
        <v>43139</v>
      </c>
      <c r="B78">
        <v>2005</v>
      </c>
      <c r="C78">
        <v>1118</v>
      </c>
      <c r="D78">
        <v>77</v>
      </c>
      <c r="E78">
        <v>6500</v>
      </c>
      <c r="F78" t="s">
        <v>59</v>
      </c>
      <c r="G78">
        <v>8</v>
      </c>
      <c r="H78" t="s">
        <v>133</v>
      </c>
      <c r="I78">
        <v>14</v>
      </c>
      <c r="J78" s="54">
        <f t="shared" si="1"/>
        <v>8</v>
      </c>
    </row>
    <row r="79" spans="1:10">
      <c r="A79" s="43">
        <v>43099</v>
      </c>
      <c r="B79">
        <v>2005</v>
      </c>
      <c r="C79">
        <v>1118</v>
      </c>
      <c r="D79">
        <v>78</v>
      </c>
      <c r="E79">
        <v>7800</v>
      </c>
      <c r="F79" t="s">
        <v>59</v>
      </c>
      <c r="G79">
        <v>4</v>
      </c>
      <c r="H79" t="s">
        <v>133</v>
      </c>
      <c r="I79">
        <v>14</v>
      </c>
      <c r="J79" s="54">
        <f t="shared" si="1"/>
        <v>4</v>
      </c>
    </row>
    <row r="80" spans="1:10">
      <c r="A80" s="43">
        <v>43075</v>
      </c>
      <c r="B80">
        <v>2005</v>
      </c>
      <c r="C80">
        <v>1118</v>
      </c>
      <c r="D80">
        <v>79</v>
      </c>
      <c r="E80">
        <v>5800</v>
      </c>
      <c r="F80" t="s">
        <v>59</v>
      </c>
      <c r="G80">
        <v>5</v>
      </c>
      <c r="H80" t="s">
        <v>133</v>
      </c>
      <c r="I80">
        <v>14</v>
      </c>
      <c r="J80" s="54">
        <f t="shared" si="1"/>
        <v>5</v>
      </c>
    </row>
    <row r="81" spans="1:10">
      <c r="A81" s="43">
        <v>43070</v>
      </c>
      <c r="B81">
        <v>2005</v>
      </c>
      <c r="C81">
        <v>1118</v>
      </c>
      <c r="D81">
        <v>80</v>
      </c>
      <c r="E81">
        <v>6200</v>
      </c>
      <c r="F81" t="s">
        <v>59</v>
      </c>
      <c r="G81">
        <v>100</v>
      </c>
      <c r="H81" t="s">
        <v>60</v>
      </c>
      <c r="I81">
        <v>14</v>
      </c>
      <c r="J81" s="54">
        <f t="shared" si="1"/>
        <v>3</v>
      </c>
    </row>
    <row r="82" spans="1:10">
      <c r="A82" s="43">
        <v>43063</v>
      </c>
      <c r="B82">
        <v>2003</v>
      </c>
      <c r="C82">
        <v>1118</v>
      </c>
      <c r="D82">
        <v>81</v>
      </c>
      <c r="E82">
        <v>5600</v>
      </c>
      <c r="F82" t="s">
        <v>59</v>
      </c>
      <c r="G82">
        <v>40</v>
      </c>
      <c r="H82" t="s">
        <v>60</v>
      </c>
      <c r="I82">
        <v>16</v>
      </c>
      <c r="J82" s="54">
        <f t="shared" si="1"/>
        <v>1</v>
      </c>
    </row>
    <row r="83" spans="1:10">
      <c r="A83" s="43">
        <v>43021</v>
      </c>
      <c r="B83">
        <v>2005</v>
      </c>
      <c r="C83">
        <v>1118</v>
      </c>
      <c r="D83">
        <v>82</v>
      </c>
      <c r="E83">
        <v>5500</v>
      </c>
      <c r="F83" t="s">
        <v>59</v>
      </c>
      <c r="G83">
        <v>2</v>
      </c>
      <c r="H83" t="s">
        <v>133</v>
      </c>
      <c r="I83">
        <v>14</v>
      </c>
      <c r="J83" s="54">
        <f t="shared" si="1"/>
        <v>2</v>
      </c>
    </row>
    <row r="84" spans="1:10">
      <c r="A84" s="43">
        <v>43017</v>
      </c>
      <c r="B84">
        <v>2005</v>
      </c>
      <c r="C84">
        <v>1118</v>
      </c>
      <c r="D84">
        <v>83</v>
      </c>
      <c r="E84">
        <v>5600</v>
      </c>
      <c r="F84" t="s">
        <v>59</v>
      </c>
      <c r="G84">
        <v>6</v>
      </c>
      <c r="H84" t="s">
        <v>133</v>
      </c>
      <c r="I84">
        <v>14</v>
      </c>
      <c r="J84" s="54">
        <f t="shared" si="1"/>
        <v>6</v>
      </c>
    </row>
    <row r="85" spans="1:10">
      <c r="A85" s="43">
        <v>42997</v>
      </c>
      <c r="B85">
        <v>2005</v>
      </c>
      <c r="C85">
        <v>1118</v>
      </c>
      <c r="D85">
        <v>84</v>
      </c>
      <c r="E85">
        <v>5900</v>
      </c>
      <c r="F85" t="s">
        <v>59</v>
      </c>
      <c r="G85">
        <v>6</v>
      </c>
      <c r="H85" t="s">
        <v>133</v>
      </c>
      <c r="I85">
        <v>14</v>
      </c>
      <c r="J85" s="54">
        <f t="shared" si="1"/>
        <v>6</v>
      </c>
    </row>
    <row r="86" spans="1:10">
      <c r="A86" s="43">
        <v>42968</v>
      </c>
      <c r="B86">
        <v>2002</v>
      </c>
      <c r="C86">
        <v>1118</v>
      </c>
      <c r="D86">
        <v>85</v>
      </c>
      <c r="E86">
        <v>5600</v>
      </c>
      <c r="F86" t="s">
        <v>59</v>
      </c>
      <c r="G86">
        <v>6</v>
      </c>
      <c r="H86" t="s">
        <v>133</v>
      </c>
      <c r="I86">
        <v>17</v>
      </c>
      <c r="J86" s="54">
        <f t="shared" si="1"/>
        <v>6</v>
      </c>
    </row>
    <row r="87" spans="1:10">
      <c r="A87" s="43">
        <v>42968</v>
      </c>
      <c r="B87">
        <v>2005</v>
      </c>
      <c r="C87">
        <v>1118</v>
      </c>
      <c r="D87">
        <v>86</v>
      </c>
      <c r="E87">
        <v>7000</v>
      </c>
      <c r="F87" t="s">
        <v>59</v>
      </c>
      <c r="G87">
        <v>7</v>
      </c>
      <c r="H87" t="s">
        <v>133</v>
      </c>
      <c r="I87">
        <v>14</v>
      </c>
      <c r="J87" s="54">
        <f t="shared" si="1"/>
        <v>7</v>
      </c>
    </row>
    <row r="88" spans="1:10">
      <c r="A88" s="43">
        <v>42920</v>
      </c>
      <c r="B88">
        <v>2003</v>
      </c>
      <c r="C88">
        <v>1118</v>
      </c>
      <c r="D88">
        <v>87</v>
      </c>
      <c r="E88">
        <v>5500</v>
      </c>
      <c r="F88" t="s">
        <v>59</v>
      </c>
      <c r="G88">
        <v>9</v>
      </c>
      <c r="H88" t="s">
        <v>133</v>
      </c>
      <c r="I88">
        <v>16</v>
      </c>
      <c r="J88" s="54">
        <f t="shared" si="1"/>
        <v>9</v>
      </c>
    </row>
    <row r="89" spans="1:10">
      <c r="A89" s="43">
        <v>42916</v>
      </c>
      <c r="B89">
        <v>2002</v>
      </c>
      <c r="C89">
        <v>1118</v>
      </c>
      <c r="D89">
        <v>88</v>
      </c>
      <c r="E89">
        <v>5450</v>
      </c>
      <c r="F89" t="s">
        <v>59</v>
      </c>
      <c r="G89">
        <v>3</v>
      </c>
      <c r="H89" t="s">
        <v>133</v>
      </c>
      <c r="I89">
        <v>17</v>
      </c>
      <c r="J89" s="54">
        <f t="shared" si="1"/>
        <v>3</v>
      </c>
    </row>
    <row r="90" spans="1:10">
      <c r="A90" s="43">
        <v>42900</v>
      </c>
      <c r="B90">
        <v>2005</v>
      </c>
      <c r="C90">
        <v>1118</v>
      </c>
      <c r="D90">
        <v>89</v>
      </c>
      <c r="E90">
        <v>5500</v>
      </c>
      <c r="F90" t="s">
        <v>59</v>
      </c>
      <c r="G90">
        <v>42</v>
      </c>
      <c r="H90" t="s">
        <v>60</v>
      </c>
      <c r="I90">
        <v>14</v>
      </c>
      <c r="J90" s="54">
        <f t="shared" si="1"/>
        <v>1</v>
      </c>
    </row>
    <row r="91" spans="1:10">
      <c r="A91" s="43">
        <v>42874</v>
      </c>
      <c r="B91">
        <v>2005</v>
      </c>
      <c r="C91">
        <v>1118</v>
      </c>
      <c r="D91">
        <v>90</v>
      </c>
      <c r="E91">
        <v>5750</v>
      </c>
      <c r="F91" t="s">
        <v>59</v>
      </c>
      <c r="G91">
        <v>42</v>
      </c>
      <c r="H91" t="s">
        <v>60</v>
      </c>
      <c r="I91">
        <v>14</v>
      </c>
      <c r="J91" s="54">
        <f t="shared" si="1"/>
        <v>1</v>
      </c>
    </row>
    <row r="92" spans="1:10">
      <c r="A92" s="43">
        <v>42846</v>
      </c>
      <c r="B92">
        <v>2003</v>
      </c>
      <c r="C92">
        <v>1118</v>
      </c>
      <c r="D92">
        <v>91</v>
      </c>
      <c r="E92">
        <v>5800</v>
      </c>
      <c r="F92" t="s">
        <v>59</v>
      </c>
      <c r="G92">
        <v>4</v>
      </c>
      <c r="H92" t="s">
        <v>133</v>
      </c>
      <c r="I92">
        <v>16</v>
      </c>
      <c r="J92" s="54">
        <f t="shared" si="1"/>
        <v>4</v>
      </c>
    </row>
    <row r="93" spans="1:10">
      <c r="A93" s="43">
        <v>42789</v>
      </c>
      <c r="B93">
        <v>2005</v>
      </c>
      <c r="C93">
        <v>1118</v>
      </c>
      <c r="D93">
        <v>92</v>
      </c>
      <c r="E93">
        <v>5500</v>
      </c>
      <c r="F93" t="s">
        <v>59</v>
      </c>
      <c r="G93">
        <v>7</v>
      </c>
      <c r="H93" t="s">
        <v>133</v>
      </c>
      <c r="I93">
        <v>14</v>
      </c>
      <c r="J93" s="54">
        <f t="shared" si="1"/>
        <v>7</v>
      </c>
    </row>
    <row r="94" spans="1:10">
      <c r="A94" s="43">
        <v>42786</v>
      </c>
      <c r="B94">
        <v>2005</v>
      </c>
      <c r="C94">
        <v>1118</v>
      </c>
      <c r="D94">
        <v>93</v>
      </c>
      <c r="E94">
        <v>5500</v>
      </c>
      <c r="F94" t="s">
        <v>59</v>
      </c>
      <c r="G94">
        <v>7</v>
      </c>
      <c r="H94" t="s">
        <v>133</v>
      </c>
      <c r="I94">
        <v>14</v>
      </c>
      <c r="J94" s="54">
        <f t="shared" si="1"/>
        <v>7</v>
      </c>
    </row>
    <row r="95" spans="1:10">
      <c r="A95" s="43">
        <v>42753</v>
      </c>
      <c r="B95">
        <v>2002</v>
      </c>
      <c r="C95">
        <v>1118</v>
      </c>
      <c r="D95">
        <v>94</v>
      </c>
      <c r="E95">
        <v>5500</v>
      </c>
      <c r="F95" t="s">
        <v>59</v>
      </c>
      <c r="G95">
        <v>6</v>
      </c>
      <c r="H95" t="s">
        <v>133</v>
      </c>
      <c r="I95">
        <v>17</v>
      </c>
      <c r="J95" s="54">
        <f t="shared" si="1"/>
        <v>6</v>
      </c>
    </row>
    <row r="96" spans="1:10">
      <c r="A96" s="43">
        <v>42734</v>
      </c>
      <c r="B96">
        <v>2005</v>
      </c>
      <c r="C96">
        <v>1118</v>
      </c>
      <c r="D96">
        <v>95</v>
      </c>
      <c r="E96">
        <v>6500</v>
      </c>
      <c r="F96" t="s">
        <v>59</v>
      </c>
      <c r="G96">
        <v>12</v>
      </c>
      <c r="H96" t="s">
        <v>133</v>
      </c>
      <c r="I96">
        <v>14</v>
      </c>
      <c r="J96" s="54">
        <f t="shared" si="1"/>
        <v>12</v>
      </c>
    </row>
    <row r="97" spans="1:10">
      <c r="A97" s="43">
        <v>42709</v>
      </c>
      <c r="B97">
        <v>2005</v>
      </c>
      <c r="C97">
        <v>1118</v>
      </c>
      <c r="D97">
        <v>96</v>
      </c>
      <c r="E97">
        <v>5500</v>
      </c>
      <c r="F97" t="s">
        <v>59</v>
      </c>
      <c r="G97">
        <v>5</v>
      </c>
      <c r="H97" t="s">
        <v>133</v>
      </c>
      <c r="I97">
        <v>14</v>
      </c>
      <c r="J97" s="54">
        <f t="shared" si="1"/>
        <v>5</v>
      </c>
    </row>
    <row r="98" spans="1:10">
      <c r="A98" s="43">
        <v>42709</v>
      </c>
      <c r="B98">
        <v>2005</v>
      </c>
      <c r="C98">
        <v>1118</v>
      </c>
      <c r="D98">
        <v>97</v>
      </c>
      <c r="E98">
        <v>5500</v>
      </c>
      <c r="F98" t="s">
        <v>59</v>
      </c>
      <c r="G98">
        <v>5</v>
      </c>
      <c r="H98" t="s">
        <v>133</v>
      </c>
      <c r="I98">
        <v>14</v>
      </c>
      <c r="J98" s="54">
        <f t="shared" si="1"/>
        <v>5</v>
      </c>
    </row>
    <row r="99" spans="1:10">
      <c r="A99" s="43">
        <v>42702</v>
      </c>
      <c r="B99">
        <v>2005</v>
      </c>
      <c r="C99">
        <v>1118</v>
      </c>
      <c r="D99">
        <v>98</v>
      </c>
      <c r="E99">
        <v>5500</v>
      </c>
      <c r="F99" t="s">
        <v>59</v>
      </c>
      <c r="G99">
        <v>3</v>
      </c>
      <c r="H99" t="s">
        <v>133</v>
      </c>
      <c r="I99">
        <v>14</v>
      </c>
      <c r="J99" s="54">
        <f t="shared" si="1"/>
        <v>3</v>
      </c>
    </row>
    <row r="100" spans="1:10">
      <c r="A100" s="43">
        <v>42689</v>
      </c>
      <c r="B100">
        <v>2003</v>
      </c>
      <c r="C100">
        <v>1118</v>
      </c>
      <c r="D100">
        <v>99</v>
      </c>
      <c r="E100">
        <v>5500</v>
      </c>
      <c r="F100" t="s">
        <v>59</v>
      </c>
      <c r="G100">
        <v>12</v>
      </c>
      <c r="H100" t="s">
        <v>133</v>
      </c>
      <c r="I100">
        <v>16</v>
      </c>
      <c r="J100" s="54">
        <f t="shared" si="1"/>
        <v>12</v>
      </c>
    </row>
    <row r="101" spans="1:10">
      <c r="A101" s="43">
        <v>42675</v>
      </c>
      <c r="B101">
        <v>2003</v>
      </c>
      <c r="C101">
        <v>1118</v>
      </c>
      <c r="D101">
        <v>100</v>
      </c>
      <c r="E101">
        <v>5650</v>
      </c>
      <c r="F101" t="s">
        <v>59</v>
      </c>
      <c r="G101">
        <v>6</v>
      </c>
      <c r="H101" t="s">
        <v>133</v>
      </c>
      <c r="I101">
        <v>16</v>
      </c>
      <c r="J101" s="54">
        <f t="shared" si="1"/>
        <v>6</v>
      </c>
    </row>
    <row r="102" spans="1:10">
      <c r="A102" s="43">
        <v>42668</v>
      </c>
      <c r="B102">
        <v>2002</v>
      </c>
      <c r="C102">
        <v>1118</v>
      </c>
      <c r="D102">
        <v>101</v>
      </c>
      <c r="E102">
        <v>5500</v>
      </c>
      <c r="F102" t="s">
        <v>59</v>
      </c>
      <c r="G102">
        <v>12</v>
      </c>
      <c r="H102" t="s">
        <v>133</v>
      </c>
      <c r="I102">
        <v>17</v>
      </c>
      <c r="J102" s="54">
        <f t="shared" si="1"/>
        <v>12</v>
      </c>
    </row>
    <row r="103" spans="1:10">
      <c r="A103" s="43">
        <v>42626</v>
      </c>
      <c r="B103">
        <v>2005</v>
      </c>
      <c r="C103">
        <v>1118</v>
      </c>
      <c r="D103">
        <v>102</v>
      </c>
      <c r="E103">
        <v>6450</v>
      </c>
      <c r="F103" t="s">
        <v>59</v>
      </c>
      <c r="G103">
        <v>13</v>
      </c>
      <c r="H103" t="s">
        <v>133</v>
      </c>
      <c r="I103">
        <v>14</v>
      </c>
      <c r="J103" s="54">
        <f t="shared" si="1"/>
        <v>13</v>
      </c>
    </row>
    <row r="104" spans="1:10">
      <c r="A104" s="43">
        <v>42592</v>
      </c>
      <c r="B104">
        <v>2005</v>
      </c>
      <c r="C104">
        <v>1118</v>
      </c>
      <c r="D104">
        <v>103</v>
      </c>
      <c r="E104">
        <v>6000</v>
      </c>
      <c r="F104" t="s">
        <v>59</v>
      </c>
      <c r="G104">
        <v>3</v>
      </c>
      <c r="H104" t="s">
        <v>133</v>
      </c>
      <c r="I104">
        <v>14</v>
      </c>
      <c r="J104" s="54">
        <f t="shared" si="1"/>
        <v>3</v>
      </c>
    </row>
    <row r="105" spans="1:10">
      <c r="A105" s="43">
        <v>42556</v>
      </c>
      <c r="B105">
        <v>2005</v>
      </c>
      <c r="C105">
        <v>1118</v>
      </c>
      <c r="D105">
        <v>104</v>
      </c>
      <c r="E105">
        <v>6000</v>
      </c>
      <c r="F105" t="s">
        <v>59</v>
      </c>
      <c r="G105">
        <v>12</v>
      </c>
      <c r="H105" t="s">
        <v>133</v>
      </c>
      <c r="I105">
        <v>14</v>
      </c>
      <c r="J105" s="54">
        <f t="shared" si="1"/>
        <v>12</v>
      </c>
    </row>
    <row r="106" spans="1:10">
      <c r="A106" s="43">
        <v>42491</v>
      </c>
      <c r="B106">
        <v>2005</v>
      </c>
      <c r="C106">
        <v>1118</v>
      </c>
      <c r="D106">
        <v>105</v>
      </c>
      <c r="E106">
        <v>6000</v>
      </c>
      <c r="F106" t="s">
        <v>59</v>
      </c>
      <c r="G106">
        <v>6</v>
      </c>
      <c r="H106" t="s">
        <v>133</v>
      </c>
      <c r="I106">
        <v>14</v>
      </c>
      <c r="J106" s="54">
        <f t="shared" si="1"/>
        <v>6</v>
      </c>
    </row>
    <row r="107" spans="1:10">
      <c r="A107" s="43">
        <v>42465</v>
      </c>
      <c r="B107">
        <v>2005</v>
      </c>
      <c r="C107">
        <v>1118</v>
      </c>
      <c r="D107">
        <v>106</v>
      </c>
      <c r="E107">
        <v>7995</v>
      </c>
      <c r="F107" t="s">
        <v>59</v>
      </c>
      <c r="G107">
        <v>6</v>
      </c>
      <c r="H107" t="s">
        <v>133</v>
      </c>
      <c r="I107">
        <v>14</v>
      </c>
      <c r="J107" s="54">
        <f t="shared" si="1"/>
        <v>6</v>
      </c>
    </row>
    <row r="108" spans="1:10">
      <c r="A108" s="43">
        <v>42460</v>
      </c>
      <c r="B108">
        <v>2002</v>
      </c>
      <c r="C108">
        <v>1118</v>
      </c>
      <c r="D108">
        <v>107</v>
      </c>
      <c r="E108">
        <v>7000</v>
      </c>
      <c r="F108" t="s">
        <v>59</v>
      </c>
      <c r="G108">
        <v>6</v>
      </c>
      <c r="H108" t="s">
        <v>133</v>
      </c>
      <c r="I108">
        <v>17</v>
      </c>
      <c r="J108" s="54">
        <f t="shared" si="1"/>
        <v>6</v>
      </c>
    </row>
    <row r="109" spans="1:10">
      <c r="A109" s="43">
        <v>42436</v>
      </c>
      <c r="B109">
        <v>2003</v>
      </c>
      <c r="C109">
        <v>1118</v>
      </c>
      <c r="D109">
        <v>108</v>
      </c>
      <c r="E109">
        <v>6150</v>
      </c>
      <c r="F109" t="s">
        <v>59</v>
      </c>
      <c r="G109">
        <v>4</v>
      </c>
      <c r="H109" t="s">
        <v>133</v>
      </c>
      <c r="I109">
        <v>16</v>
      </c>
      <c r="J109" s="54">
        <f t="shared" si="1"/>
        <v>4</v>
      </c>
    </row>
    <row r="110" spans="1:10">
      <c r="A110" s="43">
        <v>42426</v>
      </c>
      <c r="B110">
        <v>2003</v>
      </c>
      <c r="C110">
        <v>1118</v>
      </c>
      <c r="D110">
        <v>109</v>
      </c>
      <c r="E110">
        <v>6150</v>
      </c>
      <c r="F110" t="s">
        <v>59</v>
      </c>
      <c r="G110">
        <v>4</v>
      </c>
      <c r="H110" t="s">
        <v>133</v>
      </c>
      <c r="I110">
        <v>16</v>
      </c>
      <c r="J110" s="54">
        <f t="shared" si="1"/>
        <v>4</v>
      </c>
    </row>
    <row r="111" spans="1:10">
      <c r="A111" s="43">
        <v>42419</v>
      </c>
      <c r="B111">
        <v>2005</v>
      </c>
      <c r="C111">
        <v>1118</v>
      </c>
      <c r="D111">
        <v>110</v>
      </c>
      <c r="E111">
        <v>6225</v>
      </c>
      <c r="F111" t="s">
        <v>59</v>
      </c>
      <c r="G111">
        <v>2</v>
      </c>
      <c r="H111" t="s">
        <v>133</v>
      </c>
      <c r="I111">
        <v>14</v>
      </c>
      <c r="J111" s="54">
        <f t="shared" si="1"/>
        <v>2</v>
      </c>
    </row>
    <row r="112" spans="1:10">
      <c r="A112" s="43">
        <v>42402</v>
      </c>
      <c r="B112">
        <v>2002</v>
      </c>
      <c r="C112">
        <v>1118</v>
      </c>
      <c r="D112">
        <v>111</v>
      </c>
      <c r="E112">
        <v>6000</v>
      </c>
      <c r="F112" t="s">
        <v>59</v>
      </c>
      <c r="G112">
        <v>8</v>
      </c>
      <c r="H112" t="s">
        <v>133</v>
      </c>
      <c r="I112">
        <v>17</v>
      </c>
      <c r="J112" s="54">
        <f t="shared" si="1"/>
        <v>8</v>
      </c>
    </row>
    <row r="113" spans="1:10">
      <c r="A113" s="43">
        <v>43444</v>
      </c>
      <c r="B113">
        <v>2002</v>
      </c>
      <c r="C113">
        <v>1121</v>
      </c>
      <c r="D113">
        <v>112</v>
      </c>
      <c r="E113">
        <v>7100</v>
      </c>
      <c r="F113" t="s">
        <v>59</v>
      </c>
      <c r="G113">
        <v>6</v>
      </c>
      <c r="H113" t="s">
        <v>133</v>
      </c>
      <c r="I113">
        <v>17</v>
      </c>
      <c r="J113" s="54">
        <f t="shared" si="1"/>
        <v>6</v>
      </c>
    </row>
    <row r="114" spans="1:10">
      <c r="A114" s="43">
        <v>42450</v>
      </c>
      <c r="B114">
        <v>2002</v>
      </c>
      <c r="C114">
        <v>1121</v>
      </c>
      <c r="D114">
        <v>113</v>
      </c>
      <c r="E114">
        <v>7900</v>
      </c>
      <c r="F114" t="s">
        <v>59</v>
      </c>
      <c r="G114">
        <v>12</v>
      </c>
      <c r="H114" t="s">
        <v>133</v>
      </c>
      <c r="I114">
        <v>17</v>
      </c>
      <c r="J114" s="54">
        <f t="shared" si="1"/>
        <v>12</v>
      </c>
    </row>
    <row r="115" spans="1:10">
      <c r="A115" s="43">
        <v>43191</v>
      </c>
      <c r="B115">
        <v>2000</v>
      </c>
      <c r="C115">
        <v>1128</v>
      </c>
      <c r="D115">
        <v>114</v>
      </c>
      <c r="E115">
        <v>8250</v>
      </c>
      <c r="F115" t="s">
        <v>59</v>
      </c>
      <c r="G115">
        <v>6</v>
      </c>
      <c r="H115" t="s">
        <v>133</v>
      </c>
      <c r="I115">
        <v>19</v>
      </c>
      <c r="J115" s="54">
        <f t="shared" si="1"/>
        <v>6</v>
      </c>
    </row>
    <row r="116" spans="1:10">
      <c r="A116" s="43">
        <v>42643</v>
      </c>
      <c r="B116">
        <v>2000</v>
      </c>
      <c r="C116">
        <v>1128</v>
      </c>
      <c r="D116">
        <v>115</v>
      </c>
      <c r="E116">
        <v>6600</v>
      </c>
      <c r="F116" t="s">
        <v>59</v>
      </c>
      <c r="G116">
        <v>1</v>
      </c>
      <c r="H116" t="s">
        <v>133</v>
      </c>
      <c r="I116">
        <v>19</v>
      </c>
      <c r="J116" s="54">
        <f t="shared" si="1"/>
        <v>1</v>
      </c>
    </row>
    <row r="117" spans="1:10">
      <c r="A117" s="43">
        <v>42500</v>
      </c>
      <c r="B117">
        <v>2000</v>
      </c>
      <c r="C117">
        <v>1128</v>
      </c>
      <c r="D117">
        <v>116</v>
      </c>
      <c r="E117">
        <v>7400</v>
      </c>
      <c r="F117" t="s">
        <v>59</v>
      </c>
      <c r="G117">
        <v>6</v>
      </c>
      <c r="H117" t="s">
        <v>133</v>
      </c>
      <c r="I117">
        <v>19</v>
      </c>
      <c r="J117" s="54">
        <f t="shared" si="1"/>
        <v>6</v>
      </c>
    </row>
    <row r="118" spans="1:10">
      <c r="A118" s="43">
        <v>43374</v>
      </c>
      <c r="B118">
        <v>2001</v>
      </c>
      <c r="C118">
        <v>1150</v>
      </c>
      <c r="D118">
        <v>117</v>
      </c>
      <c r="E118">
        <v>6650</v>
      </c>
      <c r="F118" t="s">
        <v>59</v>
      </c>
      <c r="G118">
        <v>60</v>
      </c>
      <c r="H118" t="s">
        <v>60</v>
      </c>
      <c r="I118">
        <v>18</v>
      </c>
      <c r="J118" s="54">
        <f t="shared" si="1"/>
        <v>2</v>
      </c>
    </row>
    <row r="119" spans="1:10">
      <c r="A119" s="43">
        <v>42873</v>
      </c>
      <c r="B119">
        <v>2001</v>
      </c>
      <c r="C119">
        <v>1150</v>
      </c>
      <c r="D119">
        <v>118</v>
      </c>
      <c r="E119">
        <v>6500</v>
      </c>
      <c r="F119" t="s">
        <v>59</v>
      </c>
      <c r="G119">
        <v>6</v>
      </c>
      <c r="H119" t="s">
        <v>133</v>
      </c>
      <c r="I119">
        <v>18</v>
      </c>
      <c r="J119" s="54">
        <f t="shared" si="1"/>
        <v>6</v>
      </c>
    </row>
    <row r="120" spans="1:10">
      <c r="A120" s="43">
        <v>42866</v>
      </c>
      <c r="B120">
        <v>2003</v>
      </c>
      <c r="C120">
        <v>1150</v>
      </c>
      <c r="D120">
        <v>119</v>
      </c>
      <c r="E120">
        <v>6850</v>
      </c>
      <c r="F120" t="s">
        <v>59</v>
      </c>
      <c r="G120">
        <v>6</v>
      </c>
      <c r="H120" t="s">
        <v>133</v>
      </c>
      <c r="I120">
        <v>16</v>
      </c>
      <c r="J120" s="54">
        <f t="shared" si="1"/>
        <v>6</v>
      </c>
    </row>
    <row r="121" spans="1:10">
      <c r="A121" s="43">
        <v>42705</v>
      </c>
      <c r="B121">
        <v>2001</v>
      </c>
      <c r="C121">
        <v>1150</v>
      </c>
      <c r="D121">
        <v>120</v>
      </c>
      <c r="E121">
        <v>6000</v>
      </c>
      <c r="F121" t="s">
        <v>59</v>
      </c>
      <c r="G121">
        <v>5</v>
      </c>
      <c r="H121" t="s">
        <v>133</v>
      </c>
      <c r="I121">
        <v>18</v>
      </c>
      <c r="J121" s="54">
        <f t="shared" si="1"/>
        <v>5</v>
      </c>
    </row>
    <row r="122" spans="1:10">
      <c r="A122" s="43">
        <v>42646</v>
      </c>
      <c r="B122">
        <v>2001</v>
      </c>
      <c r="C122">
        <v>1150</v>
      </c>
      <c r="D122">
        <v>121</v>
      </c>
      <c r="E122">
        <v>6500</v>
      </c>
      <c r="F122" t="s">
        <v>59</v>
      </c>
      <c r="G122">
        <v>4</v>
      </c>
      <c r="H122" t="s">
        <v>133</v>
      </c>
      <c r="I122">
        <v>18</v>
      </c>
      <c r="J122" s="54">
        <f t="shared" si="1"/>
        <v>4</v>
      </c>
    </row>
    <row r="123" spans="1:10">
      <c r="A123" s="43">
        <v>42597</v>
      </c>
      <c r="B123">
        <v>2003</v>
      </c>
      <c r="C123">
        <v>1150</v>
      </c>
      <c r="D123">
        <v>122</v>
      </c>
      <c r="E123">
        <v>6100</v>
      </c>
      <c r="F123" t="s">
        <v>59</v>
      </c>
      <c r="G123">
        <v>35</v>
      </c>
      <c r="H123" t="s">
        <v>60</v>
      </c>
      <c r="I123">
        <v>16</v>
      </c>
      <c r="J123" s="54">
        <f t="shared" si="1"/>
        <v>1</v>
      </c>
    </row>
    <row r="124" spans="1:10">
      <c r="A124" s="43">
        <v>42475</v>
      </c>
      <c r="B124">
        <v>2001</v>
      </c>
      <c r="C124">
        <v>1150</v>
      </c>
      <c r="D124">
        <v>123</v>
      </c>
      <c r="E124">
        <v>8000</v>
      </c>
      <c r="F124" t="s">
        <v>59</v>
      </c>
      <c r="G124">
        <v>6</v>
      </c>
      <c r="H124" t="s">
        <v>133</v>
      </c>
      <c r="I124">
        <v>18</v>
      </c>
      <c r="J124" s="54">
        <f t="shared" si="1"/>
        <v>6</v>
      </c>
    </row>
    <row r="125" spans="1:10">
      <c r="A125" s="43">
        <v>42459</v>
      </c>
      <c r="B125">
        <v>2003</v>
      </c>
      <c r="C125">
        <v>1150</v>
      </c>
      <c r="D125">
        <v>124</v>
      </c>
      <c r="E125">
        <v>6400</v>
      </c>
      <c r="F125" t="s">
        <v>59</v>
      </c>
      <c r="G125">
        <v>5</v>
      </c>
      <c r="H125" t="s">
        <v>133</v>
      </c>
      <c r="I125">
        <v>16</v>
      </c>
      <c r="J125" s="54">
        <f t="shared" si="1"/>
        <v>5</v>
      </c>
    </row>
    <row r="126" spans="1:10">
      <c r="A126" s="43">
        <v>43529</v>
      </c>
      <c r="B126">
        <v>2005</v>
      </c>
      <c r="C126">
        <v>1155</v>
      </c>
      <c r="D126">
        <v>125</v>
      </c>
      <c r="E126">
        <v>7000</v>
      </c>
      <c r="F126" t="s">
        <v>59</v>
      </c>
      <c r="G126">
        <v>3</v>
      </c>
      <c r="H126" t="s">
        <v>133</v>
      </c>
      <c r="I126">
        <v>14</v>
      </c>
      <c r="J126" s="54">
        <f t="shared" si="1"/>
        <v>3</v>
      </c>
    </row>
    <row r="127" spans="1:10">
      <c r="A127" s="43">
        <v>43451</v>
      </c>
      <c r="B127">
        <v>2005</v>
      </c>
      <c r="C127">
        <v>1155</v>
      </c>
      <c r="D127">
        <v>126</v>
      </c>
      <c r="E127">
        <v>6750</v>
      </c>
      <c r="F127" t="s">
        <v>59</v>
      </c>
      <c r="G127">
        <v>7</v>
      </c>
      <c r="H127" t="s">
        <v>133</v>
      </c>
      <c r="I127">
        <v>14</v>
      </c>
      <c r="J127" s="54">
        <f t="shared" si="1"/>
        <v>7</v>
      </c>
    </row>
    <row r="128" spans="1:10">
      <c r="A128" s="43">
        <v>43297</v>
      </c>
      <c r="B128">
        <v>2005</v>
      </c>
      <c r="C128">
        <v>1155</v>
      </c>
      <c r="D128">
        <v>127</v>
      </c>
      <c r="E128">
        <v>8500</v>
      </c>
      <c r="F128" t="s">
        <v>59</v>
      </c>
      <c r="G128">
        <v>7</v>
      </c>
      <c r="H128" t="s">
        <v>133</v>
      </c>
      <c r="I128">
        <v>14</v>
      </c>
      <c r="J128" s="54">
        <f t="shared" si="1"/>
        <v>7</v>
      </c>
    </row>
    <row r="129" spans="1:10">
      <c r="A129" s="43">
        <v>43231</v>
      </c>
      <c r="B129">
        <v>2005</v>
      </c>
      <c r="C129">
        <v>1155</v>
      </c>
      <c r="D129">
        <v>128</v>
      </c>
      <c r="E129">
        <v>9400</v>
      </c>
      <c r="F129" t="s">
        <v>59</v>
      </c>
      <c r="G129">
        <v>4</v>
      </c>
      <c r="H129" t="s">
        <v>133</v>
      </c>
      <c r="I129">
        <v>14</v>
      </c>
      <c r="J129" s="54">
        <f t="shared" si="1"/>
        <v>4</v>
      </c>
    </row>
    <row r="130" spans="1:10">
      <c r="A130" s="43">
        <v>43191</v>
      </c>
      <c r="B130">
        <v>2005</v>
      </c>
      <c r="C130">
        <v>1155</v>
      </c>
      <c r="D130">
        <v>129</v>
      </c>
      <c r="E130">
        <v>9000</v>
      </c>
      <c r="F130" t="s">
        <v>59</v>
      </c>
      <c r="G130">
        <v>12</v>
      </c>
      <c r="H130" t="s">
        <v>133</v>
      </c>
      <c r="I130">
        <v>14</v>
      </c>
      <c r="J130" s="54">
        <f t="shared" ref="J130:J193" si="2">IF(H130="days",ROUND(G130/30,0),IF(H130="years",G130*12,G130))</f>
        <v>12</v>
      </c>
    </row>
    <row r="131" spans="1:10">
      <c r="A131" s="43">
        <v>42979</v>
      </c>
      <c r="B131">
        <v>2005</v>
      </c>
      <c r="C131">
        <v>1155</v>
      </c>
      <c r="D131">
        <v>130</v>
      </c>
      <c r="E131">
        <v>6850</v>
      </c>
      <c r="F131" t="s">
        <v>59</v>
      </c>
      <c r="G131">
        <v>8</v>
      </c>
      <c r="H131" t="s">
        <v>133</v>
      </c>
      <c r="I131">
        <v>14</v>
      </c>
      <c r="J131" s="54">
        <f t="shared" si="2"/>
        <v>8</v>
      </c>
    </row>
    <row r="132" spans="1:10">
      <c r="A132" s="43">
        <v>42914</v>
      </c>
      <c r="B132">
        <v>2005</v>
      </c>
      <c r="C132">
        <v>1155</v>
      </c>
      <c r="D132">
        <v>131</v>
      </c>
      <c r="E132">
        <v>7150</v>
      </c>
      <c r="F132" t="s">
        <v>59</v>
      </c>
      <c r="G132">
        <v>3</v>
      </c>
      <c r="H132" t="s">
        <v>133</v>
      </c>
      <c r="I132">
        <v>14</v>
      </c>
      <c r="J132" s="54">
        <f t="shared" si="2"/>
        <v>3</v>
      </c>
    </row>
    <row r="133" spans="1:10">
      <c r="A133" s="43">
        <v>42844</v>
      </c>
      <c r="B133">
        <v>2005</v>
      </c>
      <c r="C133">
        <v>1155</v>
      </c>
      <c r="D133">
        <v>132</v>
      </c>
      <c r="E133">
        <v>7250</v>
      </c>
      <c r="F133" t="s">
        <v>59</v>
      </c>
      <c r="G133">
        <v>4</v>
      </c>
      <c r="H133" t="s">
        <v>133</v>
      </c>
      <c r="I133">
        <v>14</v>
      </c>
      <c r="J133" s="54">
        <f t="shared" si="2"/>
        <v>4</v>
      </c>
    </row>
    <row r="134" spans="1:10">
      <c r="A134" s="43">
        <v>42797</v>
      </c>
      <c r="B134">
        <v>2005</v>
      </c>
      <c r="C134">
        <v>1155</v>
      </c>
      <c r="D134">
        <v>133</v>
      </c>
      <c r="E134">
        <v>6500</v>
      </c>
      <c r="F134" t="s">
        <v>59</v>
      </c>
      <c r="G134">
        <v>7</v>
      </c>
      <c r="H134" t="s">
        <v>133</v>
      </c>
      <c r="I134">
        <v>14</v>
      </c>
      <c r="J134" s="54">
        <f t="shared" si="2"/>
        <v>7</v>
      </c>
    </row>
    <row r="135" spans="1:10">
      <c r="A135" s="43">
        <v>42795</v>
      </c>
      <c r="B135">
        <v>2005</v>
      </c>
      <c r="C135">
        <v>1155</v>
      </c>
      <c r="D135">
        <v>134</v>
      </c>
      <c r="E135">
        <v>7200</v>
      </c>
      <c r="F135" t="s">
        <v>59</v>
      </c>
      <c r="G135">
        <v>12</v>
      </c>
      <c r="H135" t="s">
        <v>133</v>
      </c>
      <c r="I135">
        <v>14</v>
      </c>
      <c r="J135" s="54">
        <f t="shared" si="2"/>
        <v>12</v>
      </c>
    </row>
    <row r="136" spans="1:10">
      <c r="A136" s="43">
        <v>42723</v>
      </c>
      <c r="B136">
        <v>2005</v>
      </c>
      <c r="C136">
        <v>1155</v>
      </c>
      <c r="D136">
        <v>135</v>
      </c>
      <c r="E136">
        <v>7300</v>
      </c>
      <c r="F136" t="s">
        <v>59</v>
      </c>
      <c r="G136">
        <v>2</v>
      </c>
      <c r="H136" t="s">
        <v>133</v>
      </c>
      <c r="I136">
        <v>14</v>
      </c>
      <c r="J136" s="54">
        <f t="shared" si="2"/>
        <v>2</v>
      </c>
    </row>
    <row r="137" spans="1:10">
      <c r="A137" s="43">
        <v>42559</v>
      </c>
      <c r="B137">
        <v>2005</v>
      </c>
      <c r="C137">
        <v>1155</v>
      </c>
      <c r="D137">
        <v>136</v>
      </c>
      <c r="E137">
        <v>7700</v>
      </c>
      <c r="F137" t="s">
        <v>59</v>
      </c>
      <c r="G137">
        <v>6</v>
      </c>
      <c r="H137" t="s">
        <v>133</v>
      </c>
      <c r="I137">
        <v>14</v>
      </c>
      <c r="J137" s="54">
        <f t="shared" si="2"/>
        <v>6</v>
      </c>
    </row>
    <row r="138" spans="1:10">
      <c r="A138" s="43">
        <v>42459</v>
      </c>
      <c r="B138">
        <v>2005</v>
      </c>
      <c r="C138">
        <v>1155</v>
      </c>
      <c r="D138">
        <v>137</v>
      </c>
      <c r="E138">
        <v>7500</v>
      </c>
      <c r="F138" t="s">
        <v>59</v>
      </c>
      <c r="G138">
        <v>6</v>
      </c>
      <c r="H138" t="s">
        <v>133</v>
      </c>
      <c r="I138">
        <v>14</v>
      </c>
      <c r="J138" s="54">
        <f t="shared" si="2"/>
        <v>6</v>
      </c>
    </row>
    <row r="139" spans="1:10">
      <c r="A139" s="43">
        <v>42411</v>
      </c>
      <c r="B139">
        <v>2005</v>
      </c>
      <c r="C139">
        <v>1155</v>
      </c>
      <c r="D139">
        <v>138</v>
      </c>
      <c r="E139">
        <v>8000</v>
      </c>
      <c r="F139" t="s">
        <v>59</v>
      </c>
      <c r="G139">
        <v>7</v>
      </c>
      <c r="H139" t="s">
        <v>133</v>
      </c>
      <c r="I139">
        <v>14</v>
      </c>
      <c r="J139" s="54">
        <f t="shared" si="2"/>
        <v>7</v>
      </c>
    </row>
    <row r="140" spans="1:10">
      <c r="A140" s="43">
        <v>43174</v>
      </c>
      <c r="B140">
        <v>2000</v>
      </c>
      <c r="C140">
        <v>1174</v>
      </c>
      <c r="D140">
        <v>139</v>
      </c>
      <c r="E140">
        <v>8850</v>
      </c>
      <c r="F140" t="s">
        <v>59</v>
      </c>
      <c r="G140">
        <v>6</v>
      </c>
      <c r="H140" t="s">
        <v>133</v>
      </c>
      <c r="I140">
        <v>19</v>
      </c>
      <c r="J140" s="54">
        <f t="shared" si="2"/>
        <v>6</v>
      </c>
    </row>
    <row r="141" spans="1:10">
      <c r="A141" s="43">
        <v>42450</v>
      </c>
      <c r="B141">
        <v>2000</v>
      </c>
      <c r="C141">
        <v>1174</v>
      </c>
      <c r="D141">
        <v>140</v>
      </c>
      <c r="E141">
        <v>7150</v>
      </c>
      <c r="F141" t="s">
        <v>59</v>
      </c>
      <c r="G141">
        <v>12</v>
      </c>
      <c r="H141" t="s">
        <v>133</v>
      </c>
      <c r="I141">
        <v>19</v>
      </c>
      <c r="J141" s="54">
        <f t="shared" si="2"/>
        <v>12</v>
      </c>
    </row>
    <row r="142" spans="1:10">
      <c r="A142" s="43">
        <v>43579</v>
      </c>
      <c r="B142">
        <v>2003</v>
      </c>
      <c r="C142">
        <v>1200</v>
      </c>
      <c r="D142">
        <v>141</v>
      </c>
      <c r="E142">
        <v>6800</v>
      </c>
      <c r="F142" t="s">
        <v>59</v>
      </c>
      <c r="G142">
        <v>7</v>
      </c>
      <c r="H142" t="s">
        <v>133</v>
      </c>
      <c r="I142">
        <v>16</v>
      </c>
      <c r="J142" s="54">
        <f t="shared" si="2"/>
        <v>7</v>
      </c>
    </row>
    <row r="143" spans="1:10">
      <c r="A143" s="43">
        <v>43374</v>
      </c>
      <c r="B143">
        <v>2002</v>
      </c>
      <c r="C143">
        <v>1200</v>
      </c>
      <c r="D143">
        <v>142</v>
      </c>
      <c r="E143">
        <v>6650</v>
      </c>
      <c r="F143" t="s">
        <v>59</v>
      </c>
      <c r="G143">
        <v>5</v>
      </c>
      <c r="H143" t="s">
        <v>133</v>
      </c>
      <c r="I143">
        <v>17</v>
      </c>
      <c r="J143" s="54">
        <f t="shared" si="2"/>
        <v>5</v>
      </c>
    </row>
    <row r="144" spans="1:10">
      <c r="A144" s="43">
        <v>43374</v>
      </c>
      <c r="B144">
        <v>2002</v>
      </c>
      <c r="C144">
        <v>1200</v>
      </c>
      <c r="D144">
        <v>143</v>
      </c>
      <c r="E144">
        <v>6650</v>
      </c>
      <c r="F144" t="s">
        <v>59</v>
      </c>
      <c r="G144">
        <v>9</v>
      </c>
      <c r="H144" t="s">
        <v>133</v>
      </c>
      <c r="I144">
        <v>17</v>
      </c>
      <c r="J144" s="54">
        <f t="shared" si="2"/>
        <v>9</v>
      </c>
    </row>
    <row r="145" spans="1:10">
      <c r="A145" s="43">
        <v>43205</v>
      </c>
      <c r="B145">
        <v>2003</v>
      </c>
      <c r="C145">
        <v>1200</v>
      </c>
      <c r="D145">
        <v>144</v>
      </c>
      <c r="E145">
        <v>8900</v>
      </c>
      <c r="F145" t="s">
        <v>59</v>
      </c>
      <c r="G145">
        <v>7</v>
      </c>
      <c r="H145" t="s">
        <v>133</v>
      </c>
      <c r="I145">
        <v>16</v>
      </c>
      <c r="J145" s="54">
        <f t="shared" si="2"/>
        <v>7</v>
      </c>
    </row>
    <row r="146" spans="1:10">
      <c r="A146" s="43">
        <v>43160</v>
      </c>
      <c r="B146">
        <v>2002</v>
      </c>
      <c r="C146">
        <v>1200</v>
      </c>
      <c r="D146">
        <v>145</v>
      </c>
      <c r="E146">
        <v>8500</v>
      </c>
      <c r="F146" t="s">
        <v>59</v>
      </c>
      <c r="G146">
        <v>6</v>
      </c>
      <c r="H146" t="s">
        <v>133</v>
      </c>
      <c r="I146">
        <v>17</v>
      </c>
      <c r="J146" s="54">
        <f t="shared" si="2"/>
        <v>6</v>
      </c>
    </row>
    <row r="147" spans="1:10">
      <c r="A147" s="43">
        <v>43023</v>
      </c>
      <c r="B147">
        <v>2002</v>
      </c>
      <c r="C147">
        <v>1200</v>
      </c>
      <c r="D147">
        <v>146</v>
      </c>
      <c r="E147">
        <v>6800</v>
      </c>
      <c r="F147" t="s">
        <v>59</v>
      </c>
      <c r="G147">
        <v>6</v>
      </c>
      <c r="H147" t="s">
        <v>133</v>
      </c>
      <c r="I147">
        <v>17</v>
      </c>
      <c r="J147" s="54">
        <f t="shared" si="2"/>
        <v>6</v>
      </c>
    </row>
    <row r="148" spans="1:10">
      <c r="A148" s="43">
        <v>42873</v>
      </c>
      <c r="B148">
        <v>2002</v>
      </c>
      <c r="C148">
        <v>1200</v>
      </c>
      <c r="D148">
        <v>147</v>
      </c>
      <c r="E148">
        <v>6500</v>
      </c>
      <c r="F148" t="s">
        <v>59</v>
      </c>
      <c r="G148">
        <v>6</v>
      </c>
      <c r="H148" t="s">
        <v>133</v>
      </c>
      <c r="I148">
        <v>17</v>
      </c>
      <c r="J148" s="54">
        <f t="shared" si="2"/>
        <v>6</v>
      </c>
    </row>
    <row r="149" spans="1:10">
      <c r="A149" s="43">
        <v>42797</v>
      </c>
      <c r="B149">
        <v>2002</v>
      </c>
      <c r="C149">
        <v>1200</v>
      </c>
      <c r="D149">
        <v>148</v>
      </c>
      <c r="E149">
        <v>6500</v>
      </c>
      <c r="F149" t="s">
        <v>59</v>
      </c>
      <c r="G149">
        <v>7</v>
      </c>
      <c r="H149" t="s">
        <v>133</v>
      </c>
      <c r="I149">
        <v>17</v>
      </c>
      <c r="J149" s="54">
        <f t="shared" si="2"/>
        <v>7</v>
      </c>
    </row>
    <row r="150" spans="1:10">
      <c r="A150" s="43">
        <v>42789</v>
      </c>
      <c r="B150">
        <v>2003</v>
      </c>
      <c r="C150">
        <v>1200</v>
      </c>
      <c r="D150">
        <v>149</v>
      </c>
      <c r="E150">
        <v>7300</v>
      </c>
      <c r="F150" t="s">
        <v>59</v>
      </c>
      <c r="G150">
        <v>6</v>
      </c>
      <c r="H150" t="s">
        <v>133</v>
      </c>
      <c r="I150">
        <v>16</v>
      </c>
      <c r="J150" s="54">
        <f t="shared" si="2"/>
        <v>6</v>
      </c>
    </row>
    <row r="151" spans="1:10">
      <c r="A151" s="43">
        <v>42705</v>
      </c>
      <c r="B151">
        <v>2002</v>
      </c>
      <c r="C151">
        <v>1200</v>
      </c>
      <c r="D151">
        <v>150</v>
      </c>
      <c r="E151">
        <v>6000</v>
      </c>
      <c r="F151" t="s">
        <v>59</v>
      </c>
      <c r="G151">
        <v>5</v>
      </c>
      <c r="H151" t="s">
        <v>133</v>
      </c>
      <c r="I151">
        <v>17</v>
      </c>
      <c r="J151" s="54">
        <f t="shared" si="2"/>
        <v>5</v>
      </c>
    </row>
    <row r="152" spans="1:10">
      <c r="A152" s="43">
        <v>42522</v>
      </c>
      <c r="B152">
        <v>2002</v>
      </c>
      <c r="C152">
        <v>1200</v>
      </c>
      <c r="D152">
        <v>151</v>
      </c>
      <c r="E152">
        <v>7900</v>
      </c>
      <c r="F152" t="s">
        <v>59</v>
      </c>
      <c r="G152">
        <v>11</v>
      </c>
      <c r="H152" t="s">
        <v>133</v>
      </c>
      <c r="I152">
        <v>17</v>
      </c>
      <c r="J152" s="54">
        <f t="shared" si="2"/>
        <v>11</v>
      </c>
    </row>
    <row r="153" spans="1:10">
      <c r="A153" s="43">
        <v>43423</v>
      </c>
      <c r="B153">
        <v>2004</v>
      </c>
      <c r="C153">
        <v>1201</v>
      </c>
      <c r="D153">
        <v>152</v>
      </c>
      <c r="E153">
        <v>8050</v>
      </c>
      <c r="F153" t="s">
        <v>59</v>
      </c>
      <c r="G153">
        <v>3</v>
      </c>
      <c r="H153" t="s">
        <v>133</v>
      </c>
      <c r="I153">
        <v>15</v>
      </c>
      <c r="J153" s="54">
        <f t="shared" si="2"/>
        <v>3</v>
      </c>
    </row>
    <row r="154" spans="1:10">
      <c r="A154" s="43">
        <v>43224</v>
      </c>
      <c r="B154">
        <v>2002</v>
      </c>
      <c r="C154">
        <v>1201</v>
      </c>
      <c r="D154">
        <v>153</v>
      </c>
      <c r="E154">
        <v>10000</v>
      </c>
      <c r="F154" t="s">
        <v>59</v>
      </c>
      <c r="G154">
        <v>12</v>
      </c>
      <c r="H154" t="s">
        <v>133</v>
      </c>
      <c r="I154">
        <v>17</v>
      </c>
      <c r="J154" s="54">
        <f t="shared" si="2"/>
        <v>12</v>
      </c>
    </row>
    <row r="155" spans="1:10">
      <c r="A155" s="43">
        <v>43206</v>
      </c>
      <c r="B155">
        <v>2004</v>
      </c>
      <c r="C155">
        <v>1201</v>
      </c>
      <c r="D155">
        <v>154</v>
      </c>
      <c r="E155">
        <v>9500</v>
      </c>
      <c r="F155" t="s">
        <v>59</v>
      </c>
      <c r="G155">
        <v>5</v>
      </c>
      <c r="H155" t="s">
        <v>133</v>
      </c>
      <c r="I155">
        <v>15</v>
      </c>
      <c r="J155" s="54">
        <f t="shared" si="2"/>
        <v>5</v>
      </c>
    </row>
    <row r="156" spans="1:10">
      <c r="A156" s="43">
        <v>42423</v>
      </c>
      <c r="B156">
        <v>2004</v>
      </c>
      <c r="C156">
        <v>1201</v>
      </c>
      <c r="D156">
        <v>155</v>
      </c>
      <c r="E156">
        <v>6500</v>
      </c>
      <c r="F156" t="s">
        <v>59</v>
      </c>
      <c r="G156">
        <v>9</v>
      </c>
      <c r="H156" t="s">
        <v>133</v>
      </c>
      <c r="I156">
        <v>15</v>
      </c>
      <c r="J156" s="54">
        <f t="shared" si="2"/>
        <v>9</v>
      </c>
    </row>
    <row r="157" spans="1:10">
      <c r="A157" s="43">
        <v>42416</v>
      </c>
      <c r="B157">
        <v>2002</v>
      </c>
      <c r="C157">
        <v>1201</v>
      </c>
      <c r="D157">
        <v>156</v>
      </c>
      <c r="E157">
        <v>8100</v>
      </c>
      <c r="F157" t="s">
        <v>59</v>
      </c>
      <c r="G157">
        <v>12</v>
      </c>
      <c r="H157" t="s">
        <v>133</v>
      </c>
      <c r="I157">
        <v>17</v>
      </c>
      <c r="J157" s="54">
        <f t="shared" si="2"/>
        <v>12</v>
      </c>
    </row>
    <row r="158" spans="1:10">
      <c r="A158" s="43">
        <v>43409</v>
      </c>
      <c r="B158">
        <v>2003</v>
      </c>
      <c r="C158">
        <v>1209</v>
      </c>
      <c r="D158">
        <v>157</v>
      </c>
      <c r="E158">
        <v>7300</v>
      </c>
      <c r="F158" t="s">
        <v>59</v>
      </c>
      <c r="G158">
        <v>12</v>
      </c>
      <c r="H158" t="s">
        <v>133</v>
      </c>
      <c r="I158">
        <v>16</v>
      </c>
      <c r="J158" s="54">
        <f t="shared" si="2"/>
        <v>12</v>
      </c>
    </row>
    <row r="159" spans="1:10">
      <c r="A159" s="43">
        <v>42905</v>
      </c>
      <c r="B159">
        <v>2003</v>
      </c>
      <c r="C159">
        <v>1209</v>
      </c>
      <c r="D159">
        <v>158</v>
      </c>
      <c r="E159">
        <v>6900</v>
      </c>
      <c r="F159" t="s">
        <v>59</v>
      </c>
      <c r="G159">
        <v>5</v>
      </c>
      <c r="H159" t="s">
        <v>133</v>
      </c>
      <c r="I159">
        <v>16</v>
      </c>
      <c r="J159" s="54">
        <f t="shared" si="2"/>
        <v>5</v>
      </c>
    </row>
    <row r="160" spans="1:10">
      <c r="A160" s="43">
        <v>42661</v>
      </c>
      <c r="B160">
        <v>2003</v>
      </c>
      <c r="C160">
        <v>1209</v>
      </c>
      <c r="D160">
        <v>159</v>
      </c>
      <c r="E160">
        <v>7050</v>
      </c>
      <c r="F160" t="s">
        <v>59</v>
      </c>
      <c r="G160">
        <v>8</v>
      </c>
      <c r="H160" t="s">
        <v>133</v>
      </c>
      <c r="I160">
        <v>16</v>
      </c>
      <c r="J160" s="54">
        <f t="shared" si="2"/>
        <v>8</v>
      </c>
    </row>
    <row r="161" spans="1:10">
      <c r="A161" s="43">
        <v>42499</v>
      </c>
      <c r="B161">
        <v>2003</v>
      </c>
      <c r="C161">
        <v>1209</v>
      </c>
      <c r="D161">
        <v>160</v>
      </c>
      <c r="E161">
        <v>8500</v>
      </c>
      <c r="F161" t="s">
        <v>59</v>
      </c>
      <c r="G161">
        <v>6</v>
      </c>
      <c r="H161" t="s">
        <v>133</v>
      </c>
      <c r="I161">
        <v>16</v>
      </c>
      <c r="J161" s="54">
        <f t="shared" si="2"/>
        <v>6</v>
      </c>
    </row>
    <row r="162" spans="1:10">
      <c r="A162" s="43">
        <v>43579</v>
      </c>
      <c r="B162">
        <v>2001</v>
      </c>
      <c r="C162">
        <v>1216</v>
      </c>
      <c r="D162">
        <v>161</v>
      </c>
      <c r="E162">
        <v>8500</v>
      </c>
      <c r="F162" t="s">
        <v>59</v>
      </c>
      <c r="G162">
        <v>7</v>
      </c>
      <c r="H162" t="s">
        <v>133</v>
      </c>
      <c r="I162">
        <v>18</v>
      </c>
      <c r="J162" s="54">
        <f t="shared" si="2"/>
        <v>7</v>
      </c>
    </row>
    <row r="163" spans="1:10">
      <c r="A163" s="43">
        <v>43434</v>
      </c>
      <c r="B163">
        <v>2001</v>
      </c>
      <c r="C163">
        <v>1216</v>
      </c>
      <c r="D163">
        <v>162</v>
      </c>
      <c r="E163">
        <v>7600</v>
      </c>
      <c r="F163" t="s">
        <v>59</v>
      </c>
      <c r="G163">
        <v>5</v>
      </c>
      <c r="H163" t="s">
        <v>133</v>
      </c>
      <c r="I163">
        <v>18</v>
      </c>
      <c r="J163" s="54">
        <f t="shared" si="2"/>
        <v>5</v>
      </c>
    </row>
    <row r="164" spans="1:10">
      <c r="A164" s="43">
        <v>43374</v>
      </c>
      <c r="B164">
        <v>2001</v>
      </c>
      <c r="C164">
        <v>1216</v>
      </c>
      <c r="D164">
        <v>163</v>
      </c>
      <c r="E164">
        <v>7500</v>
      </c>
      <c r="F164" t="s">
        <v>59</v>
      </c>
      <c r="G164">
        <v>8</v>
      </c>
      <c r="H164" t="s">
        <v>133</v>
      </c>
      <c r="I164">
        <v>18</v>
      </c>
      <c r="J164" s="54">
        <f t="shared" si="2"/>
        <v>8</v>
      </c>
    </row>
    <row r="165" spans="1:10">
      <c r="A165" s="43">
        <v>43374</v>
      </c>
      <c r="B165">
        <v>2001</v>
      </c>
      <c r="C165">
        <v>1216</v>
      </c>
      <c r="D165">
        <v>164</v>
      </c>
      <c r="E165">
        <v>7250</v>
      </c>
      <c r="F165" t="s">
        <v>59</v>
      </c>
      <c r="G165">
        <v>9</v>
      </c>
      <c r="H165" t="s">
        <v>133</v>
      </c>
      <c r="I165">
        <v>18</v>
      </c>
      <c r="J165" s="54">
        <f t="shared" si="2"/>
        <v>9</v>
      </c>
    </row>
    <row r="166" spans="1:10">
      <c r="A166" s="43">
        <v>42971</v>
      </c>
      <c r="B166">
        <v>2001</v>
      </c>
      <c r="C166">
        <v>1216</v>
      </c>
      <c r="D166">
        <v>165</v>
      </c>
      <c r="E166">
        <v>6300</v>
      </c>
      <c r="F166" t="s">
        <v>59</v>
      </c>
      <c r="G166">
        <v>50</v>
      </c>
      <c r="H166" t="s">
        <v>60</v>
      </c>
      <c r="I166">
        <v>18</v>
      </c>
      <c r="J166" s="54">
        <f t="shared" si="2"/>
        <v>2</v>
      </c>
    </row>
    <row r="167" spans="1:10">
      <c r="A167" s="43">
        <v>42948</v>
      </c>
      <c r="B167">
        <v>2001</v>
      </c>
      <c r="C167">
        <v>1216</v>
      </c>
      <c r="D167">
        <v>166</v>
      </c>
      <c r="E167">
        <v>7900</v>
      </c>
      <c r="F167" t="s">
        <v>59</v>
      </c>
      <c r="G167">
        <v>12</v>
      </c>
      <c r="H167" t="s">
        <v>133</v>
      </c>
      <c r="I167">
        <v>18</v>
      </c>
      <c r="J167" s="54">
        <f t="shared" si="2"/>
        <v>12</v>
      </c>
    </row>
    <row r="168" spans="1:10">
      <c r="A168" s="43">
        <v>42831</v>
      </c>
      <c r="B168">
        <v>2001</v>
      </c>
      <c r="C168">
        <v>1216</v>
      </c>
      <c r="D168">
        <v>167</v>
      </c>
      <c r="E168">
        <v>7400</v>
      </c>
      <c r="F168" t="s">
        <v>59</v>
      </c>
      <c r="G168">
        <v>6</v>
      </c>
      <c r="H168" t="s">
        <v>133</v>
      </c>
      <c r="I168">
        <v>18</v>
      </c>
      <c r="J168" s="54">
        <f t="shared" si="2"/>
        <v>6</v>
      </c>
    </row>
    <row r="169" spans="1:10">
      <c r="A169" s="43">
        <v>42459</v>
      </c>
      <c r="B169">
        <v>2001</v>
      </c>
      <c r="C169">
        <v>1216</v>
      </c>
      <c r="D169">
        <v>168</v>
      </c>
      <c r="E169">
        <v>7800</v>
      </c>
      <c r="F169" t="s">
        <v>59</v>
      </c>
      <c r="G169">
        <v>8</v>
      </c>
      <c r="H169" t="s">
        <v>133</v>
      </c>
      <c r="I169">
        <v>18</v>
      </c>
      <c r="J169" s="54">
        <f t="shared" si="2"/>
        <v>8</v>
      </c>
    </row>
    <row r="170" spans="1:10">
      <c r="A170" s="43">
        <v>42417</v>
      </c>
      <c r="B170">
        <v>2001</v>
      </c>
      <c r="C170">
        <v>1216</v>
      </c>
      <c r="D170">
        <v>169</v>
      </c>
      <c r="E170">
        <v>8900</v>
      </c>
      <c r="F170" t="s">
        <v>59</v>
      </c>
      <c r="G170">
        <v>7</v>
      </c>
      <c r="H170" t="s">
        <v>133</v>
      </c>
      <c r="I170">
        <v>18</v>
      </c>
      <c r="J170" s="54">
        <f t="shared" si="2"/>
        <v>7</v>
      </c>
    </row>
    <row r="171" spans="1:10">
      <c r="A171" s="43">
        <v>43584</v>
      </c>
      <c r="B171">
        <v>2005</v>
      </c>
      <c r="C171">
        <v>1220</v>
      </c>
      <c r="D171">
        <v>170</v>
      </c>
      <c r="E171">
        <v>6900</v>
      </c>
      <c r="F171" t="s">
        <v>59</v>
      </c>
      <c r="G171">
        <v>4</v>
      </c>
      <c r="H171" t="s">
        <v>133</v>
      </c>
      <c r="I171">
        <v>14</v>
      </c>
      <c r="J171" s="54">
        <f t="shared" si="2"/>
        <v>4</v>
      </c>
    </row>
    <row r="172" spans="1:10">
      <c r="A172" s="43">
        <v>43397</v>
      </c>
      <c r="B172">
        <v>2005</v>
      </c>
      <c r="C172">
        <v>1220</v>
      </c>
      <c r="D172">
        <v>171</v>
      </c>
      <c r="E172">
        <v>7750</v>
      </c>
      <c r="F172" t="s">
        <v>59</v>
      </c>
      <c r="G172">
        <v>6</v>
      </c>
      <c r="H172" t="s">
        <v>133</v>
      </c>
      <c r="I172">
        <v>14</v>
      </c>
      <c r="J172" s="54">
        <f t="shared" si="2"/>
        <v>6</v>
      </c>
    </row>
    <row r="173" spans="1:10">
      <c r="A173" s="43">
        <v>43397</v>
      </c>
      <c r="B173">
        <v>2005</v>
      </c>
      <c r="C173">
        <v>1220</v>
      </c>
      <c r="D173">
        <v>172</v>
      </c>
      <c r="E173">
        <v>7750</v>
      </c>
      <c r="F173" t="s">
        <v>59</v>
      </c>
      <c r="G173">
        <v>7</v>
      </c>
      <c r="H173" t="s">
        <v>133</v>
      </c>
      <c r="I173">
        <v>14</v>
      </c>
      <c r="J173" s="54">
        <f t="shared" si="2"/>
        <v>7</v>
      </c>
    </row>
    <row r="174" spans="1:10">
      <c r="A174" s="43">
        <v>43278</v>
      </c>
      <c r="B174">
        <v>2005</v>
      </c>
      <c r="C174">
        <v>1220</v>
      </c>
      <c r="D174">
        <v>173</v>
      </c>
      <c r="E174">
        <v>9250</v>
      </c>
      <c r="F174" t="s">
        <v>59</v>
      </c>
      <c r="G174">
        <v>5</v>
      </c>
      <c r="H174" t="s">
        <v>133</v>
      </c>
      <c r="I174">
        <v>14</v>
      </c>
      <c r="J174" s="54">
        <f t="shared" si="2"/>
        <v>5</v>
      </c>
    </row>
    <row r="175" spans="1:10">
      <c r="A175" s="43">
        <v>43221</v>
      </c>
      <c r="B175">
        <v>2005</v>
      </c>
      <c r="C175">
        <v>1220</v>
      </c>
      <c r="D175">
        <v>174</v>
      </c>
      <c r="E175">
        <v>9500</v>
      </c>
      <c r="F175" t="s">
        <v>59</v>
      </c>
      <c r="G175">
        <v>5</v>
      </c>
      <c r="H175" t="s">
        <v>133</v>
      </c>
      <c r="I175">
        <v>14</v>
      </c>
      <c r="J175" s="54">
        <f t="shared" si="2"/>
        <v>5</v>
      </c>
    </row>
    <row r="176" spans="1:10">
      <c r="A176" s="43">
        <v>43011</v>
      </c>
      <c r="B176">
        <v>2005</v>
      </c>
      <c r="C176">
        <v>1220</v>
      </c>
      <c r="D176">
        <v>175</v>
      </c>
      <c r="E176">
        <v>6900</v>
      </c>
      <c r="F176" t="s">
        <v>59</v>
      </c>
      <c r="G176">
        <v>6</v>
      </c>
      <c r="H176" t="s">
        <v>133</v>
      </c>
      <c r="I176">
        <v>14</v>
      </c>
      <c r="J176" s="54">
        <f t="shared" si="2"/>
        <v>6</v>
      </c>
    </row>
    <row r="177" spans="1:10">
      <c r="A177" s="43">
        <v>42866</v>
      </c>
      <c r="B177">
        <v>2005</v>
      </c>
      <c r="C177">
        <v>1220</v>
      </c>
      <c r="D177">
        <v>176</v>
      </c>
      <c r="E177">
        <v>6950</v>
      </c>
      <c r="F177" t="s">
        <v>59</v>
      </c>
      <c r="G177">
        <v>42</v>
      </c>
      <c r="H177" t="s">
        <v>60</v>
      </c>
      <c r="I177">
        <v>14</v>
      </c>
      <c r="J177" s="54">
        <f t="shared" si="2"/>
        <v>1</v>
      </c>
    </row>
    <row r="178" spans="1:10">
      <c r="A178" s="43">
        <v>42795</v>
      </c>
      <c r="B178">
        <v>2005</v>
      </c>
      <c r="C178">
        <v>1220</v>
      </c>
      <c r="D178">
        <v>177</v>
      </c>
      <c r="E178">
        <v>6500</v>
      </c>
      <c r="F178" t="s">
        <v>59</v>
      </c>
      <c r="G178">
        <v>8</v>
      </c>
      <c r="H178" t="s">
        <v>133</v>
      </c>
      <c r="I178">
        <v>14</v>
      </c>
      <c r="J178" s="54">
        <f t="shared" si="2"/>
        <v>8</v>
      </c>
    </row>
    <row r="179" spans="1:10">
      <c r="A179" s="43">
        <v>42716</v>
      </c>
      <c r="B179">
        <v>2005</v>
      </c>
      <c r="C179">
        <v>1220</v>
      </c>
      <c r="D179">
        <v>178</v>
      </c>
      <c r="E179">
        <v>6500</v>
      </c>
      <c r="F179" t="s">
        <v>59</v>
      </c>
      <c r="G179">
        <v>180</v>
      </c>
      <c r="H179" t="s">
        <v>60</v>
      </c>
      <c r="I179">
        <v>14</v>
      </c>
      <c r="J179" s="54">
        <f t="shared" si="2"/>
        <v>6</v>
      </c>
    </row>
    <row r="180" spans="1:10">
      <c r="A180" s="43">
        <v>42689</v>
      </c>
      <c r="B180">
        <v>2005</v>
      </c>
      <c r="C180">
        <v>1220</v>
      </c>
      <c r="D180">
        <v>179</v>
      </c>
      <c r="E180">
        <v>6500</v>
      </c>
      <c r="F180" t="s">
        <v>59</v>
      </c>
      <c r="G180">
        <v>160</v>
      </c>
      <c r="H180" t="s">
        <v>60</v>
      </c>
      <c r="I180">
        <v>14</v>
      </c>
      <c r="J180" s="54">
        <f t="shared" si="2"/>
        <v>5</v>
      </c>
    </row>
    <row r="181" spans="1:10">
      <c r="A181" s="43">
        <v>42583</v>
      </c>
      <c r="B181">
        <v>2005</v>
      </c>
      <c r="C181">
        <v>1220</v>
      </c>
      <c r="D181">
        <v>180</v>
      </c>
      <c r="E181">
        <v>7050</v>
      </c>
      <c r="F181" t="s">
        <v>59</v>
      </c>
      <c r="G181">
        <v>7</v>
      </c>
      <c r="H181" t="s">
        <v>133</v>
      </c>
      <c r="I181">
        <v>14</v>
      </c>
      <c r="J181" s="54">
        <f t="shared" si="2"/>
        <v>7</v>
      </c>
    </row>
    <row r="182" spans="1:10">
      <c r="A182" s="43">
        <v>42583</v>
      </c>
      <c r="B182">
        <v>2005</v>
      </c>
      <c r="C182">
        <v>1220</v>
      </c>
      <c r="D182">
        <v>181</v>
      </c>
      <c r="E182">
        <v>7100</v>
      </c>
      <c r="F182" t="s">
        <v>59</v>
      </c>
      <c r="G182">
        <v>6</v>
      </c>
      <c r="H182" t="s">
        <v>133</v>
      </c>
      <c r="I182">
        <v>14</v>
      </c>
      <c r="J182" s="54">
        <f t="shared" si="2"/>
        <v>6</v>
      </c>
    </row>
    <row r="183" spans="1:10">
      <c r="A183" s="43">
        <v>42494</v>
      </c>
      <c r="B183">
        <v>2005</v>
      </c>
      <c r="C183">
        <v>1220</v>
      </c>
      <c r="D183">
        <v>182</v>
      </c>
      <c r="E183">
        <v>6750</v>
      </c>
      <c r="F183" t="s">
        <v>59</v>
      </c>
      <c r="G183">
        <v>5</v>
      </c>
      <c r="H183" t="s">
        <v>133</v>
      </c>
      <c r="I183">
        <v>14</v>
      </c>
      <c r="J183" s="54">
        <f t="shared" si="2"/>
        <v>5</v>
      </c>
    </row>
    <row r="184" spans="1:10">
      <c r="A184" s="43">
        <v>43621</v>
      </c>
      <c r="B184">
        <v>2005</v>
      </c>
      <c r="C184">
        <v>1221</v>
      </c>
      <c r="D184">
        <v>183</v>
      </c>
      <c r="E184">
        <v>7350</v>
      </c>
      <c r="F184" t="s">
        <v>59</v>
      </c>
      <c r="G184">
        <v>5</v>
      </c>
      <c r="H184" t="s">
        <v>133</v>
      </c>
      <c r="I184">
        <v>14</v>
      </c>
      <c r="J184" s="54">
        <f t="shared" si="2"/>
        <v>5</v>
      </c>
    </row>
    <row r="185" spans="1:10">
      <c r="A185" s="43">
        <v>43579</v>
      </c>
      <c r="B185">
        <v>2005</v>
      </c>
      <c r="C185">
        <v>1221</v>
      </c>
      <c r="D185">
        <v>184</v>
      </c>
      <c r="E185">
        <v>7350</v>
      </c>
      <c r="F185" t="s">
        <v>59</v>
      </c>
      <c r="G185">
        <v>5</v>
      </c>
      <c r="H185" t="s">
        <v>133</v>
      </c>
      <c r="I185">
        <v>14</v>
      </c>
      <c r="J185" s="54">
        <f t="shared" si="2"/>
        <v>5</v>
      </c>
    </row>
    <row r="186" spans="1:10">
      <c r="A186" s="43">
        <v>43511</v>
      </c>
      <c r="B186">
        <v>2005</v>
      </c>
      <c r="C186">
        <v>1221</v>
      </c>
      <c r="D186">
        <v>185</v>
      </c>
      <c r="E186">
        <v>8750</v>
      </c>
      <c r="F186" t="s">
        <v>59</v>
      </c>
      <c r="G186">
        <v>12</v>
      </c>
      <c r="H186" t="s">
        <v>133</v>
      </c>
      <c r="I186">
        <v>14</v>
      </c>
      <c r="J186" s="54">
        <f t="shared" si="2"/>
        <v>12</v>
      </c>
    </row>
    <row r="187" spans="1:10">
      <c r="A187" s="43">
        <v>43487</v>
      </c>
      <c r="B187">
        <v>2005</v>
      </c>
      <c r="C187">
        <v>1221</v>
      </c>
      <c r="D187">
        <v>186</v>
      </c>
      <c r="E187">
        <v>7200</v>
      </c>
      <c r="F187" t="s">
        <v>59</v>
      </c>
      <c r="G187">
        <v>5</v>
      </c>
      <c r="H187" t="s">
        <v>133</v>
      </c>
      <c r="I187">
        <v>14</v>
      </c>
      <c r="J187" s="54">
        <f t="shared" si="2"/>
        <v>5</v>
      </c>
    </row>
    <row r="188" spans="1:10">
      <c r="A188" s="43">
        <v>43396</v>
      </c>
      <c r="B188">
        <v>2004</v>
      </c>
      <c r="C188">
        <v>1221</v>
      </c>
      <c r="D188">
        <v>187</v>
      </c>
      <c r="E188">
        <v>7500</v>
      </c>
      <c r="F188" t="s">
        <v>59</v>
      </c>
      <c r="G188">
        <v>5</v>
      </c>
      <c r="H188" t="s">
        <v>133</v>
      </c>
      <c r="I188">
        <v>15</v>
      </c>
      <c r="J188" s="54">
        <f t="shared" si="2"/>
        <v>5</v>
      </c>
    </row>
    <row r="189" spans="1:10">
      <c r="A189" s="43">
        <v>43221</v>
      </c>
      <c r="B189">
        <v>2005</v>
      </c>
      <c r="C189">
        <v>1221</v>
      </c>
      <c r="D189">
        <v>188</v>
      </c>
      <c r="E189">
        <v>12000</v>
      </c>
      <c r="F189" t="s">
        <v>59</v>
      </c>
      <c r="G189">
        <v>12</v>
      </c>
      <c r="H189" t="s">
        <v>133</v>
      </c>
      <c r="I189">
        <v>14</v>
      </c>
      <c r="J189" s="54">
        <f t="shared" si="2"/>
        <v>12</v>
      </c>
    </row>
    <row r="190" spans="1:10">
      <c r="A190" s="43">
        <v>43220</v>
      </c>
      <c r="B190">
        <v>2004</v>
      </c>
      <c r="C190">
        <v>1221</v>
      </c>
      <c r="D190">
        <v>189</v>
      </c>
      <c r="E190">
        <v>9000</v>
      </c>
      <c r="F190" t="s">
        <v>59</v>
      </c>
      <c r="G190">
        <v>6</v>
      </c>
      <c r="H190" t="s">
        <v>133</v>
      </c>
      <c r="I190">
        <v>15</v>
      </c>
      <c r="J190" s="54">
        <f t="shared" si="2"/>
        <v>6</v>
      </c>
    </row>
    <row r="191" spans="1:10">
      <c r="A191" s="43">
        <v>43185</v>
      </c>
      <c r="B191">
        <v>2003</v>
      </c>
      <c r="C191">
        <v>1221</v>
      </c>
      <c r="D191">
        <v>190</v>
      </c>
      <c r="E191">
        <v>9000</v>
      </c>
      <c r="F191" t="s">
        <v>59</v>
      </c>
      <c r="G191">
        <v>5</v>
      </c>
      <c r="H191" t="s">
        <v>133</v>
      </c>
      <c r="I191">
        <v>16</v>
      </c>
      <c r="J191" s="54">
        <f t="shared" si="2"/>
        <v>5</v>
      </c>
    </row>
    <row r="192" spans="1:10">
      <c r="A192" s="43">
        <v>43175</v>
      </c>
      <c r="B192">
        <v>2005</v>
      </c>
      <c r="C192">
        <v>1221</v>
      </c>
      <c r="D192">
        <v>191</v>
      </c>
      <c r="E192">
        <v>8500</v>
      </c>
      <c r="F192" t="s">
        <v>59</v>
      </c>
      <c r="G192">
        <v>6</v>
      </c>
      <c r="H192" t="s">
        <v>133</v>
      </c>
      <c r="I192">
        <v>14</v>
      </c>
      <c r="J192" s="54">
        <f t="shared" si="2"/>
        <v>6</v>
      </c>
    </row>
    <row r="193" spans="1:10">
      <c r="A193" s="43">
        <v>43153</v>
      </c>
      <c r="B193">
        <v>2003</v>
      </c>
      <c r="C193">
        <v>1221</v>
      </c>
      <c r="D193">
        <v>192</v>
      </c>
      <c r="E193">
        <v>8500</v>
      </c>
      <c r="F193" t="s">
        <v>59</v>
      </c>
      <c r="G193">
        <v>6</v>
      </c>
      <c r="H193" t="s">
        <v>133</v>
      </c>
      <c r="I193">
        <v>16</v>
      </c>
      <c r="J193" s="54">
        <f t="shared" si="2"/>
        <v>6</v>
      </c>
    </row>
    <row r="194" spans="1:10">
      <c r="A194" s="43">
        <v>43144</v>
      </c>
      <c r="B194">
        <v>2005</v>
      </c>
      <c r="C194">
        <v>1221</v>
      </c>
      <c r="D194">
        <v>193</v>
      </c>
      <c r="E194">
        <v>8250</v>
      </c>
      <c r="F194" t="s">
        <v>59</v>
      </c>
      <c r="G194">
        <v>6</v>
      </c>
      <c r="H194" t="s">
        <v>133</v>
      </c>
      <c r="I194">
        <v>14</v>
      </c>
      <c r="J194" s="54">
        <f t="shared" ref="J194:J257" si="3">IF(H194="days",ROUND(G194/30,0),IF(H194="years",G194*12,G194))</f>
        <v>6</v>
      </c>
    </row>
    <row r="195" spans="1:10">
      <c r="A195" s="43">
        <v>43087</v>
      </c>
      <c r="B195">
        <v>2005</v>
      </c>
      <c r="C195">
        <v>1221</v>
      </c>
      <c r="D195">
        <v>194</v>
      </c>
      <c r="E195">
        <v>8000</v>
      </c>
      <c r="F195" t="s">
        <v>59</v>
      </c>
      <c r="G195">
        <v>7</v>
      </c>
      <c r="H195" t="s">
        <v>133</v>
      </c>
      <c r="I195">
        <v>14</v>
      </c>
      <c r="J195" s="54">
        <f t="shared" si="3"/>
        <v>7</v>
      </c>
    </row>
    <row r="196" spans="1:10">
      <c r="A196" s="43">
        <v>43024</v>
      </c>
      <c r="B196">
        <v>2004</v>
      </c>
      <c r="C196">
        <v>1221</v>
      </c>
      <c r="D196">
        <v>195</v>
      </c>
      <c r="E196">
        <v>7000</v>
      </c>
      <c r="F196" t="s">
        <v>59</v>
      </c>
      <c r="G196">
        <v>5</v>
      </c>
      <c r="H196" t="s">
        <v>133</v>
      </c>
      <c r="I196">
        <v>15</v>
      </c>
      <c r="J196" s="54">
        <f t="shared" si="3"/>
        <v>5</v>
      </c>
    </row>
    <row r="197" spans="1:10">
      <c r="A197" s="43">
        <v>43018</v>
      </c>
      <c r="B197">
        <v>2005</v>
      </c>
      <c r="C197">
        <v>1221</v>
      </c>
      <c r="D197">
        <v>196</v>
      </c>
      <c r="E197">
        <v>9700</v>
      </c>
      <c r="F197" t="s">
        <v>59</v>
      </c>
      <c r="G197">
        <v>7</v>
      </c>
      <c r="H197" t="s">
        <v>133</v>
      </c>
      <c r="I197">
        <v>14</v>
      </c>
      <c r="J197" s="54">
        <f t="shared" si="3"/>
        <v>7</v>
      </c>
    </row>
    <row r="198" spans="1:10">
      <c r="A198" s="43">
        <v>42972</v>
      </c>
      <c r="B198">
        <v>2003</v>
      </c>
      <c r="C198">
        <v>1221</v>
      </c>
      <c r="D198">
        <v>197</v>
      </c>
      <c r="E198">
        <v>7000</v>
      </c>
      <c r="F198" t="s">
        <v>59</v>
      </c>
      <c r="G198">
        <v>6</v>
      </c>
      <c r="H198" t="s">
        <v>133</v>
      </c>
      <c r="I198">
        <v>16</v>
      </c>
      <c r="J198" s="54">
        <f t="shared" si="3"/>
        <v>6</v>
      </c>
    </row>
    <row r="199" spans="1:10">
      <c r="A199" s="43">
        <v>42961</v>
      </c>
      <c r="B199">
        <v>2003</v>
      </c>
      <c r="C199">
        <v>1221</v>
      </c>
      <c r="D199">
        <v>198</v>
      </c>
      <c r="E199">
        <v>7000</v>
      </c>
      <c r="F199" t="s">
        <v>59</v>
      </c>
      <c r="G199">
        <v>6</v>
      </c>
      <c r="H199" t="s">
        <v>133</v>
      </c>
      <c r="I199">
        <v>16</v>
      </c>
      <c r="J199" s="54">
        <f t="shared" si="3"/>
        <v>6</v>
      </c>
    </row>
    <row r="200" spans="1:10">
      <c r="A200" s="43">
        <v>42795</v>
      </c>
      <c r="B200">
        <v>2005</v>
      </c>
      <c r="C200">
        <v>1221</v>
      </c>
      <c r="D200">
        <v>199</v>
      </c>
      <c r="E200">
        <v>7000</v>
      </c>
      <c r="F200" t="s">
        <v>59</v>
      </c>
      <c r="G200">
        <v>5</v>
      </c>
      <c r="H200" t="s">
        <v>133</v>
      </c>
      <c r="I200">
        <v>14</v>
      </c>
      <c r="J200" s="54">
        <f t="shared" si="3"/>
        <v>5</v>
      </c>
    </row>
    <row r="201" spans="1:10">
      <c r="A201" s="43">
        <v>42688</v>
      </c>
      <c r="B201">
        <v>2005</v>
      </c>
      <c r="C201">
        <v>1221</v>
      </c>
      <c r="D201">
        <v>200</v>
      </c>
      <c r="E201">
        <v>6950</v>
      </c>
      <c r="F201" t="s">
        <v>59</v>
      </c>
      <c r="G201">
        <v>7</v>
      </c>
      <c r="H201" t="s">
        <v>133</v>
      </c>
      <c r="I201">
        <v>14</v>
      </c>
      <c r="J201" s="54">
        <f t="shared" si="3"/>
        <v>7</v>
      </c>
    </row>
    <row r="202" spans="1:10">
      <c r="A202" s="43">
        <v>42667</v>
      </c>
      <c r="B202">
        <v>2004</v>
      </c>
      <c r="C202">
        <v>1221</v>
      </c>
      <c r="D202">
        <v>201</v>
      </c>
      <c r="E202">
        <v>7000</v>
      </c>
      <c r="F202" t="s">
        <v>59</v>
      </c>
      <c r="G202">
        <v>5</v>
      </c>
      <c r="H202" t="s">
        <v>133</v>
      </c>
      <c r="I202">
        <v>15</v>
      </c>
      <c r="J202" s="54">
        <f t="shared" si="3"/>
        <v>5</v>
      </c>
    </row>
    <row r="203" spans="1:10">
      <c r="A203" s="43">
        <v>42648</v>
      </c>
      <c r="B203">
        <v>2003</v>
      </c>
      <c r="C203">
        <v>1221</v>
      </c>
      <c r="D203">
        <v>202</v>
      </c>
      <c r="E203">
        <v>7000</v>
      </c>
      <c r="F203" t="s">
        <v>59</v>
      </c>
      <c r="G203">
        <v>5.5</v>
      </c>
      <c r="H203" t="s">
        <v>133</v>
      </c>
      <c r="I203">
        <v>16</v>
      </c>
      <c r="J203" s="54">
        <f t="shared" si="3"/>
        <v>5.5</v>
      </c>
    </row>
    <row r="204" spans="1:10">
      <c r="A204" s="43">
        <v>42640</v>
      </c>
      <c r="B204">
        <v>2003</v>
      </c>
      <c r="C204">
        <v>1221</v>
      </c>
      <c r="D204">
        <v>203</v>
      </c>
      <c r="E204">
        <v>7150</v>
      </c>
      <c r="F204" t="s">
        <v>59</v>
      </c>
      <c r="G204">
        <v>42</v>
      </c>
      <c r="H204" t="s">
        <v>60</v>
      </c>
      <c r="I204">
        <v>16</v>
      </c>
      <c r="J204" s="54">
        <f t="shared" si="3"/>
        <v>1</v>
      </c>
    </row>
    <row r="205" spans="1:10">
      <c r="A205" s="43">
        <v>42578</v>
      </c>
      <c r="B205">
        <v>2005</v>
      </c>
      <c r="C205">
        <v>1221</v>
      </c>
      <c r="D205">
        <v>204</v>
      </c>
      <c r="E205">
        <v>7150</v>
      </c>
      <c r="F205" t="s">
        <v>59</v>
      </c>
      <c r="G205">
        <v>8</v>
      </c>
      <c r="H205" t="s">
        <v>133</v>
      </c>
      <c r="I205">
        <v>14</v>
      </c>
      <c r="J205" s="54">
        <f t="shared" si="3"/>
        <v>8</v>
      </c>
    </row>
    <row r="206" spans="1:10">
      <c r="A206" s="43">
        <v>42541</v>
      </c>
      <c r="B206">
        <v>2005</v>
      </c>
      <c r="C206">
        <v>1221</v>
      </c>
      <c r="D206">
        <v>205</v>
      </c>
      <c r="E206">
        <v>7150</v>
      </c>
      <c r="F206" t="s">
        <v>59</v>
      </c>
      <c r="G206">
        <v>5</v>
      </c>
      <c r="H206" t="s">
        <v>133</v>
      </c>
      <c r="I206">
        <v>14</v>
      </c>
      <c r="J206" s="54">
        <f t="shared" si="3"/>
        <v>5</v>
      </c>
    </row>
    <row r="207" spans="1:10">
      <c r="A207" s="43">
        <v>42461</v>
      </c>
      <c r="B207">
        <v>2005</v>
      </c>
      <c r="C207">
        <v>1221</v>
      </c>
      <c r="D207">
        <v>206</v>
      </c>
      <c r="E207">
        <v>10500</v>
      </c>
      <c r="F207" t="s">
        <v>59</v>
      </c>
      <c r="G207">
        <v>6</v>
      </c>
      <c r="H207" t="s">
        <v>133</v>
      </c>
      <c r="I207">
        <v>14</v>
      </c>
      <c r="J207" s="54">
        <f t="shared" si="3"/>
        <v>6</v>
      </c>
    </row>
    <row r="208" spans="1:10">
      <c r="A208" s="43">
        <v>42450</v>
      </c>
      <c r="B208">
        <v>2004</v>
      </c>
      <c r="C208">
        <v>1221</v>
      </c>
      <c r="D208">
        <v>207</v>
      </c>
      <c r="E208">
        <v>7000</v>
      </c>
      <c r="F208" t="s">
        <v>59</v>
      </c>
      <c r="G208">
        <v>6</v>
      </c>
      <c r="H208" t="s">
        <v>133</v>
      </c>
      <c r="I208">
        <v>15</v>
      </c>
      <c r="J208" s="54">
        <f t="shared" si="3"/>
        <v>6</v>
      </c>
    </row>
    <row r="209" spans="1:10">
      <c r="A209" s="43">
        <v>42433</v>
      </c>
      <c r="B209">
        <v>2003</v>
      </c>
      <c r="C209">
        <v>1221</v>
      </c>
      <c r="D209">
        <v>208</v>
      </c>
      <c r="E209">
        <v>7300</v>
      </c>
      <c r="F209" t="s">
        <v>59</v>
      </c>
      <c r="G209">
        <v>30</v>
      </c>
      <c r="H209" t="s">
        <v>60</v>
      </c>
      <c r="I209">
        <v>16</v>
      </c>
      <c r="J209" s="54">
        <f t="shared" si="3"/>
        <v>1</v>
      </c>
    </row>
    <row r="210" spans="1:10">
      <c r="A210" s="43">
        <v>43507</v>
      </c>
      <c r="B210">
        <v>2005</v>
      </c>
      <c r="C210">
        <v>1341</v>
      </c>
      <c r="D210">
        <v>209</v>
      </c>
      <c r="E210">
        <v>7500</v>
      </c>
      <c r="F210" t="s">
        <v>59</v>
      </c>
      <c r="G210">
        <v>8</v>
      </c>
      <c r="H210" t="s">
        <v>133</v>
      </c>
      <c r="I210">
        <v>14</v>
      </c>
      <c r="J210" s="54">
        <f t="shared" si="3"/>
        <v>8</v>
      </c>
    </row>
    <row r="211" spans="1:10">
      <c r="A211" s="43">
        <v>43341</v>
      </c>
      <c r="B211">
        <v>2005</v>
      </c>
      <c r="C211">
        <v>1341</v>
      </c>
      <c r="D211">
        <v>210</v>
      </c>
      <c r="E211">
        <v>9350</v>
      </c>
      <c r="F211" t="s">
        <v>59</v>
      </c>
      <c r="G211">
        <v>6</v>
      </c>
      <c r="H211" t="s">
        <v>133</v>
      </c>
      <c r="I211">
        <v>14</v>
      </c>
      <c r="J211" s="54">
        <f t="shared" si="3"/>
        <v>6</v>
      </c>
    </row>
    <row r="212" spans="1:10">
      <c r="A212" s="43">
        <v>43285</v>
      </c>
      <c r="B212">
        <v>2005</v>
      </c>
      <c r="C212">
        <v>1341</v>
      </c>
      <c r="D212">
        <v>211</v>
      </c>
      <c r="E212">
        <v>10400</v>
      </c>
      <c r="F212" t="s">
        <v>59</v>
      </c>
      <c r="G212">
        <v>14</v>
      </c>
      <c r="H212" t="s">
        <v>133</v>
      </c>
      <c r="I212">
        <v>14</v>
      </c>
      <c r="J212" s="54">
        <f t="shared" si="3"/>
        <v>14</v>
      </c>
    </row>
    <row r="213" spans="1:10">
      <c r="A213" s="43">
        <v>43181</v>
      </c>
      <c r="B213">
        <v>2005</v>
      </c>
      <c r="C213">
        <v>1341</v>
      </c>
      <c r="D213">
        <v>212</v>
      </c>
      <c r="E213">
        <v>10150</v>
      </c>
      <c r="F213" t="s">
        <v>59</v>
      </c>
      <c r="G213">
        <v>6</v>
      </c>
      <c r="H213" t="s">
        <v>133</v>
      </c>
      <c r="I213">
        <v>14</v>
      </c>
      <c r="J213" s="54">
        <f t="shared" si="3"/>
        <v>6</v>
      </c>
    </row>
    <row r="214" spans="1:10">
      <c r="A214" s="43">
        <v>43125</v>
      </c>
      <c r="B214">
        <v>2005</v>
      </c>
      <c r="C214">
        <v>1341</v>
      </c>
      <c r="D214">
        <v>213</v>
      </c>
      <c r="E214">
        <v>9250</v>
      </c>
      <c r="F214" t="s">
        <v>59</v>
      </c>
      <c r="G214">
        <v>3</v>
      </c>
      <c r="H214" t="s">
        <v>133</v>
      </c>
      <c r="I214">
        <v>14</v>
      </c>
      <c r="J214" s="54">
        <f t="shared" si="3"/>
        <v>3</v>
      </c>
    </row>
    <row r="215" spans="1:10">
      <c r="A215" s="43">
        <v>42948</v>
      </c>
      <c r="B215">
        <v>2005</v>
      </c>
      <c r="C215">
        <v>1341</v>
      </c>
      <c r="D215">
        <v>214</v>
      </c>
      <c r="E215">
        <v>7250</v>
      </c>
      <c r="F215" t="s">
        <v>59</v>
      </c>
      <c r="G215">
        <v>6</v>
      </c>
      <c r="H215" t="s">
        <v>133</v>
      </c>
      <c r="I215">
        <v>14</v>
      </c>
      <c r="J215" s="54">
        <f t="shared" si="3"/>
        <v>6</v>
      </c>
    </row>
    <row r="216" spans="1:10">
      <c r="A216" s="43">
        <v>42942</v>
      </c>
      <c r="B216">
        <v>2005</v>
      </c>
      <c r="C216">
        <v>1341</v>
      </c>
      <c r="D216">
        <v>215</v>
      </c>
      <c r="E216">
        <v>7850</v>
      </c>
      <c r="F216" t="s">
        <v>59</v>
      </c>
      <c r="G216">
        <v>1</v>
      </c>
      <c r="H216" t="s">
        <v>133</v>
      </c>
      <c r="I216">
        <v>14</v>
      </c>
      <c r="J216" s="54">
        <f t="shared" si="3"/>
        <v>1</v>
      </c>
    </row>
    <row r="217" spans="1:10">
      <c r="A217" s="43">
        <v>42648</v>
      </c>
      <c r="B217">
        <v>2005</v>
      </c>
      <c r="C217">
        <v>1341</v>
      </c>
      <c r="D217">
        <v>216</v>
      </c>
      <c r="E217">
        <v>7250</v>
      </c>
      <c r="F217" t="s">
        <v>59</v>
      </c>
      <c r="G217">
        <v>10</v>
      </c>
      <c r="H217" t="s">
        <v>133</v>
      </c>
      <c r="I217">
        <v>14</v>
      </c>
      <c r="J217" s="54">
        <f t="shared" si="3"/>
        <v>10</v>
      </c>
    </row>
    <row r="218" spans="1:10">
      <c r="A218" s="43">
        <v>42592</v>
      </c>
      <c r="B218">
        <v>2005</v>
      </c>
      <c r="C218">
        <v>1341</v>
      </c>
      <c r="D218">
        <v>217</v>
      </c>
      <c r="E218">
        <v>7900</v>
      </c>
      <c r="F218" t="s">
        <v>59</v>
      </c>
      <c r="G218">
        <v>9</v>
      </c>
      <c r="H218" t="s">
        <v>133</v>
      </c>
      <c r="I218">
        <v>14</v>
      </c>
      <c r="J218" s="54">
        <f t="shared" si="3"/>
        <v>9</v>
      </c>
    </row>
    <row r="219" spans="1:10">
      <c r="A219" s="43">
        <v>42401</v>
      </c>
      <c r="B219">
        <v>2005</v>
      </c>
      <c r="C219">
        <v>1341</v>
      </c>
      <c r="D219">
        <v>218</v>
      </c>
      <c r="E219">
        <v>8750</v>
      </c>
      <c r="F219" t="s">
        <v>59</v>
      </c>
      <c r="G219">
        <v>6</v>
      </c>
      <c r="H219" t="s">
        <v>133</v>
      </c>
      <c r="I219">
        <v>14</v>
      </c>
      <c r="J219" s="54">
        <f t="shared" si="3"/>
        <v>6</v>
      </c>
    </row>
    <row r="220" spans="1:10">
      <c r="A220" s="43">
        <v>43469</v>
      </c>
      <c r="B220">
        <v>2004</v>
      </c>
      <c r="C220">
        <v>1402</v>
      </c>
      <c r="D220">
        <v>219</v>
      </c>
      <c r="E220">
        <v>6700</v>
      </c>
      <c r="F220" t="s">
        <v>59</v>
      </c>
      <c r="G220">
        <v>6</v>
      </c>
      <c r="H220" t="s">
        <v>133</v>
      </c>
      <c r="I220">
        <v>15</v>
      </c>
      <c r="J220" s="54">
        <f t="shared" si="3"/>
        <v>6</v>
      </c>
    </row>
    <row r="221" spans="1:10">
      <c r="A221" s="43">
        <v>43361</v>
      </c>
      <c r="B221">
        <v>2005</v>
      </c>
      <c r="C221">
        <v>1402</v>
      </c>
      <c r="D221">
        <v>220</v>
      </c>
      <c r="E221">
        <v>7800</v>
      </c>
      <c r="F221" t="s">
        <v>59</v>
      </c>
      <c r="G221">
        <v>7</v>
      </c>
      <c r="H221" t="s">
        <v>133</v>
      </c>
      <c r="I221">
        <v>14</v>
      </c>
      <c r="J221" s="54">
        <f t="shared" si="3"/>
        <v>7</v>
      </c>
    </row>
    <row r="222" spans="1:10">
      <c r="A222" s="43">
        <v>43358</v>
      </c>
      <c r="B222">
        <v>2004</v>
      </c>
      <c r="C222">
        <v>1402</v>
      </c>
      <c r="D222">
        <v>221</v>
      </c>
      <c r="E222">
        <v>7800</v>
      </c>
      <c r="F222" t="s">
        <v>59</v>
      </c>
      <c r="G222">
        <v>5</v>
      </c>
      <c r="H222" t="s">
        <v>133</v>
      </c>
      <c r="I222">
        <v>15</v>
      </c>
      <c r="J222" s="54">
        <f t="shared" si="3"/>
        <v>5</v>
      </c>
    </row>
    <row r="223" spans="1:10">
      <c r="A223" s="43">
        <v>43206</v>
      </c>
      <c r="B223">
        <v>2005</v>
      </c>
      <c r="C223">
        <v>1402</v>
      </c>
      <c r="D223">
        <v>222</v>
      </c>
      <c r="E223">
        <v>9750</v>
      </c>
      <c r="F223" t="s">
        <v>59</v>
      </c>
      <c r="G223">
        <v>6</v>
      </c>
      <c r="H223" t="s">
        <v>133</v>
      </c>
      <c r="I223">
        <v>14</v>
      </c>
      <c r="J223" s="54">
        <f t="shared" si="3"/>
        <v>6</v>
      </c>
    </row>
    <row r="224" spans="1:10">
      <c r="A224" s="43">
        <v>43040</v>
      </c>
      <c r="B224">
        <v>2005</v>
      </c>
      <c r="C224">
        <v>1402</v>
      </c>
      <c r="D224">
        <v>223</v>
      </c>
      <c r="E224">
        <v>8750</v>
      </c>
      <c r="F224" t="s">
        <v>59</v>
      </c>
      <c r="G224">
        <v>5</v>
      </c>
      <c r="H224" t="s">
        <v>133</v>
      </c>
      <c r="I224">
        <v>14</v>
      </c>
      <c r="J224" s="54">
        <f t="shared" si="3"/>
        <v>5</v>
      </c>
    </row>
    <row r="225" spans="1:10">
      <c r="A225" s="43">
        <v>42930</v>
      </c>
      <c r="B225">
        <v>2004</v>
      </c>
      <c r="C225">
        <v>1402</v>
      </c>
      <c r="D225">
        <v>224</v>
      </c>
      <c r="E225">
        <v>6450</v>
      </c>
      <c r="F225" t="s">
        <v>59</v>
      </c>
      <c r="G225">
        <v>12</v>
      </c>
      <c r="H225" t="s">
        <v>133</v>
      </c>
      <c r="I225">
        <v>15</v>
      </c>
      <c r="J225" s="54">
        <f t="shared" si="3"/>
        <v>12</v>
      </c>
    </row>
    <row r="226" spans="1:10">
      <c r="A226" s="43">
        <v>42926</v>
      </c>
      <c r="B226">
        <v>2005</v>
      </c>
      <c r="C226">
        <v>1402</v>
      </c>
      <c r="D226">
        <v>225</v>
      </c>
      <c r="E226">
        <v>6450</v>
      </c>
      <c r="F226" t="s">
        <v>59</v>
      </c>
      <c r="G226">
        <v>4</v>
      </c>
      <c r="H226" t="s">
        <v>133</v>
      </c>
      <c r="I226">
        <v>14</v>
      </c>
      <c r="J226" s="54">
        <f t="shared" si="3"/>
        <v>4</v>
      </c>
    </row>
    <row r="227" spans="1:10">
      <c r="A227" s="43">
        <v>42845</v>
      </c>
      <c r="B227">
        <v>2005</v>
      </c>
      <c r="C227">
        <v>1402</v>
      </c>
      <c r="D227">
        <v>226</v>
      </c>
      <c r="E227">
        <v>7500</v>
      </c>
      <c r="F227" t="s">
        <v>59</v>
      </c>
      <c r="G227">
        <v>6</v>
      </c>
      <c r="H227" t="s">
        <v>133</v>
      </c>
      <c r="I227">
        <v>14</v>
      </c>
      <c r="J227" s="54">
        <f t="shared" si="3"/>
        <v>6</v>
      </c>
    </row>
    <row r="228" spans="1:10">
      <c r="A228" s="43">
        <v>42683</v>
      </c>
      <c r="B228">
        <v>2004</v>
      </c>
      <c r="C228">
        <v>1402</v>
      </c>
      <c r="D228">
        <v>227</v>
      </c>
      <c r="E228">
        <v>8500</v>
      </c>
      <c r="F228" t="s">
        <v>59</v>
      </c>
      <c r="G228">
        <v>12</v>
      </c>
      <c r="H228" t="s">
        <v>133</v>
      </c>
      <c r="I228">
        <v>15</v>
      </c>
      <c r="J228" s="54">
        <f t="shared" si="3"/>
        <v>12</v>
      </c>
    </row>
    <row r="229" spans="1:10">
      <c r="A229" s="43">
        <v>42541</v>
      </c>
      <c r="B229">
        <v>2005</v>
      </c>
      <c r="C229">
        <v>1402</v>
      </c>
      <c r="D229">
        <v>228</v>
      </c>
      <c r="E229">
        <v>9150</v>
      </c>
      <c r="F229" t="s">
        <v>59</v>
      </c>
      <c r="G229">
        <v>12</v>
      </c>
      <c r="H229" t="s">
        <v>133</v>
      </c>
      <c r="I229">
        <v>14</v>
      </c>
      <c r="J229" s="54">
        <f t="shared" si="3"/>
        <v>12</v>
      </c>
    </row>
    <row r="230" spans="1:10">
      <c r="A230" s="43">
        <v>43139</v>
      </c>
      <c r="B230">
        <v>2003</v>
      </c>
      <c r="C230">
        <v>1550</v>
      </c>
      <c r="D230">
        <v>229</v>
      </c>
      <c r="E230">
        <v>9750</v>
      </c>
      <c r="F230" t="s">
        <v>59</v>
      </c>
      <c r="G230">
        <v>10</v>
      </c>
      <c r="H230" t="s">
        <v>133</v>
      </c>
      <c r="I230">
        <v>16</v>
      </c>
      <c r="J230" s="54">
        <f t="shared" si="3"/>
        <v>10</v>
      </c>
    </row>
    <row r="231" spans="1:10">
      <c r="A231" s="43">
        <v>43075</v>
      </c>
      <c r="B231">
        <v>2003</v>
      </c>
      <c r="C231">
        <v>1550</v>
      </c>
      <c r="D231">
        <v>230</v>
      </c>
      <c r="E231">
        <v>9200</v>
      </c>
      <c r="F231" t="s">
        <v>59</v>
      </c>
      <c r="G231">
        <v>6</v>
      </c>
      <c r="H231" t="s">
        <v>133</v>
      </c>
      <c r="I231">
        <v>16</v>
      </c>
      <c r="J231" s="54">
        <f t="shared" si="3"/>
        <v>6</v>
      </c>
    </row>
    <row r="232" spans="1:10">
      <c r="A232" s="43">
        <v>43062</v>
      </c>
      <c r="B232">
        <v>2001</v>
      </c>
      <c r="C232">
        <v>1550</v>
      </c>
      <c r="D232">
        <v>231</v>
      </c>
      <c r="E232">
        <v>7500</v>
      </c>
      <c r="F232" t="s">
        <v>59</v>
      </c>
      <c r="G232">
        <v>6</v>
      </c>
      <c r="H232" t="s">
        <v>133</v>
      </c>
      <c r="I232">
        <v>18</v>
      </c>
      <c r="J232" s="54">
        <f t="shared" si="3"/>
        <v>6</v>
      </c>
    </row>
    <row r="233" spans="1:10">
      <c r="A233" s="43">
        <v>43024</v>
      </c>
      <c r="B233">
        <v>2004</v>
      </c>
      <c r="C233">
        <v>1550</v>
      </c>
      <c r="D233">
        <v>232</v>
      </c>
      <c r="E233">
        <v>8300</v>
      </c>
      <c r="F233" t="s">
        <v>59</v>
      </c>
      <c r="G233">
        <v>5</v>
      </c>
      <c r="H233" t="s">
        <v>133</v>
      </c>
      <c r="I233">
        <v>15</v>
      </c>
      <c r="J233" s="54">
        <f t="shared" si="3"/>
        <v>5</v>
      </c>
    </row>
    <row r="234" spans="1:10">
      <c r="A234" s="43">
        <v>42993</v>
      </c>
      <c r="B234">
        <v>2003</v>
      </c>
      <c r="C234">
        <v>1550</v>
      </c>
      <c r="D234">
        <v>233</v>
      </c>
      <c r="E234">
        <v>8150</v>
      </c>
      <c r="F234" t="s">
        <v>59</v>
      </c>
      <c r="G234">
        <v>1</v>
      </c>
      <c r="H234" t="s">
        <v>133</v>
      </c>
      <c r="I234">
        <v>16</v>
      </c>
      <c r="J234" s="54">
        <f t="shared" si="3"/>
        <v>1</v>
      </c>
    </row>
    <row r="235" spans="1:10">
      <c r="A235" s="43">
        <v>42907</v>
      </c>
      <c r="B235">
        <v>2001</v>
      </c>
      <c r="C235">
        <v>1550</v>
      </c>
      <c r="D235">
        <v>234</v>
      </c>
      <c r="E235">
        <v>6400</v>
      </c>
      <c r="F235" t="s">
        <v>59</v>
      </c>
      <c r="G235">
        <v>4</v>
      </c>
      <c r="H235" t="s">
        <v>133</v>
      </c>
      <c r="I235">
        <v>18</v>
      </c>
      <c r="J235" s="54">
        <f t="shared" si="3"/>
        <v>4</v>
      </c>
    </row>
    <row r="236" spans="1:10">
      <c r="A236" s="43">
        <v>42898</v>
      </c>
      <c r="B236">
        <v>2003</v>
      </c>
      <c r="C236">
        <v>1550</v>
      </c>
      <c r="D236">
        <v>235</v>
      </c>
      <c r="E236">
        <v>8000</v>
      </c>
      <c r="F236" t="s">
        <v>59</v>
      </c>
      <c r="G236">
        <v>4</v>
      </c>
      <c r="H236" t="s">
        <v>133</v>
      </c>
      <c r="I236">
        <v>16</v>
      </c>
      <c r="J236" s="54">
        <f t="shared" si="3"/>
        <v>4</v>
      </c>
    </row>
    <row r="237" spans="1:10">
      <c r="A237" s="43">
        <v>42718</v>
      </c>
      <c r="B237">
        <v>2001</v>
      </c>
      <c r="C237">
        <v>1550</v>
      </c>
      <c r="D237">
        <v>236</v>
      </c>
      <c r="E237">
        <v>5990</v>
      </c>
      <c r="F237" t="s">
        <v>59</v>
      </c>
      <c r="G237">
        <v>70</v>
      </c>
      <c r="H237" t="s">
        <v>60</v>
      </c>
      <c r="I237">
        <v>18</v>
      </c>
      <c r="J237" s="54">
        <f t="shared" si="3"/>
        <v>2</v>
      </c>
    </row>
    <row r="238" spans="1:10">
      <c r="A238" s="43">
        <v>42710</v>
      </c>
      <c r="B238">
        <v>2003</v>
      </c>
      <c r="C238">
        <v>1550</v>
      </c>
      <c r="D238">
        <v>237</v>
      </c>
      <c r="E238">
        <v>5400</v>
      </c>
      <c r="F238" t="s">
        <v>59</v>
      </c>
      <c r="G238">
        <v>30</v>
      </c>
      <c r="H238" t="s">
        <v>60</v>
      </c>
      <c r="I238">
        <v>16</v>
      </c>
      <c r="J238" s="54">
        <f t="shared" si="3"/>
        <v>1</v>
      </c>
    </row>
    <row r="239" spans="1:10">
      <c r="A239" s="43">
        <v>42612</v>
      </c>
      <c r="B239">
        <v>2004</v>
      </c>
      <c r="C239">
        <v>1550</v>
      </c>
      <c r="D239">
        <v>238</v>
      </c>
      <c r="E239">
        <v>7000</v>
      </c>
      <c r="F239" t="s">
        <v>59</v>
      </c>
      <c r="G239">
        <v>9</v>
      </c>
      <c r="H239" t="s">
        <v>133</v>
      </c>
      <c r="I239">
        <v>15</v>
      </c>
      <c r="J239" s="54">
        <f t="shared" si="3"/>
        <v>9</v>
      </c>
    </row>
    <row r="240" spans="1:10">
      <c r="A240" s="43">
        <v>42602</v>
      </c>
      <c r="B240">
        <v>2003</v>
      </c>
      <c r="C240">
        <v>1550</v>
      </c>
      <c r="D240">
        <v>239</v>
      </c>
      <c r="E240">
        <v>6950</v>
      </c>
      <c r="F240" t="s">
        <v>59</v>
      </c>
      <c r="G240">
        <v>9</v>
      </c>
      <c r="H240" t="s">
        <v>133</v>
      </c>
      <c r="I240">
        <v>16</v>
      </c>
      <c r="J240" s="54">
        <f t="shared" si="3"/>
        <v>9</v>
      </c>
    </row>
    <row r="241" spans="1:10">
      <c r="A241" s="43">
        <v>42434</v>
      </c>
      <c r="B241">
        <v>2003</v>
      </c>
      <c r="C241">
        <v>1550</v>
      </c>
      <c r="D241">
        <v>240</v>
      </c>
      <c r="E241">
        <v>8250</v>
      </c>
      <c r="F241" t="s">
        <v>59</v>
      </c>
      <c r="G241">
        <v>3</v>
      </c>
      <c r="H241" t="s">
        <v>133</v>
      </c>
      <c r="I241">
        <v>16</v>
      </c>
      <c r="J241" s="54">
        <f t="shared" si="3"/>
        <v>3</v>
      </c>
    </row>
    <row r="242" spans="1:10">
      <c r="A242" s="43">
        <v>42694</v>
      </c>
      <c r="B242">
        <v>2005</v>
      </c>
      <c r="C242">
        <v>1578</v>
      </c>
      <c r="D242">
        <v>241</v>
      </c>
      <c r="E242">
        <v>8400</v>
      </c>
      <c r="F242" t="s">
        <v>59</v>
      </c>
      <c r="G242">
        <v>9</v>
      </c>
      <c r="H242" t="s">
        <v>133</v>
      </c>
      <c r="I242">
        <v>14</v>
      </c>
      <c r="J242" s="54">
        <f t="shared" si="3"/>
        <v>9</v>
      </c>
    </row>
    <row r="243" spans="1:10">
      <c r="A243" s="43">
        <v>42486</v>
      </c>
      <c r="B243">
        <v>2005</v>
      </c>
      <c r="C243">
        <v>1578</v>
      </c>
      <c r="D243">
        <v>242</v>
      </c>
      <c r="E243">
        <v>9850</v>
      </c>
      <c r="F243" t="s">
        <v>59</v>
      </c>
      <c r="G243">
        <v>14</v>
      </c>
      <c r="H243" t="s">
        <v>133</v>
      </c>
      <c r="I243">
        <v>14</v>
      </c>
      <c r="J243" s="54">
        <f t="shared" si="3"/>
        <v>14</v>
      </c>
    </row>
    <row r="244" spans="1:10">
      <c r="A244" s="43">
        <v>42433</v>
      </c>
      <c r="B244">
        <v>2005</v>
      </c>
      <c r="C244">
        <v>1578</v>
      </c>
      <c r="D244">
        <v>243</v>
      </c>
      <c r="E244">
        <v>10100</v>
      </c>
      <c r="F244" t="s">
        <v>59</v>
      </c>
      <c r="G244">
        <v>30</v>
      </c>
      <c r="H244" t="s">
        <v>60</v>
      </c>
      <c r="I244">
        <v>14</v>
      </c>
      <c r="J244" s="54">
        <f t="shared" si="3"/>
        <v>1</v>
      </c>
    </row>
    <row r="245" spans="1:10">
      <c r="A245" s="43">
        <v>43475</v>
      </c>
      <c r="B245">
        <v>2005</v>
      </c>
      <c r="C245">
        <v>1600</v>
      </c>
      <c r="D245">
        <v>244</v>
      </c>
      <c r="E245">
        <v>9000</v>
      </c>
      <c r="F245" t="s">
        <v>59</v>
      </c>
      <c r="G245">
        <v>5</v>
      </c>
      <c r="H245" t="s">
        <v>133</v>
      </c>
      <c r="I245">
        <v>14</v>
      </c>
      <c r="J245" s="54">
        <f t="shared" si="3"/>
        <v>5</v>
      </c>
    </row>
    <row r="246" spans="1:10">
      <c r="A246" s="43">
        <v>42964</v>
      </c>
      <c r="B246">
        <v>2005</v>
      </c>
      <c r="C246">
        <v>1600</v>
      </c>
      <c r="D246">
        <v>245</v>
      </c>
      <c r="E246">
        <v>10200</v>
      </c>
      <c r="F246" t="s">
        <v>59</v>
      </c>
      <c r="G246">
        <v>13</v>
      </c>
      <c r="H246" t="s">
        <v>133</v>
      </c>
      <c r="I246">
        <v>14</v>
      </c>
      <c r="J246" s="54">
        <f t="shared" si="3"/>
        <v>13</v>
      </c>
    </row>
    <row r="247" spans="1:10">
      <c r="A247" s="43">
        <v>43535</v>
      </c>
      <c r="B247">
        <v>2000</v>
      </c>
      <c r="C247">
        <v>1645</v>
      </c>
      <c r="D247">
        <v>246</v>
      </c>
      <c r="E247">
        <v>8725</v>
      </c>
      <c r="F247" t="s">
        <v>59</v>
      </c>
      <c r="G247">
        <v>12</v>
      </c>
      <c r="H247" t="s">
        <v>133</v>
      </c>
      <c r="I247">
        <v>19</v>
      </c>
      <c r="J247" s="54">
        <f t="shared" si="3"/>
        <v>12</v>
      </c>
    </row>
    <row r="248" spans="1:10">
      <c r="A248" s="43">
        <v>43419</v>
      </c>
      <c r="B248">
        <v>2000</v>
      </c>
      <c r="C248">
        <v>1645</v>
      </c>
      <c r="D248">
        <v>247</v>
      </c>
      <c r="E248">
        <v>10750</v>
      </c>
      <c r="F248" t="s">
        <v>59</v>
      </c>
      <c r="G248">
        <v>8</v>
      </c>
      <c r="H248" t="s">
        <v>133</v>
      </c>
      <c r="I248">
        <v>19</v>
      </c>
      <c r="J248" s="54">
        <f t="shared" si="3"/>
        <v>8</v>
      </c>
    </row>
    <row r="249" spans="1:10">
      <c r="A249" s="43">
        <v>42641</v>
      </c>
      <c r="B249">
        <v>2000</v>
      </c>
      <c r="C249">
        <v>1645</v>
      </c>
      <c r="D249">
        <v>248</v>
      </c>
      <c r="E249">
        <v>6750</v>
      </c>
      <c r="F249" t="s">
        <v>59</v>
      </c>
      <c r="G249">
        <v>7</v>
      </c>
      <c r="H249" t="s">
        <v>133</v>
      </c>
      <c r="I249">
        <v>19</v>
      </c>
      <c r="J249" s="54">
        <f t="shared" si="3"/>
        <v>7</v>
      </c>
    </row>
    <row r="250" spans="1:10">
      <c r="A250" s="43">
        <v>42551</v>
      </c>
      <c r="B250">
        <v>2000</v>
      </c>
      <c r="C250">
        <v>1645</v>
      </c>
      <c r="D250">
        <v>249</v>
      </c>
      <c r="E250">
        <v>6800</v>
      </c>
      <c r="F250" t="s">
        <v>59</v>
      </c>
      <c r="G250">
        <v>6</v>
      </c>
      <c r="H250" t="s">
        <v>133</v>
      </c>
      <c r="I250">
        <v>19</v>
      </c>
      <c r="J250" s="54">
        <f t="shared" si="3"/>
        <v>6</v>
      </c>
    </row>
    <row r="251" spans="1:10">
      <c r="A251" s="43">
        <v>42536</v>
      </c>
      <c r="B251">
        <v>2000</v>
      </c>
      <c r="C251">
        <v>1645</v>
      </c>
      <c r="D251">
        <v>250</v>
      </c>
      <c r="E251">
        <v>7250</v>
      </c>
      <c r="F251" t="s">
        <v>59</v>
      </c>
      <c r="G251">
        <v>3</v>
      </c>
      <c r="H251" t="s">
        <v>133</v>
      </c>
      <c r="I251">
        <v>19</v>
      </c>
      <c r="J251" s="54">
        <f t="shared" si="3"/>
        <v>3</v>
      </c>
    </row>
    <row r="252" spans="1:10">
      <c r="A252" s="43">
        <v>43507</v>
      </c>
      <c r="B252">
        <v>2004</v>
      </c>
      <c r="C252">
        <v>1678</v>
      </c>
      <c r="D252">
        <v>251</v>
      </c>
      <c r="E252">
        <v>7500</v>
      </c>
      <c r="F252" t="s">
        <v>59</v>
      </c>
      <c r="G252">
        <v>7</v>
      </c>
      <c r="H252" t="s">
        <v>133</v>
      </c>
      <c r="I252">
        <v>15</v>
      </c>
      <c r="J252" s="54">
        <f t="shared" si="3"/>
        <v>7</v>
      </c>
    </row>
    <row r="253" spans="1:10">
      <c r="A253" s="43">
        <v>43370</v>
      </c>
      <c r="B253">
        <v>2004</v>
      </c>
      <c r="C253">
        <v>1678</v>
      </c>
      <c r="D253">
        <v>252</v>
      </c>
      <c r="E253">
        <v>9500</v>
      </c>
      <c r="F253" t="s">
        <v>59</v>
      </c>
      <c r="G253">
        <v>7</v>
      </c>
      <c r="H253" t="s">
        <v>133</v>
      </c>
      <c r="I253">
        <v>15</v>
      </c>
      <c r="J253" s="54">
        <f t="shared" si="3"/>
        <v>7</v>
      </c>
    </row>
    <row r="254" spans="1:10">
      <c r="A254" s="43">
        <v>43215</v>
      </c>
      <c r="B254">
        <v>2004</v>
      </c>
      <c r="C254">
        <v>1678</v>
      </c>
      <c r="D254">
        <v>253</v>
      </c>
      <c r="E254">
        <v>11250</v>
      </c>
      <c r="F254" t="s">
        <v>59</v>
      </c>
      <c r="G254">
        <v>12</v>
      </c>
      <c r="H254" t="s">
        <v>133</v>
      </c>
      <c r="I254">
        <v>15</v>
      </c>
      <c r="J254" s="54">
        <f t="shared" si="3"/>
        <v>12</v>
      </c>
    </row>
    <row r="255" spans="1:10">
      <c r="A255" s="43">
        <v>43203</v>
      </c>
      <c r="B255">
        <v>2004</v>
      </c>
      <c r="C255">
        <v>1678</v>
      </c>
      <c r="D255">
        <v>254</v>
      </c>
      <c r="E255">
        <v>10650</v>
      </c>
      <c r="F255" t="s">
        <v>59</v>
      </c>
      <c r="G255">
        <v>6</v>
      </c>
      <c r="H255" t="s">
        <v>133</v>
      </c>
      <c r="I255">
        <v>15</v>
      </c>
      <c r="J255" s="54">
        <f t="shared" si="3"/>
        <v>6</v>
      </c>
    </row>
    <row r="256" spans="1:10">
      <c r="A256" s="43">
        <v>43047</v>
      </c>
      <c r="B256">
        <v>2004</v>
      </c>
      <c r="C256">
        <v>1678</v>
      </c>
      <c r="D256">
        <v>255</v>
      </c>
      <c r="E256">
        <v>7750</v>
      </c>
      <c r="F256" t="s">
        <v>59</v>
      </c>
      <c r="G256">
        <v>3</v>
      </c>
      <c r="H256" t="s">
        <v>133</v>
      </c>
      <c r="I256">
        <v>15</v>
      </c>
      <c r="J256" s="54">
        <f t="shared" si="3"/>
        <v>3</v>
      </c>
    </row>
    <row r="257" spans="1:10">
      <c r="A257" s="43">
        <v>42948</v>
      </c>
      <c r="B257">
        <v>2004</v>
      </c>
      <c r="C257">
        <v>1678</v>
      </c>
      <c r="D257">
        <v>256</v>
      </c>
      <c r="E257">
        <v>7000</v>
      </c>
      <c r="F257" t="s">
        <v>59</v>
      </c>
      <c r="G257">
        <v>7</v>
      </c>
      <c r="H257" t="s">
        <v>133</v>
      </c>
      <c r="I257">
        <v>15</v>
      </c>
      <c r="J257" s="54">
        <f t="shared" si="3"/>
        <v>7</v>
      </c>
    </row>
    <row r="258" spans="1:10">
      <c r="A258" s="43">
        <v>42860</v>
      </c>
      <c r="B258">
        <v>2004</v>
      </c>
      <c r="C258">
        <v>1678</v>
      </c>
      <c r="D258">
        <v>257</v>
      </c>
      <c r="E258">
        <v>7750</v>
      </c>
      <c r="F258" t="s">
        <v>59</v>
      </c>
      <c r="G258">
        <v>6</v>
      </c>
      <c r="H258" t="s">
        <v>133</v>
      </c>
      <c r="I258">
        <v>15</v>
      </c>
      <c r="J258" s="54">
        <f t="shared" ref="J258:J321" si="4">IF(H258="days",ROUND(G258/30,0),IF(H258="years",G258*12,G258))</f>
        <v>6</v>
      </c>
    </row>
    <row r="259" spans="1:10">
      <c r="A259" s="43">
        <v>42614</v>
      </c>
      <c r="B259">
        <v>2004</v>
      </c>
      <c r="C259">
        <v>1678</v>
      </c>
      <c r="D259">
        <v>258</v>
      </c>
      <c r="E259">
        <v>6500</v>
      </c>
      <c r="F259" t="s">
        <v>59</v>
      </c>
      <c r="G259">
        <v>8</v>
      </c>
      <c r="H259" t="s">
        <v>133</v>
      </c>
      <c r="I259">
        <v>15</v>
      </c>
      <c r="J259" s="54">
        <f t="shared" si="4"/>
        <v>8</v>
      </c>
    </row>
    <row r="260" spans="1:10">
      <c r="A260" s="43">
        <v>42510</v>
      </c>
      <c r="B260">
        <v>2004</v>
      </c>
      <c r="C260">
        <v>1678</v>
      </c>
      <c r="D260">
        <v>259</v>
      </c>
      <c r="E260">
        <v>7950</v>
      </c>
      <c r="F260" t="s">
        <v>59</v>
      </c>
      <c r="G260">
        <v>4</v>
      </c>
      <c r="H260" t="s">
        <v>133</v>
      </c>
      <c r="I260">
        <v>15</v>
      </c>
      <c r="J260" s="54">
        <f t="shared" si="4"/>
        <v>4</v>
      </c>
    </row>
    <row r="261" spans="1:10">
      <c r="A261" s="43">
        <v>42401</v>
      </c>
      <c r="B261">
        <v>2004</v>
      </c>
      <c r="C261">
        <v>1678</v>
      </c>
      <c r="D261">
        <v>260</v>
      </c>
      <c r="E261">
        <v>7300</v>
      </c>
      <c r="F261" t="s">
        <v>59</v>
      </c>
      <c r="G261">
        <v>8</v>
      </c>
      <c r="H261" t="s">
        <v>133</v>
      </c>
      <c r="I261">
        <v>15</v>
      </c>
      <c r="J261" s="54">
        <f t="shared" si="4"/>
        <v>8</v>
      </c>
    </row>
    <row r="262" spans="1:10">
      <c r="A262" s="43">
        <v>42381</v>
      </c>
      <c r="B262">
        <v>2004</v>
      </c>
      <c r="C262">
        <v>1678</v>
      </c>
      <c r="D262">
        <v>261</v>
      </c>
      <c r="E262">
        <v>7200</v>
      </c>
      <c r="F262" t="s">
        <v>59</v>
      </c>
      <c r="G262">
        <v>5</v>
      </c>
      <c r="H262" t="s">
        <v>133</v>
      </c>
      <c r="I262">
        <v>15</v>
      </c>
      <c r="J262" s="54">
        <f t="shared" si="4"/>
        <v>5</v>
      </c>
    </row>
    <row r="263" spans="1:10">
      <c r="A263" s="43">
        <v>43451</v>
      </c>
      <c r="B263">
        <v>2000</v>
      </c>
      <c r="C263">
        <v>1679</v>
      </c>
      <c r="D263">
        <v>262</v>
      </c>
      <c r="E263">
        <v>7500</v>
      </c>
      <c r="F263" t="s">
        <v>59</v>
      </c>
      <c r="G263">
        <v>12</v>
      </c>
      <c r="H263" t="s">
        <v>133</v>
      </c>
      <c r="I263">
        <v>19</v>
      </c>
      <c r="J263" s="54">
        <f t="shared" si="4"/>
        <v>12</v>
      </c>
    </row>
    <row r="264" spans="1:10">
      <c r="A264" s="43">
        <v>43409</v>
      </c>
      <c r="B264">
        <v>2001</v>
      </c>
      <c r="C264">
        <v>1679</v>
      </c>
      <c r="D264">
        <v>263</v>
      </c>
      <c r="E264">
        <v>8900</v>
      </c>
      <c r="F264" t="s">
        <v>59</v>
      </c>
      <c r="G264">
        <v>150</v>
      </c>
      <c r="H264" t="s">
        <v>60</v>
      </c>
      <c r="I264">
        <v>18</v>
      </c>
      <c r="J264" s="54">
        <f t="shared" si="4"/>
        <v>5</v>
      </c>
    </row>
    <row r="265" spans="1:10">
      <c r="A265" s="43">
        <v>43251</v>
      </c>
      <c r="B265">
        <v>2001</v>
      </c>
      <c r="C265">
        <v>1679</v>
      </c>
      <c r="D265">
        <v>264</v>
      </c>
      <c r="E265">
        <v>12200</v>
      </c>
      <c r="F265" t="s">
        <v>59</v>
      </c>
      <c r="G265">
        <v>6</v>
      </c>
      <c r="H265" t="s">
        <v>133</v>
      </c>
      <c r="I265">
        <v>18</v>
      </c>
      <c r="J265" s="54">
        <f t="shared" si="4"/>
        <v>6</v>
      </c>
    </row>
    <row r="266" spans="1:10">
      <c r="A266" s="43">
        <v>43028</v>
      </c>
      <c r="B266">
        <v>2000</v>
      </c>
      <c r="C266">
        <v>1679</v>
      </c>
      <c r="D266">
        <v>265</v>
      </c>
      <c r="E266">
        <v>8325</v>
      </c>
      <c r="F266" t="s">
        <v>59</v>
      </c>
      <c r="G266">
        <v>7</v>
      </c>
      <c r="H266" t="s">
        <v>133</v>
      </c>
      <c r="I266">
        <v>19</v>
      </c>
      <c r="J266" s="54">
        <f t="shared" si="4"/>
        <v>7</v>
      </c>
    </row>
    <row r="267" spans="1:10">
      <c r="A267" s="43">
        <v>43004</v>
      </c>
      <c r="B267">
        <v>2001</v>
      </c>
      <c r="C267">
        <v>1679</v>
      </c>
      <c r="D267">
        <v>266</v>
      </c>
      <c r="E267">
        <v>8300</v>
      </c>
      <c r="F267" t="s">
        <v>59</v>
      </c>
      <c r="G267">
        <v>7</v>
      </c>
      <c r="H267" t="s">
        <v>133</v>
      </c>
      <c r="I267">
        <v>18</v>
      </c>
      <c r="J267" s="54">
        <f t="shared" si="4"/>
        <v>7</v>
      </c>
    </row>
    <row r="268" spans="1:10">
      <c r="A268" s="43">
        <v>42914</v>
      </c>
      <c r="B268">
        <v>2001</v>
      </c>
      <c r="C268">
        <v>1679</v>
      </c>
      <c r="D268">
        <v>267</v>
      </c>
      <c r="E268">
        <v>7000</v>
      </c>
      <c r="F268" t="s">
        <v>59</v>
      </c>
      <c r="G268">
        <v>5</v>
      </c>
      <c r="H268" t="s">
        <v>133</v>
      </c>
      <c r="I268">
        <v>18</v>
      </c>
      <c r="J268" s="54">
        <f t="shared" si="4"/>
        <v>5</v>
      </c>
    </row>
    <row r="269" spans="1:10">
      <c r="A269" s="43">
        <v>42845</v>
      </c>
      <c r="B269">
        <v>2000</v>
      </c>
      <c r="C269">
        <v>1679</v>
      </c>
      <c r="D269">
        <v>268</v>
      </c>
      <c r="E269">
        <v>7700</v>
      </c>
      <c r="F269" t="s">
        <v>59</v>
      </c>
      <c r="G269">
        <v>6</v>
      </c>
      <c r="H269" t="s">
        <v>133</v>
      </c>
      <c r="I269">
        <v>19</v>
      </c>
      <c r="J269" s="54">
        <f t="shared" si="4"/>
        <v>6</v>
      </c>
    </row>
    <row r="270" spans="1:10">
      <c r="A270" s="43">
        <v>42761</v>
      </c>
      <c r="B270">
        <v>2001</v>
      </c>
      <c r="C270">
        <v>1679</v>
      </c>
      <c r="D270">
        <v>269</v>
      </c>
      <c r="E270">
        <v>7100</v>
      </c>
      <c r="F270" t="s">
        <v>59</v>
      </c>
      <c r="G270">
        <v>5</v>
      </c>
      <c r="H270" t="s">
        <v>133</v>
      </c>
      <c r="I270">
        <v>18</v>
      </c>
      <c r="J270" s="54">
        <f t="shared" si="4"/>
        <v>5</v>
      </c>
    </row>
    <row r="271" spans="1:10">
      <c r="A271" s="43">
        <v>42702</v>
      </c>
      <c r="B271">
        <v>2000</v>
      </c>
      <c r="C271">
        <v>1679</v>
      </c>
      <c r="D271">
        <v>270</v>
      </c>
      <c r="E271">
        <v>6800</v>
      </c>
      <c r="F271" t="s">
        <v>59</v>
      </c>
      <c r="G271">
        <v>6</v>
      </c>
      <c r="H271" t="s">
        <v>133</v>
      </c>
      <c r="I271">
        <v>19</v>
      </c>
      <c r="J271" s="54">
        <f t="shared" si="4"/>
        <v>6</v>
      </c>
    </row>
    <row r="272" spans="1:10">
      <c r="A272" s="43">
        <v>42633</v>
      </c>
      <c r="B272">
        <v>2001</v>
      </c>
      <c r="C272">
        <v>1679</v>
      </c>
      <c r="D272">
        <v>271</v>
      </c>
      <c r="E272">
        <v>7150</v>
      </c>
      <c r="F272" t="s">
        <v>59</v>
      </c>
      <c r="G272">
        <v>7</v>
      </c>
      <c r="H272" t="s">
        <v>133</v>
      </c>
      <c r="I272">
        <v>18</v>
      </c>
      <c r="J272" s="54">
        <f t="shared" si="4"/>
        <v>7</v>
      </c>
    </row>
    <row r="273" spans="1:10">
      <c r="A273" s="43">
        <v>42551</v>
      </c>
      <c r="B273">
        <v>2001</v>
      </c>
      <c r="C273">
        <v>1679</v>
      </c>
      <c r="D273">
        <v>272</v>
      </c>
      <c r="E273">
        <v>6800</v>
      </c>
      <c r="F273" t="s">
        <v>59</v>
      </c>
      <c r="G273">
        <v>4</v>
      </c>
      <c r="H273" t="s">
        <v>133</v>
      </c>
      <c r="I273">
        <v>18</v>
      </c>
      <c r="J273" s="54">
        <f t="shared" si="4"/>
        <v>4</v>
      </c>
    </row>
    <row r="274" spans="1:10">
      <c r="A274" s="43">
        <v>42542</v>
      </c>
      <c r="B274">
        <v>2000</v>
      </c>
      <c r="C274">
        <v>1679</v>
      </c>
      <c r="D274">
        <v>273</v>
      </c>
      <c r="E274">
        <v>7250</v>
      </c>
      <c r="F274" t="s">
        <v>59</v>
      </c>
      <c r="G274">
        <v>6</v>
      </c>
      <c r="H274" t="s">
        <v>133</v>
      </c>
      <c r="I274">
        <v>19</v>
      </c>
      <c r="J274" s="54">
        <f t="shared" si="4"/>
        <v>6</v>
      </c>
    </row>
    <row r="275" spans="1:10">
      <c r="A275" s="43">
        <v>42450</v>
      </c>
      <c r="B275">
        <v>2001</v>
      </c>
      <c r="C275">
        <v>1679</v>
      </c>
      <c r="D275">
        <v>274</v>
      </c>
      <c r="E275">
        <v>7500</v>
      </c>
      <c r="F275" t="s">
        <v>59</v>
      </c>
      <c r="G275">
        <v>4</v>
      </c>
      <c r="H275" t="s">
        <v>133</v>
      </c>
      <c r="I275">
        <v>18</v>
      </c>
      <c r="J275" s="54">
        <f t="shared" si="4"/>
        <v>4</v>
      </c>
    </row>
    <row r="276" spans="1:10">
      <c r="A276" s="43">
        <v>42436</v>
      </c>
      <c r="B276">
        <v>2000</v>
      </c>
      <c r="C276">
        <v>1679</v>
      </c>
      <c r="D276">
        <v>275</v>
      </c>
      <c r="E276">
        <v>7400</v>
      </c>
      <c r="F276" t="s">
        <v>59</v>
      </c>
      <c r="G276">
        <v>7</v>
      </c>
      <c r="H276" t="s">
        <v>133</v>
      </c>
      <c r="I276">
        <v>19</v>
      </c>
      <c r="J276" s="54">
        <f t="shared" si="4"/>
        <v>7</v>
      </c>
    </row>
    <row r="277" spans="1:10">
      <c r="A277" s="43">
        <v>42430</v>
      </c>
      <c r="B277">
        <v>2000</v>
      </c>
      <c r="C277">
        <v>1679</v>
      </c>
      <c r="D277">
        <v>276</v>
      </c>
      <c r="E277">
        <v>7250</v>
      </c>
      <c r="F277" t="s">
        <v>59</v>
      </c>
      <c r="G277">
        <v>7</v>
      </c>
      <c r="H277" t="s">
        <v>133</v>
      </c>
      <c r="I277">
        <v>19</v>
      </c>
      <c r="J277" s="54">
        <f t="shared" si="4"/>
        <v>7</v>
      </c>
    </row>
    <row r="278" spans="1:10">
      <c r="A278" s="43">
        <v>43607</v>
      </c>
      <c r="B278">
        <v>2000</v>
      </c>
      <c r="C278">
        <v>1702</v>
      </c>
      <c r="D278">
        <v>277</v>
      </c>
      <c r="E278">
        <v>8600</v>
      </c>
      <c r="F278" t="s">
        <v>59</v>
      </c>
      <c r="G278">
        <v>5</v>
      </c>
      <c r="H278" t="s">
        <v>133</v>
      </c>
      <c r="I278">
        <v>19</v>
      </c>
      <c r="J278" s="54">
        <f t="shared" si="4"/>
        <v>5</v>
      </c>
    </row>
    <row r="279" spans="1:10">
      <c r="A279" s="43">
        <v>43537</v>
      </c>
      <c r="B279">
        <v>2000</v>
      </c>
      <c r="C279">
        <v>1702</v>
      </c>
      <c r="D279">
        <v>278</v>
      </c>
      <c r="E279">
        <v>7350</v>
      </c>
      <c r="F279" t="s">
        <v>59</v>
      </c>
      <c r="G279">
        <v>3</v>
      </c>
      <c r="H279" t="s">
        <v>133</v>
      </c>
      <c r="I279">
        <v>19</v>
      </c>
      <c r="J279" s="54">
        <f t="shared" si="4"/>
        <v>3</v>
      </c>
    </row>
    <row r="280" spans="1:10">
      <c r="A280" s="43">
        <v>43146</v>
      </c>
      <c r="B280">
        <v>2000</v>
      </c>
      <c r="C280">
        <v>1702</v>
      </c>
      <c r="D280">
        <v>279</v>
      </c>
      <c r="E280">
        <v>9500</v>
      </c>
      <c r="F280" t="s">
        <v>59</v>
      </c>
      <c r="G280">
        <v>12</v>
      </c>
      <c r="H280" t="s">
        <v>133</v>
      </c>
      <c r="I280">
        <v>19</v>
      </c>
      <c r="J280" s="54">
        <f t="shared" si="4"/>
        <v>12</v>
      </c>
    </row>
    <row r="281" spans="1:10">
      <c r="A281" s="43">
        <v>42914</v>
      </c>
      <c r="B281">
        <v>2000</v>
      </c>
      <c r="C281">
        <v>1702</v>
      </c>
      <c r="D281">
        <v>280</v>
      </c>
      <c r="E281">
        <v>7750</v>
      </c>
      <c r="F281" t="s">
        <v>59</v>
      </c>
      <c r="G281">
        <v>7</v>
      </c>
      <c r="H281" t="s">
        <v>133</v>
      </c>
      <c r="I281">
        <v>19</v>
      </c>
      <c r="J281" s="54">
        <f t="shared" si="4"/>
        <v>7</v>
      </c>
    </row>
    <row r="282" spans="1:10">
      <c r="A282" s="43">
        <v>42795</v>
      </c>
      <c r="B282">
        <v>2000</v>
      </c>
      <c r="C282">
        <v>1702</v>
      </c>
      <c r="D282">
        <v>281</v>
      </c>
      <c r="E282">
        <v>6575</v>
      </c>
      <c r="F282" t="s">
        <v>59</v>
      </c>
      <c r="G282">
        <v>3</v>
      </c>
      <c r="H282" t="s">
        <v>133</v>
      </c>
      <c r="I282">
        <v>19</v>
      </c>
      <c r="J282" s="54">
        <f t="shared" si="4"/>
        <v>3</v>
      </c>
    </row>
    <row r="283" spans="1:10">
      <c r="A283" s="43">
        <v>42618</v>
      </c>
      <c r="B283">
        <v>2000</v>
      </c>
      <c r="C283">
        <v>1702</v>
      </c>
      <c r="D283">
        <v>282</v>
      </c>
      <c r="E283">
        <v>6750</v>
      </c>
      <c r="F283" t="s">
        <v>59</v>
      </c>
      <c r="G283">
        <v>6</v>
      </c>
      <c r="H283" t="s">
        <v>133</v>
      </c>
      <c r="I283">
        <v>19</v>
      </c>
      <c r="J283" s="54">
        <f t="shared" si="4"/>
        <v>6</v>
      </c>
    </row>
    <row r="284" spans="1:10">
      <c r="A284" s="43">
        <v>43510</v>
      </c>
      <c r="B284">
        <v>2000</v>
      </c>
      <c r="C284">
        <v>1714</v>
      </c>
      <c r="D284">
        <v>283</v>
      </c>
      <c r="E284">
        <v>7250</v>
      </c>
      <c r="F284" t="s">
        <v>59</v>
      </c>
      <c r="G284">
        <v>4</v>
      </c>
      <c r="H284" t="s">
        <v>133</v>
      </c>
      <c r="I284">
        <v>19</v>
      </c>
      <c r="J284" s="54">
        <f t="shared" si="4"/>
        <v>4</v>
      </c>
    </row>
    <row r="285" spans="1:10">
      <c r="A285" s="43">
        <v>43313</v>
      </c>
      <c r="B285">
        <v>2000</v>
      </c>
      <c r="C285">
        <v>1714</v>
      </c>
      <c r="D285">
        <v>284</v>
      </c>
      <c r="E285">
        <v>10000</v>
      </c>
      <c r="F285" t="s">
        <v>59</v>
      </c>
      <c r="G285">
        <v>6</v>
      </c>
      <c r="H285" t="s">
        <v>133</v>
      </c>
      <c r="I285">
        <v>19</v>
      </c>
      <c r="J285" s="54">
        <f t="shared" si="4"/>
        <v>6</v>
      </c>
    </row>
    <row r="286" spans="1:10">
      <c r="A286" s="43">
        <v>43026</v>
      </c>
      <c r="B286">
        <v>2000</v>
      </c>
      <c r="C286">
        <v>1714</v>
      </c>
      <c r="D286">
        <v>285</v>
      </c>
      <c r="E286">
        <v>7900</v>
      </c>
      <c r="F286" t="s">
        <v>59</v>
      </c>
      <c r="G286">
        <v>10</v>
      </c>
      <c r="H286" t="s">
        <v>133</v>
      </c>
      <c r="I286">
        <v>19</v>
      </c>
      <c r="J286" s="54">
        <f t="shared" si="4"/>
        <v>10</v>
      </c>
    </row>
    <row r="287" spans="1:10">
      <c r="A287" s="43">
        <v>42644</v>
      </c>
      <c r="B287">
        <v>2000</v>
      </c>
      <c r="C287">
        <v>1714</v>
      </c>
      <c r="D287">
        <v>286</v>
      </c>
      <c r="E287">
        <v>6700</v>
      </c>
      <c r="F287" t="s">
        <v>59</v>
      </c>
      <c r="G287">
        <v>12</v>
      </c>
      <c r="H287" t="s">
        <v>133</v>
      </c>
      <c r="I287">
        <v>19</v>
      </c>
      <c r="J287" s="54">
        <f t="shared" si="4"/>
        <v>12</v>
      </c>
    </row>
    <row r="288" spans="1:10">
      <c r="A288" s="43">
        <v>42417</v>
      </c>
      <c r="B288">
        <v>2000</v>
      </c>
      <c r="C288">
        <v>1714</v>
      </c>
      <c r="D288">
        <v>287</v>
      </c>
      <c r="E288">
        <v>7250</v>
      </c>
      <c r="F288" t="s">
        <v>59</v>
      </c>
      <c r="G288">
        <v>12</v>
      </c>
      <c r="H288" t="s">
        <v>133</v>
      </c>
      <c r="I288">
        <v>19</v>
      </c>
      <c r="J288" s="54">
        <f t="shared" si="4"/>
        <v>12</v>
      </c>
    </row>
    <row r="289" spans="1:10">
      <c r="A289" s="43">
        <v>43510</v>
      </c>
      <c r="B289">
        <v>2002</v>
      </c>
      <c r="C289">
        <v>1718</v>
      </c>
      <c r="D289">
        <v>288</v>
      </c>
      <c r="E289">
        <v>7100</v>
      </c>
      <c r="F289" t="s">
        <v>59</v>
      </c>
      <c r="G289">
        <v>6</v>
      </c>
      <c r="H289" t="s">
        <v>133</v>
      </c>
      <c r="I289">
        <v>17</v>
      </c>
      <c r="J289" s="54">
        <f t="shared" si="4"/>
        <v>6</v>
      </c>
    </row>
    <row r="290" spans="1:10">
      <c r="A290" s="43">
        <v>43378</v>
      </c>
      <c r="B290">
        <v>2002</v>
      </c>
      <c r="C290">
        <v>1718</v>
      </c>
      <c r="D290">
        <v>289</v>
      </c>
      <c r="E290">
        <v>9250</v>
      </c>
      <c r="F290" t="s">
        <v>59</v>
      </c>
      <c r="G290">
        <v>90</v>
      </c>
      <c r="H290" t="s">
        <v>60</v>
      </c>
      <c r="I290">
        <v>17</v>
      </c>
      <c r="J290" s="54">
        <f t="shared" si="4"/>
        <v>3</v>
      </c>
    </row>
    <row r="291" spans="1:10">
      <c r="A291" s="43">
        <v>43270</v>
      </c>
      <c r="B291">
        <v>2002</v>
      </c>
      <c r="C291">
        <v>1718</v>
      </c>
      <c r="D291">
        <v>290</v>
      </c>
      <c r="E291">
        <v>10500</v>
      </c>
      <c r="F291" t="s">
        <v>59</v>
      </c>
      <c r="G291">
        <v>5</v>
      </c>
      <c r="H291" t="s">
        <v>133</v>
      </c>
      <c r="I291">
        <v>17</v>
      </c>
      <c r="J291" s="54">
        <f t="shared" si="4"/>
        <v>5</v>
      </c>
    </row>
    <row r="292" spans="1:10">
      <c r="A292" s="43">
        <v>43038</v>
      </c>
      <c r="B292">
        <v>2002</v>
      </c>
      <c r="C292">
        <v>1718</v>
      </c>
      <c r="D292">
        <v>291</v>
      </c>
      <c r="E292">
        <v>7950</v>
      </c>
      <c r="F292" t="s">
        <v>59</v>
      </c>
      <c r="G292">
        <v>8</v>
      </c>
      <c r="H292" t="s">
        <v>133</v>
      </c>
      <c r="I292">
        <v>17</v>
      </c>
      <c r="J292" s="54">
        <f t="shared" si="4"/>
        <v>8</v>
      </c>
    </row>
    <row r="293" spans="1:10">
      <c r="A293" s="43">
        <v>42871</v>
      </c>
      <c r="B293">
        <v>2002</v>
      </c>
      <c r="C293">
        <v>1718</v>
      </c>
      <c r="D293">
        <v>292</v>
      </c>
      <c r="E293">
        <v>6500</v>
      </c>
      <c r="F293" t="s">
        <v>59</v>
      </c>
      <c r="G293">
        <v>2</v>
      </c>
      <c r="H293" t="s">
        <v>133</v>
      </c>
      <c r="I293">
        <v>17</v>
      </c>
      <c r="J293" s="54">
        <f t="shared" si="4"/>
        <v>2</v>
      </c>
    </row>
    <row r="294" spans="1:10">
      <c r="A294" s="43">
        <v>42710</v>
      </c>
      <c r="B294">
        <v>2002</v>
      </c>
      <c r="C294">
        <v>1718</v>
      </c>
      <c r="D294">
        <v>293</v>
      </c>
      <c r="E294">
        <v>6750</v>
      </c>
      <c r="F294" t="s">
        <v>59</v>
      </c>
      <c r="G294">
        <v>30</v>
      </c>
      <c r="H294" t="s">
        <v>60</v>
      </c>
      <c r="I294">
        <v>17</v>
      </c>
      <c r="J294" s="54">
        <f t="shared" si="4"/>
        <v>1</v>
      </c>
    </row>
    <row r="295" spans="1:10">
      <c r="A295" s="43">
        <v>42583</v>
      </c>
      <c r="B295">
        <v>2002</v>
      </c>
      <c r="C295">
        <v>1718</v>
      </c>
      <c r="D295">
        <v>294</v>
      </c>
      <c r="E295">
        <v>6750</v>
      </c>
      <c r="F295" t="s">
        <v>59</v>
      </c>
      <c r="G295">
        <v>5</v>
      </c>
      <c r="H295" t="s">
        <v>133</v>
      </c>
      <c r="I295">
        <v>17</v>
      </c>
      <c r="J295" s="54">
        <f t="shared" si="4"/>
        <v>5</v>
      </c>
    </row>
    <row r="296" spans="1:10">
      <c r="A296" s="43">
        <v>43627</v>
      </c>
      <c r="B296">
        <v>2002</v>
      </c>
      <c r="C296">
        <v>1719</v>
      </c>
      <c r="D296">
        <v>295</v>
      </c>
      <c r="E296">
        <v>9100</v>
      </c>
      <c r="F296" t="s">
        <v>59</v>
      </c>
      <c r="G296">
        <v>30</v>
      </c>
      <c r="H296" t="s">
        <v>60</v>
      </c>
      <c r="I296">
        <v>17</v>
      </c>
      <c r="J296" s="54">
        <f t="shared" si="4"/>
        <v>1</v>
      </c>
    </row>
    <row r="297" spans="1:10">
      <c r="A297" s="43">
        <v>43601</v>
      </c>
      <c r="B297">
        <v>2002</v>
      </c>
      <c r="C297">
        <v>1719</v>
      </c>
      <c r="D297">
        <v>296</v>
      </c>
      <c r="E297">
        <v>8700</v>
      </c>
      <c r="F297" t="s">
        <v>59</v>
      </c>
      <c r="G297">
        <v>30</v>
      </c>
      <c r="H297" t="s">
        <v>60</v>
      </c>
      <c r="I297">
        <v>17</v>
      </c>
      <c r="J297" s="54">
        <f t="shared" si="4"/>
        <v>1</v>
      </c>
    </row>
    <row r="298" spans="1:10">
      <c r="A298" s="43">
        <v>43556</v>
      </c>
      <c r="B298">
        <v>2002</v>
      </c>
      <c r="C298">
        <v>1719</v>
      </c>
      <c r="D298">
        <v>297</v>
      </c>
      <c r="E298">
        <v>7850</v>
      </c>
      <c r="F298" t="s">
        <v>59</v>
      </c>
      <c r="G298">
        <v>12</v>
      </c>
      <c r="H298" t="s">
        <v>133</v>
      </c>
      <c r="I298">
        <v>17</v>
      </c>
      <c r="J298" s="54">
        <f t="shared" si="4"/>
        <v>12</v>
      </c>
    </row>
    <row r="299" spans="1:10">
      <c r="A299" s="43">
        <v>43523</v>
      </c>
      <c r="B299">
        <v>2002</v>
      </c>
      <c r="C299">
        <v>1719</v>
      </c>
      <c r="D299">
        <v>298</v>
      </c>
      <c r="E299">
        <v>8000</v>
      </c>
      <c r="F299" t="s">
        <v>59</v>
      </c>
      <c r="G299">
        <v>4</v>
      </c>
      <c r="H299" t="s">
        <v>133</v>
      </c>
      <c r="I299">
        <v>17</v>
      </c>
      <c r="J299" s="54">
        <f t="shared" si="4"/>
        <v>4</v>
      </c>
    </row>
    <row r="300" spans="1:10">
      <c r="A300" s="43">
        <v>43437</v>
      </c>
      <c r="B300">
        <v>2002</v>
      </c>
      <c r="C300">
        <v>1719</v>
      </c>
      <c r="D300">
        <v>299</v>
      </c>
      <c r="E300">
        <v>6800</v>
      </c>
      <c r="F300" t="s">
        <v>59</v>
      </c>
      <c r="G300">
        <v>35</v>
      </c>
      <c r="H300" t="s">
        <v>60</v>
      </c>
      <c r="I300">
        <v>17</v>
      </c>
      <c r="J300" s="54">
        <f t="shared" si="4"/>
        <v>1</v>
      </c>
    </row>
    <row r="301" spans="1:10">
      <c r="A301" s="43">
        <v>43397</v>
      </c>
      <c r="B301">
        <v>2001</v>
      </c>
      <c r="C301">
        <v>1719</v>
      </c>
      <c r="D301">
        <v>300</v>
      </c>
      <c r="E301">
        <v>9500</v>
      </c>
      <c r="F301" t="s">
        <v>59</v>
      </c>
      <c r="G301">
        <v>6</v>
      </c>
      <c r="H301" t="s">
        <v>133</v>
      </c>
      <c r="I301">
        <v>18</v>
      </c>
      <c r="J301" s="54">
        <f t="shared" si="4"/>
        <v>6</v>
      </c>
    </row>
    <row r="302" spans="1:10">
      <c r="A302" s="43">
        <v>43397</v>
      </c>
      <c r="B302">
        <v>2002</v>
      </c>
      <c r="C302">
        <v>1719</v>
      </c>
      <c r="D302">
        <v>301</v>
      </c>
      <c r="E302">
        <v>9500</v>
      </c>
      <c r="F302" t="s">
        <v>59</v>
      </c>
      <c r="G302">
        <v>6</v>
      </c>
      <c r="H302" t="s">
        <v>133</v>
      </c>
      <c r="I302">
        <v>17</v>
      </c>
      <c r="J302" s="54">
        <f t="shared" si="4"/>
        <v>6</v>
      </c>
    </row>
    <row r="303" spans="1:10">
      <c r="A303" s="43">
        <v>43294</v>
      </c>
      <c r="B303">
        <v>2001</v>
      </c>
      <c r="C303">
        <v>1719</v>
      </c>
      <c r="D303">
        <v>302</v>
      </c>
      <c r="E303">
        <v>10500</v>
      </c>
      <c r="F303" t="s">
        <v>59</v>
      </c>
      <c r="G303">
        <v>3</v>
      </c>
      <c r="H303" t="s">
        <v>133</v>
      </c>
      <c r="I303">
        <v>18</v>
      </c>
      <c r="J303" s="54">
        <f t="shared" si="4"/>
        <v>3</v>
      </c>
    </row>
    <row r="304" spans="1:10">
      <c r="A304" s="43">
        <v>42872</v>
      </c>
      <c r="B304">
        <v>2002</v>
      </c>
      <c r="C304">
        <v>1719</v>
      </c>
      <c r="D304">
        <v>303</v>
      </c>
      <c r="E304">
        <v>7500</v>
      </c>
      <c r="F304" t="s">
        <v>59</v>
      </c>
      <c r="G304">
        <v>42</v>
      </c>
      <c r="H304" t="s">
        <v>60</v>
      </c>
      <c r="I304">
        <v>17</v>
      </c>
      <c r="J304" s="54">
        <f t="shared" si="4"/>
        <v>1</v>
      </c>
    </row>
    <row r="305" spans="1:10">
      <c r="A305" s="43">
        <v>43507</v>
      </c>
      <c r="B305">
        <v>2002</v>
      </c>
      <c r="C305">
        <v>1726</v>
      </c>
      <c r="D305">
        <v>304</v>
      </c>
      <c r="E305">
        <v>7000</v>
      </c>
      <c r="F305" t="s">
        <v>59</v>
      </c>
      <c r="G305">
        <v>9</v>
      </c>
      <c r="H305" t="s">
        <v>133</v>
      </c>
      <c r="I305">
        <v>17</v>
      </c>
      <c r="J305" s="54">
        <f t="shared" si="4"/>
        <v>9</v>
      </c>
    </row>
    <row r="306" spans="1:10">
      <c r="A306" s="43">
        <v>43308</v>
      </c>
      <c r="B306">
        <v>2001</v>
      </c>
      <c r="C306">
        <v>1726</v>
      </c>
      <c r="D306">
        <v>305</v>
      </c>
      <c r="E306">
        <v>9850</v>
      </c>
      <c r="F306" t="s">
        <v>59</v>
      </c>
      <c r="G306">
        <v>8</v>
      </c>
      <c r="H306" t="s">
        <v>133</v>
      </c>
      <c r="I306">
        <v>18</v>
      </c>
      <c r="J306" s="54">
        <f t="shared" si="4"/>
        <v>8</v>
      </c>
    </row>
    <row r="307" spans="1:10">
      <c r="A307" s="43">
        <v>43272</v>
      </c>
      <c r="B307">
        <v>2002</v>
      </c>
      <c r="C307">
        <v>1726</v>
      </c>
      <c r="D307">
        <v>306</v>
      </c>
      <c r="E307">
        <v>10950</v>
      </c>
      <c r="F307" t="s">
        <v>59</v>
      </c>
      <c r="G307">
        <v>9</v>
      </c>
      <c r="H307" t="s">
        <v>133</v>
      </c>
      <c r="I307">
        <v>17</v>
      </c>
      <c r="J307" s="54">
        <f t="shared" si="4"/>
        <v>9</v>
      </c>
    </row>
    <row r="308" spans="1:10">
      <c r="A308" s="43">
        <v>42984</v>
      </c>
      <c r="B308">
        <v>2001</v>
      </c>
      <c r="C308">
        <v>1726</v>
      </c>
      <c r="D308">
        <v>307</v>
      </c>
      <c r="E308">
        <v>6950</v>
      </c>
      <c r="F308" t="s">
        <v>59</v>
      </c>
      <c r="G308">
        <v>11</v>
      </c>
      <c r="H308" t="s">
        <v>133</v>
      </c>
      <c r="I308">
        <v>18</v>
      </c>
      <c r="J308" s="54">
        <f t="shared" si="4"/>
        <v>11</v>
      </c>
    </row>
    <row r="309" spans="1:10">
      <c r="A309" s="43">
        <v>42781</v>
      </c>
      <c r="B309">
        <v>2002</v>
      </c>
      <c r="C309">
        <v>1726</v>
      </c>
      <c r="D309">
        <v>308</v>
      </c>
      <c r="E309">
        <v>6000</v>
      </c>
      <c r="F309" t="s">
        <v>59</v>
      </c>
      <c r="G309">
        <v>7</v>
      </c>
      <c r="H309" t="s">
        <v>133</v>
      </c>
      <c r="I309">
        <v>17</v>
      </c>
      <c r="J309" s="54">
        <f t="shared" si="4"/>
        <v>7</v>
      </c>
    </row>
    <row r="310" spans="1:10">
      <c r="A310" s="43">
        <v>42760</v>
      </c>
      <c r="B310">
        <v>2002</v>
      </c>
      <c r="C310">
        <v>1726</v>
      </c>
      <c r="D310">
        <v>309</v>
      </c>
      <c r="E310">
        <v>6300</v>
      </c>
      <c r="F310" t="s">
        <v>59</v>
      </c>
      <c r="G310">
        <v>90</v>
      </c>
      <c r="H310" t="s">
        <v>60</v>
      </c>
      <c r="I310">
        <v>17</v>
      </c>
      <c r="J310" s="54">
        <f t="shared" si="4"/>
        <v>3</v>
      </c>
    </row>
    <row r="311" spans="1:10">
      <c r="A311" s="43">
        <v>42670</v>
      </c>
      <c r="B311">
        <v>2001</v>
      </c>
      <c r="C311">
        <v>1726</v>
      </c>
      <c r="D311">
        <v>310</v>
      </c>
      <c r="E311">
        <v>6000</v>
      </c>
      <c r="F311" t="s">
        <v>59</v>
      </c>
      <c r="G311">
        <v>10</v>
      </c>
      <c r="H311" t="s">
        <v>133</v>
      </c>
      <c r="I311">
        <v>18</v>
      </c>
      <c r="J311" s="54">
        <f t="shared" si="4"/>
        <v>10</v>
      </c>
    </row>
    <row r="312" spans="1:10">
      <c r="A312" s="43">
        <v>42640</v>
      </c>
      <c r="B312">
        <v>2002</v>
      </c>
      <c r="C312">
        <v>1726</v>
      </c>
      <c r="D312">
        <v>311</v>
      </c>
      <c r="E312">
        <v>6500</v>
      </c>
      <c r="F312" t="s">
        <v>59</v>
      </c>
      <c r="G312">
        <v>3</v>
      </c>
      <c r="H312" t="s">
        <v>133</v>
      </c>
      <c r="I312">
        <v>17</v>
      </c>
      <c r="J312" s="54">
        <f t="shared" si="4"/>
        <v>3</v>
      </c>
    </row>
    <row r="313" spans="1:10">
      <c r="A313" s="43">
        <v>42503</v>
      </c>
      <c r="B313">
        <v>2001</v>
      </c>
      <c r="C313">
        <v>1726</v>
      </c>
      <c r="D313">
        <v>312</v>
      </c>
      <c r="E313">
        <v>6200</v>
      </c>
      <c r="F313" t="s">
        <v>59</v>
      </c>
      <c r="G313">
        <v>10</v>
      </c>
      <c r="H313" t="s">
        <v>133</v>
      </c>
      <c r="I313">
        <v>18</v>
      </c>
      <c r="J313" s="54">
        <f t="shared" si="4"/>
        <v>10</v>
      </c>
    </row>
    <row r="314" spans="1:10">
      <c r="A314" s="43">
        <v>42493</v>
      </c>
      <c r="B314">
        <v>2002</v>
      </c>
      <c r="C314">
        <v>1726</v>
      </c>
      <c r="D314">
        <v>313</v>
      </c>
      <c r="E314">
        <v>6800</v>
      </c>
      <c r="F314" t="s">
        <v>59</v>
      </c>
      <c r="G314">
        <v>5</v>
      </c>
      <c r="H314" t="s">
        <v>133</v>
      </c>
      <c r="I314">
        <v>17</v>
      </c>
      <c r="J314" s="54">
        <f t="shared" si="4"/>
        <v>5</v>
      </c>
    </row>
    <row r="315" spans="1:10">
      <c r="A315" s="43">
        <v>42383</v>
      </c>
      <c r="B315">
        <v>2002</v>
      </c>
      <c r="C315">
        <v>1726</v>
      </c>
      <c r="D315">
        <v>314</v>
      </c>
      <c r="E315">
        <v>7250</v>
      </c>
      <c r="F315" t="s">
        <v>59</v>
      </c>
      <c r="G315">
        <v>3</v>
      </c>
      <c r="H315" t="s">
        <v>133</v>
      </c>
      <c r="I315">
        <v>17</v>
      </c>
      <c r="J315" s="54">
        <f t="shared" si="4"/>
        <v>3</v>
      </c>
    </row>
    <row r="316" spans="1:10">
      <c r="A316" s="43">
        <v>43493</v>
      </c>
      <c r="B316">
        <v>2003</v>
      </c>
      <c r="C316">
        <v>1728</v>
      </c>
      <c r="D316">
        <v>315</v>
      </c>
      <c r="E316">
        <v>6500</v>
      </c>
      <c r="F316" t="s">
        <v>59</v>
      </c>
      <c r="G316">
        <v>7</v>
      </c>
      <c r="H316" t="s">
        <v>133</v>
      </c>
      <c r="I316">
        <v>16</v>
      </c>
      <c r="J316" s="54">
        <f t="shared" si="4"/>
        <v>7</v>
      </c>
    </row>
    <row r="317" spans="1:10">
      <c r="A317" s="43">
        <v>43182</v>
      </c>
      <c r="B317">
        <v>2003</v>
      </c>
      <c r="C317">
        <v>1728</v>
      </c>
      <c r="D317">
        <v>316</v>
      </c>
      <c r="E317">
        <v>10100</v>
      </c>
      <c r="F317" t="s">
        <v>59</v>
      </c>
      <c r="G317">
        <v>12</v>
      </c>
      <c r="H317" t="s">
        <v>133</v>
      </c>
      <c r="I317">
        <v>16</v>
      </c>
      <c r="J317" s="54">
        <f t="shared" si="4"/>
        <v>12</v>
      </c>
    </row>
    <row r="318" spans="1:10">
      <c r="A318" s="43">
        <v>43005</v>
      </c>
      <c r="B318">
        <v>2003</v>
      </c>
      <c r="C318">
        <v>1728</v>
      </c>
      <c r="D318">
        <v>317</v>
      </c>
      <c r="E318">
        <v>7250</v>
      </c>
      <c r="F318" t="s">
        <v>59</v>
      </c>
      <c r="G318">
        <v>6</v>
      </c>
      <c r="H318" t="s">
        <v>133</v>
      </c>
      <c r="I318">
        <v>16</v>
      </c>
      <c r="J318" s="54">
        <f t="shared" si="4"/>
        <v>6</v>
      </c>
    </row>
    <row r="319" spans="1:10">
      <c r="A319" s="43">
        <v>42811</v>
      </c>
      <c r="B319">
        <v>2003</v>
      </c>
      <c r="C319">
        <v>1728</v>
      </c>
      <c r="D319">
        <v>318</v>
      </c>
      <c r="E319">
        <v>6000</v>
      </c>
      <c r="F319" t="s">
        <v>59</v>
      </c>
      <c r="G319">
        <v>4</v>
      </c>
      <c r="H319" t="s">
        <v>133</v>
      </c>
      <c r="I319">
        <v>16</v>
      </c>
      <c r="J319" s="54">
        <f t="shared" si="4"/>
        <v>4</v>
      </c>
    </row>
    <row r="320" spans="1:10">
      <c r="A320" s="43">
        <v>42633</v>
      </c>
      <c r="B320">
        <v>2003</v>
      </c>
      <c r="C320">
        <v>1728</v>
      </c>
      <c r="D320">
        <v>319</v>
      </c>
      <c r="E320">
        <v>6000</v>
      </c>
      <c r="F320" t="s">
        <v>59</v>
      </c>
      <c r="G320">
        <v>6</v>
      </c>
      <c r="H320" t="s">
        <v>133</v>
      </c>
      <c r="I320">
        <v>16</v>
      </c>
      <c r="J320" s="54">
        <f t="shared" si="4"/>
        <v>6</v>
      </c>
    </row>
    <row r="321" spans="1:10">
      <c r="A321" s="43">
        <v>43417</v>
      </c>
      <c r="B321">
        <v>2000</v>
      </c>
      <c r="C321">
        <v>1730</v>
      </c>
      <c r="D321">
        <v>320</v>
      </c>
      <c r="E321">
        <v>8750</v>
      </c>
      <c r="F321" t="s">
        <v>59</v>
      </c>
      <c r="G321">
        <v>4</v>
      </c>
      <c r="H321" t="s">
        <v>133</v>
      </c>
      <c r="I321">
        <v>19</v>
      </c>
      <c r="J321" s="54">
        <f t="shared" si="4"/>
        <v>4</v>
      </c>
    </row>
    <row r="322" spans="1:10">
      <c r="A322" s="43">
        <v>43398</v>
      </c>
      <c r="B322">
        <v>2002</v>
      </c>
      <c r="C322">
        <v>1730</v>
      </c>
      <c r="D322">
        <v>321</v>
      </c>
      <c r="E322">
        <v>8250</v>
      </c>
      <c r="F322" t="s">
        <v>59</v>
      </c>
      <c r="G322">
        <v>8</v>
      </c>
      <c r="H322" t="s">
        <v>133</v>
      </c>
      <c r="I322">
        <v>17</v>
      </c>
      <c r="J322" s="54">
        <f t="shared" ref="J322:J385" si="5">IF(H322="days",ROUND(G322/30,0),IF(H322="years",G322*12,G322))</f>
        <v>8</v>
      </c>
    </row>
    <row r="323" spans="1:10">
      <c r="A323" s="43">
        <v>43385</v>
      </c>
      <c r="B323">
        <v>2001</v>
      </c>
      <c r="C323">
        <v>1730</v>
      </c>
      <c r="D323">
        <v>322</v>
      </c>
      <c r="E323">
        <v>9000</v>
      </c>
      <c r="F323" t="s">
        <v>59</v>
      </c>
      <c r="G323">
        <v>60</v>
      </c>
      <c r="H323" t="s">
        <v>60</v>
      </c>
      <c r="I323">
        <v>18</v>
      </c>
      <c r="J323" s="54">
        <f t="shared" si="5"/>
        <v>2</v>
      </c>
    </row>
    <row r="324" spans="1:10">
      <c r="A324" s="43">
        <v>43370</v>
      </c>
      <c r="B324">
        <v>2000</v>
      </c>
      <c r="C324">
        <v>1730</v>
      </c>
      <c r="D324">
        <v>323</v>
      </c>
      <c r="E324">
        <v>9500</v>
      </c>
      <c r="F324" t="s">
        <v>59</v>
      </c>
      <c r="G324">
        <v>7</v>
      </c>
      <c r="H324" t="s">
        <v>133</v>
      </c>
      <c r="I324">
        <v>19</v>
      </c>
      <c r="J324" s="54">
        <f t="shared" si="5"/>
        <v>7</v>
      </c>
    </row>
    <row r="325" spans="1:10">
      <c r="A325" s="43">
        <v>43329</v>
      </c>
      <c r="B325">
        <v>2000</v>
      </c>
      <c r="C325">
        <v>1730</v>
      </c>
      <c r="D325">
        <v>324</v>
      </c>
      <c r="E325">
        <v>9750</v>
      </c>
      <c r="F325" t="s">
        <v>59</v>
      </c>
      <c r="G325">
        <v>40</v>
      </c>
      <c r="H325" t="s">
        <v>60</v>
      </c>
      <c r="I325">
        <v>19</v>
      </c>
      <c r="J325" s="54">
        <f t="shared" si="5"/>
        <v>1</v>
      </c>
    </row>
    <row r="326" spans="1:10">
      <c r="A326" s="43">
        <v>43283</v>
      </c>
      <c r="B326">
        <v>2000</v>
      </c>
      <c r="C326">
        <v>1730</v>
      </c>
      <c r="D326">
        <v>325</v>
      </c>
      <c r="E326">
        <v>10000</v>
      </c>
      <c r="F326" t="s">
        <v>59</v>
      </c>
      <c r="G326">
        <v>50</v>
      </c>
      <c r="H326" t="s">
        <v>60</v>
      </c>
      <c r="I326">
        <v>19</v>
      </c>
      <c r="J326" s="54">
        <f t="shared" si="5"/>
        <v>2</v>
      </c>
    </row>
    <row r="327" spans="1:10">
      <c r="A327" s="43">
        <v>43250</v>
      </c>
      <c r="B327">
        <v>2000</v>
      </c>
      <c r="C327">
        <v>1730</v>
      </c>
      <c r="D327">
        <v>326</v>
      </c>
      <c r="E327">
        <v>10750</v>
      </c>
      <c r="F327" t="s">
        <v>59</v>
      </c>
      <c r="G327">
        <v>12</v>
      </c>
      <c r="H327" t="s">
        <v>133</v>
      </c>
      <c r="I327">
        <v>19</v>
      </c>
      <c r="J327" s="54">
        <f t="shared" si="5"/>
        <v>12</v>
      </c>
    </row>
    <row r="328" spans="1:10">
      <c r="A328" s="43">
        <v>43203</v>
      </c>
      <c r="B328">
        <v>2000</v>
      </c>
      <c r="C328">
        <v>1730</v>
      </c>
      <c r="D328">
        <v>327</v>
      </c>
      <c r="E328">
        <v>10650</v>
      </c>
      <c r="F328" t="s">
        <v>59</v>
      </c>
      <c r="G328">
        <v>6</v>
      </c>
      <c r="H328" t="s">
        <v>133</v>
      </c>
      <c r="I328">
        <v>19</v>
      </c>
      <c r="J328" s="54">
        <f t="shared" si="5"/>
        <v>6</v>
      </c>
    </row>
    <row r="329" spans="1:10">
      <c r="A329" s="43">
        <v>43181</v>
      </c>
      <c r="B329">
        <v>2001</v>
      </c>
      <c r="C329">
        <v>1730</v>
      </c>
      <c r="D329">
        <v>328</v>
      </c>
      <c r="E329">
        <v>10500</v>
      </c>
      <c r="F329" t="s">
        <v>59</v>
      </c>
      <c r="G329">
        <v>6</v>
      </c>
      <c r="H329" t="s">
        <v>133</v>
      </c>
      <c r="I329">
        <v>18</v>
      </c>
      <c r="J329" s="54">
        <f t="shared" si="5"/>
        <v>6</v>
      </c>
    </row>
    <row r="330" spans="1:10">
      <c r="A330" s="43">
        <v>43179</v>
      </c>
      <c r="B330">
        <v>2002</v>
      </c>
      <c r="C330">
        <v>1730</v>
      </c>
      <c r="D330">
        <v>329</v>
      </c>
      <c r="E330">
        <v>10300</v>
      </c>
      <c r="F330" t="s">
        <v>59</v>
      </c>
      <c r="G330">
        <v>8</v>
      </c>
      <c r="H330" t="s">
        <v>133</v>
      </c>
      <c r="I330">
        <v>17</v>
      </c>
      <c r="J330" s="54">
        <f t="shared" si="5"/>
        <v>8</v>
      </c>
    </row>
    <row r="331" spans="1:10">
      <c r="A331" s="43">
        <v>43164</v>
      </c>
      <c r="B331">
        <v>2002</v>
      </c>
      <c r="C331">
        <v>1730</v>
      </c>
      <c r="D331">
        <v>330</v>
      </c>
      <c r="E331">
        <v>9250</v>
      </c>
      <c r="F331" t="s">
        <v>59</v>
      </c>
      <c r="G331">
        <v>7</v>
      </c>
      <c r="H331" t="s">
        <v>133</v>
      </c>
      <c r="I331">
        <v>17</v>
      </c>
      <c r="J331" s="54">
        <f t="shared" si="5"/>
        <v>7</v>
      </c>
    </row>
    <row r="332" spans="1:10">
      <c r="A332" s="43">
        <v>43054</v>
      </c>
      <c r="B332">
        <v>2000</v>
      </c>
      <c r="C332">
        <v>1730</v>
      </c>
      <c r="D332">
        <v>331</v>
      </c>
      <c r="E332">
        <v>8500</v>
      </c>
      <c r="F332" t="s">
        <v>59</v>
      </c>
      <c r="G332">
        <v>6</v>
      </c>
      <c r="H332" t="s">
        <v>133</v>
      </c>
      <c r="I332">
        <v>19</v>
      </c>
      <c r="J332" s="54">
        <f t="shared" si="5"/>
        <v>6</v>
      </c>
    </row>
    <row r="333" spans="1:10">
      <c r="A333" s="43">
        <v>43045</v>
      </c>
      <c r="B333">
        <v>2002</v>
      </c>
      <c r="C333">
        <v>1730</v>
      </c>
      <c r="D333">
        <v>332</v>
      </c>
      <c r="E333">
        <v>8200</v>
      </c>
      <c r="F333" t="s">
        <v>59</v>
      </c>
      <c r="G333">
        <v>6</v>
      </c>
      <c r="H333" t="s">
        <v>133</v>
      </c>
      <c r="I333">
        <v>17</v>
      </c>
      <c r="J333" s="54">
        <f t="shared" si="5"/>
        <v>6</v>
      </c>
    </row>
    <row r="334" spans="1:10">
      <c r="A334" s="43">
        <v>43004</v>
      </c>
      <c r="B334">
        <v>2002</v>
      </c>
      <c r="C334">
        <v>1730</v>
      </c>
      <c r="D334">
        <v>333</v>
      </c>
      <c r="E334">
        <v>8000</v>
      </c>
      <c r="F334" t="s">
        <v>59</v>
      </c>
      <c r="G334">
        <v>6</v>
      </c>
      <c r="H334" t="s">
        <v>133</v>
      </c>
      <c r="I334">
        <v>17</v>
      </c>
      <c r="J334" s="54">
        <f t="shared" si="5"/>
        <v>6</v>
      </c>
    </row>
    <row r="335" spans="1:10">
      <c r="A335" s="43">
        <v>42948</v>
      </c>
      <c r="B335">
        <v>2000</v>
      </c>
      <c r="C335">
        <v>1730</v>
      </c>
      <c r="D335">
        <v>334</v>
      </c>
      <c r="E335">
        <v>7250</v>
      </c>
      <c r="F335" t="s">
        <v>59</v>
      </c>
      <c r="G335">
        <v>9</v>
      </c>
      <c r="H335" t="s">
        <v>133</v>
      </c>
      <c r="I335">
        <v>19</v>
      </c>
      <c r="J335" s="54">
        <f t="shared" si="5"/>
        <v>9</v>
      </c>
    </row>
    <row r="336" spans="1:10">
      <c r="A336" s="43">
        <v>42948</v>
      </c>
      <c r="B336">
        <v>2001</v>
      </c>
      <c r="C336">
        <v>1730</v>
      </c>
      <c r="D336">
        <v>335</v>
      </c>
      <c r="E336">
        <v>7700</v>
      </c>
      <c r="F336" t="s">
        <v>59</v>
      </c>
      <c r="G336">
        <v>4</v>
      </c>
      <c r="H336" t="s">
        <v>133</v>
      </c>
      <c r="I336">
        <v>18</v>
      </c>
      <c r="J336" s="54">
        <f t="shared" si="5"/>
        <v>4</v>
      </c>
    </row>
    <row r="337" spans="1:10">
      <c r="A337" s="43">
        <v>42905</v>
      </c>
      <c r="B337">
        <v>2000</v>
      </c>
      <c r="C337">
        <v>1730</v>
      </c>
      <c r="D337">
        <v>336</v>
      </c>
      <c r="E337">
        <v>6650</v>
      </c>
      <c r="F337" t="s">
        <v>59</v>
      </c>
      <c r="G337">
        <v>5</v>
      </c>
      <c r="H337" t="s">
        <v>133</v>
      </c>
      <c r="I337">
        <v>19</v>
      </c>
      <c r="J337" s="54">
        <f t="shared" si="5"/>
        <v>5</v>
      </c>
    </row>
    <row r="338" spans="1:10">
      <c r="A338" s="43">
        <v>42905</v>
      </c>
      <c r="B338">
        <v>2002</v>
      </c>
      <c r="C338">
        <v>1730</v>
      </c>
      <c r="D338">
        <v>337</v>
      </c>
      <c r="E338">
        <v>6850</v>
      </c>
      <c r="F338" t="s">
        <v>59</v>
      </c>
      <c r="G338">
        <v>4</v>
      </c>
      <c r="H338" t="s">
        <v>133</v>
      </c>
      <c r="I338">
        <v>17</v>
      </c>
      <c r="J338" s="54">
        <f t="shared" si="5"/>
        <v>4</v>
      </c>
    </row>
    <row r="339" spans="1:10">
      <c r="A339" s="43">
        <v>42886</v>
      </c>
      <c r="B339">
        <v>2001</v>
      </c>
      <c r="C339">
        <v>1730</v>
      </c>
      <c r="D339">
        <v>338</v>
      </c>
      <c r="E339">
        <v>7500</v>
      </c>
      <c r="F339" t="s">
        <v>59</v>
      </c>
      <c r="G339">
        <v>6</v>
      </c>
      <c r="H339" t="s">
        <v>133</v>
      </c>
      <c r="I339">
        <v>18</v>
      </c>
      <c r="J339" s="54">
        <f t="shared" si="5"/>
        <v>6</v>
      </c>
    </row>
    <row r="340" spans="1:10">
      <c r="A340" s="43">
        <v>42872</v>
      </c>
      <c r="B340">
        <v>2002</v>
      </c>
      <c r="C340">
        <v>1730</v>
      </c>
      <c r="D340">
        <v>339</v>
      </c>
      <c r="E340">
        <v>6550</v>
      </c>
      <c r="F340" t="s">
        <v>59</v>
      </c>
      <c r="G340">
        <v>30</v>
      </c>
      <c r="H340" t="s">
        <v>60</v>
      </c>
      <c r="I340">
        <v>17</v>
      </c>
      <c r="J340" s="54">
        <f t="shared" si="5"/>
        <v>1</v>
      </c>
    </row>
    <row r="341" spans="1:10">
      <c r="A341" s="43">
        <v>42844</v>
      </c>
      <c r="B341">
        <v>2000</v>
      </c>
      <c r="C341">
        <v>1730</v>
      </c>
      <c r="D341">
        <v>340</v>
      </c>
      <c r="E341">
        <v>6250</v>
      </c>
      <c r="F341" t="s">
        <v>59</v>
      </c>
      <c r="G341">
        <v>7</v>
      </c>
      <c r="H341" t="s">
        <v>133</v>
      </c>
      <c r="I341">
        <v>19</v>
      </c>
      <c r="J341" s="54">
        <f t="shared" si="5"/>
        <v>7</v>
      </c>
    </row>
    <row r="342" spans="1:10">
      <c r="A342" s="43">
        <v>42760</v>
      </c>
      <c r="B342">
        <v>2002</v>
      </c>
      <c r="C342">
        <v>1730</v>
      </c>
      <c r="D342">
        <v>341</v>
      </c>
      <c r="E342">
        <v>5600</v>
      </c>
      <c r="F342" t="s">
        <v>59</v>
      </c>
      <c r="G342">
        <v>10</v>
      </c>
      <c r="H342" t="s">
        <v>133</v>
      </c>
      <c r="I342">
        <v>17</v>
      </c>
      <c r="J342" s="54">
        <f t="shared" si="5"/>
        <v>10</v>
      </c>
    </row>
    <row r="343" spans="1:10">
      <c r="A343" s="43">
        <v>42720</v>
      </c>
      <c r="B343">
        <v>2001</v>
      </c>
      <c r="C343">
        <v>1730</v>
      </c>
      <c r="D343">
        <v>342</v>
      </c>
      <c r="E343">
        <v>6450</v>
      </c>
      <c r="F343" t="s">
        <v>59</v>
      </c>
      <c r="G343">
        <v>4</v>
      </c>
      <c r="H343" t="s">
        <v>133</v>
      </c>
      <c r="I343">
        <v>18</v>
      </c>
      <c r="J343" s="54">
        <f t="shared" si="5"/>
        <v>4</v>
      </c>
    </row>
    <row r="344" spans="1:10">
      <c r="A344" s="43">
        <v>42657</v>
      </c>
      <c r="B344">
        <v>2002</v>
      </c>
      <c r="C344">
        <v>1730</v>
      </c>
      <c r="D344">
        <v>343</v>
      </c>
      <c r="E344">
        <v>6250</v>
      </c>
      <c r="F344" t="s">
        <v>59</v>
      </c>
      <c r="G344">
        <v>5</v>
      </c>
      <c r="H344" t="s">
        <v>133</v>
      </c>
      <c r="I344">
        <v>17</v>
      </c>
      <c r="J344" s="54">
        <f t="shared" si="5"/>
        <v>5</v>
      </c>
    </row>
    <row r="345" spans="1:10">
      <c r="A345" s="43">
        <v>42649</v>
      </c>
      <c r="B345">
        <v>2000</v>
      </c>
      <c r="C345">
        <v>1730</v>
      </c>
      <c r="D345">
        <v>344</v>
      </c>
      <c r="E345">
        <v>6000</v>
      </c>
      <c r="F345" t="s">
        <v>59</v>
      </c>
      <c r="G345">
        <v>8</v>
      </c>
      <c r="H345" t="s">
        <v>133</v>
      </c>
      <c r="I345">
        <v>19</v>
      </c>
      <c r="J345" s="54">
        <f t="shared" si="5"/>
        <v>8</v>
      </c>
    </row>
    <row r="346" spans="1:10">
      <c r="A346" s="43">
        <v>42640</v>
      </c>
      <c r="B346">
        <v>2002</v>
      </c>
      <c r="C346">
        <v>1730</v>
      </c>
      <c r="D346">
        <v>345</v>
      </c>
      <c r="E346">
        <v>7150</v>
      </c>
      <c r="F346" t="s">
        <v>59</v>
      </c>
      <c r="G346">
        <v>3</v>
      </c>
      <c r="H346" t="s">
        <v>133</v>
      </c>
      <c r="I346">
        <v>17</v>
      </c>
      <c r="J346" s="54">
        <f t="shared" si="5"/>
        <v>3</v>
      </c>
    </row>
    <row r="347" spans="1:10">
      <c r="A347" s="43">
        <v>42597</v>
      </c>
      <c r="B347">
        <v>2000</v>
      </c>
      <c r="C347">
        <v>1730</v>
      </c>
      <c r="D347">
        <v>346</v>
      </c>
      <c r="E347">
        <v>7000</v>
      </c>
      <c r="F347" t="s">
        <v>59</v>
      </c>
      <c r="G347">
        <v>8</v>
      </c>
      <c r="H347" t="s">
        <v>133</v>
      </c>
      <c r="I347">
        <v>19</v>
      </c>
      <c r="J347" s="54">
        <f t="shared" si="5"/>
        <v>8</v>
      </c>
    </row>
    <row r="348" spans="1:10">
      <c r="A348" s="43">
        <v>42499</v>
      </c>
      <c r="B348">
        <v>2000</v>
      </c>
      <c r="C348">
        <v>1730</v>
      </c>
      <c r="D348">
        <v>347</v>
      </c>
      <c r="E348">
        <v>5800</v>
      </c>
      <c r="F348" t="s">
        <v>59</v>
      </c>
      <c r="G348">
        <v>6</v>
      </c>
      <c r="H348" t="s">
        <v>133</v>
      </c>
      <c r="I348">
        <v>19</v>
      </c>
      <c r="J348" s="54">
        <f t="shared" si="5"/>
        <v>6</v>
      </c>
    </row>
    <row r="349" spans="1:10">
      <c r="A349" s="43">
        <v>42478</v>
      </c>
      <c r="B349">
        <v>2002</v>
      </c>
      <c r="C349">
        <v>1730</v>
      </c>
      <c r="D349">
        <v>348</v>
      </c>
      <c r="E349">
        <v>7100</v>
      </c>
      <c r="F349" t="s">
        <v>59</v>
      </c>
      <c r="G349">
        <v>6</v>
      </c>
      <c r="H349" t="s">
        <v>133</v>
      </c>
      <c r="I349">
        <v>17</v>
      </c>
      <c r="J349" s="54">
        <f t="shared" si="5"/>
        <v>6</v>
      </c>
    </row>
    <row r="350" spans="1:10">
      <c r="A350" s="43">
        <v>42430</v>
      </c>
      <c r="B350">
        <v>2002</v>
      </c>
      <c r="C350">
        <v>1730</v>
      </c>
      <c r="D350">
        <v>349</v>
      </c>
      <c r="E350">
        <v>7200</v>
      </c>
      <c r="F350" t="s">
        <v>59</v>
      </c>
      <c r="G350">
        <v>30</v>
      </c>
      <c r="H350" t="s">
        <v>60</v>
      </c>
      <c r="I350">
        <v>17</v>
      </c>
      <c r="J350" s="54">
        <f t="shared" si="5"/>
        <v>1</v>
      </c>
    </row>
    <row r="351" spans="1:10">
      <c r="A351" s="43">
        <v>42430</v>
      </c>
      <c r="B351">
        <v>2001</v>
      </c>
      <c r="C351">
        <v>1730</v>
      </c>
      <c r="D351">
        <v>350</v>
      </c>
      <c r="E351">
        <v>7400</v>
      </c>
      <c r="F351" t="s">
        <v>59</v>
      </c>
      <c r="G351">
        <v>6</v>
      </c>
      <c r="H351" t="s">
        <v>133</v>
      </c>
      <c r="I351">
        <v>18</v>
      </c>
      <c r="J351" s="54">
        <f t="shared" si="5"/>
        <v>6</v>
      </c>
    </row>
    <row r="352" spans="1:10">
      <c r="A352" s="43">
        <v>42403</v>
      </c>
      <c r="B352">
        <v>2000</v>
      </c>
      <c r="C352">
        <v>1730</v>
      </c>
      <c r="D352">
        <v>351</v>
      </c>
      <c r="E352">
        <v>7150</v>
      </c>
      <c r="F352" t="s">
        <v>59</v>
      </c>
      <c r="G352">
        <v>6</v>
      </c>
      <c r="H352" t="s">
        <v>133</v>
      </c>
      <c r="I352">
        <v>19</v>
      </c>
      <c r="J352" s="54">
        <f t="shared" si="5"/>
        <v>6</v>
      </c>
    </row>
    <row r="353" spans="1:10">
      <c r="A353" s="43">
        <v>42397</v>
      </c>
      <c r="B353">
        <v>2003</v>
      </c>
      <c r="C353">
        <v>1730</v>
      </c>
      <c r="D353">
        <v>352</v>
      </c>
      <c r="E353">
        <v>6500</v>
      </c>
      <c r="F353" t="s">
        <v>59</v>
      </c>
      <c r="G353">
        <v>6</v>
      </c>
      <c r="H353" t="s">
        <v>133</v>
      </c>
      <c r="I353">
        <v>16</v>
      </c>
      <c r="J353" s="54">
        <f t="shared" si="5"/>
        <v>6</v>
      </c>
    </row>
    <row r="354" spans="1:10">
      <c r="A354" s="43">
        <v>42381</v>
      </c>
      <c r="B354">
        <v>2000</v>
      </c>
      <c r="C354">
        <v>1730</v>
      </c>
      <c r="D354">
        <v>353</v>
      </c>
      <c r="E354">
        <v>6500</v>
      </c>
      <c r="F354" t="s">
        <v>59</v>
      </c>
      <c r="G354">
        <v>9</v>
      </c>
      <c r="H354" t="s">
        <v>133</v>
      </c>
      <c r="I354">
        <v>19</v>
      </c>
      <c r="J354" s="54">
        <f t="shared" si="5"/>
        <v>9</v>
      </c>
    </row>
    <row r="355" spans="1:10">
      <c r="A355" s="43">
        <v>43600</v>
      </c>
      <c r="B355">
        <v>2004</v>
      </c>
      <c r="C355">
        <v>1740</v>
      </c>
      <c r="D355">
        <v>354</v>
      </c>
      <c r="E355">
        <v>8250</v>
      </c>
      <c r="F355" t="s">
        <v>59</v>
      </c>
      <c r="G355">
        <v>5</v>
      </c>
      <c r="H355" t="s">
        <v>133</v>
      </c>
      <c r="I355">
        <v>15</v>
      </c>
      <c r="J355" s="54">
        <f t="shared" si="5"/>
        <v>5</v>
      </c>
    </row>
    <row r="356" spans="1:10">
      <c r="A356" s="43">
        <v>43557</v>
      </c>
      <c r="B356">
        <v>2003</v>
      </c>
      <c r="C356">
        <v>1740</v>
      </c>
      <c r="D356">
        <v>355</v>
      </c>
      <c r="E356">
        <v>7500</v>
      </c>
      <c r="F356" t="s">
        <v>59</v>
      </c>
      <c r="G356">
        <v>4</v>
      </c>
      <c r="H356" t="s">
        <v>133</v>
      </c>
      <c r="I356">
        <v>16</v>
      </c>
      <c r="J356" s="54">
        <f t="shared" si="5"/>
        <v>4</v>
      </c>
    </row>
    <row r="357" spans="1:10">
      <c r="A357" s="43">
        <v>43549</v>
      </c>
      <c r="B357">
        <v>2003</v>
      </c>
      <c r="C357">
        <v>1740</v>
      </c>
      <c r="D357">
        <v>356</v>
      </c>
      <c r="E357">
        <v>7750</v>
      </c>
      <c r="F357" t="s">
        <v>59</v>
      </c>
      <c r="G357">
        <v>6</v>
      </c>
      <c r="H357" t="s">
        <v>133</v>
      </c>
      <c r="I357">
        <v>16</v>
      </c>
      <c r="J357" s="54">
        <f t="shared" si="5"/>
        <v>6</v>
      </c>
    </row>
    <row r="358" spans="1:10">
      <c r="A358" s="43">
        <v>43511</v>
      </c>
      <c r="B358">
        <v>2004</v>
      </c>
      <c r="C358">
        <v>1740</v>
      </c>
      <c r="D358">
        <v>357</v>
      </c>
      <c r="E358">
        <v>7250</v>
      </c>
      <c r="F358" t="s">
        <v>59</v>
      </c>
      <c r="G358">
        <v>4</v>
      </c>
      <c r="H358" t="s">
        <v>133</v>
      </c>
      <c r="I358">
        <v>15</v>
      </c>
      <c r="J358" s="54">
        <f t="shared" si="5"/>
        <v>4</v>
      </c>
    </row>
    <row r="359" spans="1:10">
      <c r="A359" s="43">
        <v>43472</v>
      </c>
      <c r="B359">
        <v>2004</v>
      </c>
      <c r="C359">
        <v>1740</v>
      </c>
      <c r="D359">
        <v>358</v>
      </c>
      <c r="E359">
        <v>7000</v>
      </c>
      <c r="F359" t="s">
        <v>59</v>
      </c>
      <c r="G359">
        <v>5</v>
      </c>
      <c r="H359" t="s">
        <v>133</v>
      </c>
      <c r="I359">
        <v>15</v>
      </c>
      <c r="J359" s="54">
        <f t="shared" si="5"/>
        <v>5</v>
      </c>
    </row>
    <row r="360" spans="1:10">
      <c r="A360" s="43">
        <v>43437</v>
      </c>
      <c r="B360">
        <v>2003</v>
      </c>
      <c r="C360">
        <v>1740</v>
      </c>
      <c r="D360">
        <v>359</v>
      </c>
      <c r="E360">
        <v>6900</v>
      </c>
      <c r="F360" t="s">
        <v>59</v>
      </c>
      <c r="G360">
        <v>9</v>
      </c>
      <c r="H360" t="s">
        <v>133</v>
      </c>
      <c r="I360">
        <v>16</v>
      </c>
      <c r="J360" s="54">
        <f t="shared" si="5"/>
        <v>9</v>
      </c>
    </row>
    <row r="361" spans="1:10">
      <c r="A361" s="43">
        <v>43426</v>
      </c>
      <c r="B361">
        <v>2002</v>
      </c>
      <c r="C361">
        <v>1740</v>
      </c>
      <c r="D361">
        <v>360</v>
      </c>
      <c r="E361">
        <v>7500</v>
      </c>
      <c r="F361" t="s">
        <v>59</v>
      </c>
      <c r="G361">
        <v>11</v>
      </c>
      <c r="H361" t="s">
        <v>133</v>
      </c>
      <c r="I361">
        <v>17</v>
      </c>
      <c r="J361" s="54">
        <f t="shared" si="5"/>
        <v>11</v>
      </c>
    </row>
    <row r="362" spans="1:10">
      <c r="A362" s="43">
        <v>43425</v>
      </c>
      <c r="B362">
        <v>2000</v>
      </c>
      <c r="C362">
        <v>1740</v>
      </c>
      <c r="D362">
        <v>361</v>
      </c>
      <c r="E362">
        <v>7500</v>
      </c>
      <c r="F362" t="s">
        <v>59</v>
      </c>
      <c r="G362">
        <v>11</v>
      </c>
      <c r="H362" t="s">
        <v>133</v>
      </c>
      <c r="I362">
        <v>19</v>
      </c>
      <c r="J362" s="54">
        <f t="shared" si="5"/>
        <v>11</v>
      </c>
    </row>
    <row r="363" spans="1:10">
      <c r="A363" s="43">
        <v>43346</v>
      </c>
      <c r="B363">
        <v>2004</v>
      </c>
      <c r="C363">
        <v>1740</v>
      </c>
      <c r="D363">
        <v>362</v>
      </c>
      <c r="E363">
        <v>9500</v>
      </c>
      <c r="F363" t="s">
        <v>59</v>
      </c>
      <c r="G363">
        <v>6</v>
      </c>
      <c r="H363" t="s">
        <v>133</v>
      </c>
      <c r="I363">
        <v>15</v>
      </c>
      <c r="J363" s="54">
        <f t="shared" si="5"/>
        <v>6</v>
      </c>
    </row>
    <row r="364" spans="1:10">
      <c r="A364" s="43">
        <v>43342</v>
      </c>
      <c r="B364">
        <v>2003</v>
      </c>
      <c r="C364">
        <v>1740</v>
      </c>
      <c r="D364">
        <v>363</v>
      </c>
      <c r="E364">
        <v>10100</v>
      </c>
      <c r="F364" t="s">
        <v>59</v>
      </c>
      <c r="G364">
        <v>3</v>
      </c>
      <c r="H364" t="s">
        <v>133</v>
      </c>
      <c r="I364">
        <v>16</v>
      </c>
      <c r="J364" s="54">
        <f t="shared" si="5"/>
        <v>3</v>
      </c>
    </row>
    <row r="365" spans="1:10">
      <c r="A365" s="43">
        <v>43266</v>
      </c>
      <c r="B365">
        <v>2005</v>
      </c>
      <c r="C365">
        <v>1740</v>
      </c>
      <c r="D365">
        <v>364</v>
      </c>
      <c r="E365">
        <v>10700</v>
      </c>
      <c r="F365" t="s">
        <v>59</v>
      </c>
      <c r="G365">
        <v>12</v>
      </c>
      <c r="H365" t="s">
        <v>133</v>
      </c>
      <c r="I365">
        <v>14</v>
      </c>
      <c r="J365" s="54">
        <f t="shared" si="5"/>
        <v>12</v>
      </c>
    </row>
    <row r="366" spans="1:10">
      <c r="A366" s="43">
        <v>43237</v>
      </c>
      <c r="B366">
        <v>2003</v>
      </c>
      <c r="C366">
        <v>1740</v>
      </c>
      <c r="D366">
        <v>365</v>
      </c>
      <c r="E366">
        <v>10500</v>
      </c>
      <c r="F366" t="s">
        <v>59</v>
      </c>
      <c r="G366">
        <v>4</v>
      </c>
      <c r="H366" t="s">
        <v>133</v>
      </c>
      <c r="I366">
        <v>16</v>
      </c>
      <c r="J366" s="54">
        <f t="shared" si="5"/>
        <v>4</v>
      </c>
    </row>
    <row r="367" spans="1:10">
      <c r="A367" s="43">
        <v>43234</v>
      </c>
      <c r="B367">
        <v>2000</v>
      </c>
      <c r="C367">
        <v>1740</v>
      </c>
      <c r="D367">
        <v>366</v>
      </c>
      <c r="E367">
        <v>10500</v>
      </c>
      <c r="F367" t="s">
        <v>59</v>
      </c>
      <c r="G367">
        <v>6</v>
      </c>
      <c r="H367" t="s">
        <v>133</v>
      </c>
      <c r="I367">
        <v>19</v>
      </c>
      <c r="J367" s="54">
        <f t="shared" si="5"/>
        <v>6</v>
      </c>
    </row>
    <row r="368" spans="1:10">
      <c r="A368" s="43">
        <v>43234</v>
      </c>
      <c r="B368">
        <v>2000</v>
      </c>
      <c r="C368">
        <v>1740</v>
      </c>
      <c r="D368">
        <v>367</v>
      </c>
      <c r="E368">
        <v>10500</v>
      </c>
      <c r="F368" t="s">
        <v>59</v>
      </c>
      <c r="G368">
        <v>6</v>
      </c>
      <c r="H368" t="s">
        <v>133</v>
      </c>
      <c r="I368">
        <v>19</v>
      </c>
      <c r="J368" s="54">
        <f t="shared" si="5"/>
        <v>6</v>
      </c>
    </row>
    <row r="369" spans="1:10">
      <c r="A369" s="43">
        <v>43173</v>
      </c>
      <c r="B369">
        <v>2003</v>
      </c>
      <c r="C369">
        <v>1740</v>
      </c>
      <c r="D369">
        <v>368</v>
      </c>
      <c r="E369">
        <v>10200</v>
      </c>
      <c r="F369" t="s">
        <v>59</v>
      </c>
      <c r="G369">
        <v>5</v>
      </c>
      <c r="H369" t="s">
        <v>133</v>
      </c>
      <c r="I369">
        <v>16</v>
      </c>
      <c r="J369" s="54">
        <f t="shared" si="5"/>
        <v>5</v>
      </c>
    </row>
    <row r="370" spans="1:10">
      <c r="A370" s="43">
        <v>43151</v>
      </c>
      <c r="B370">
        <v>2000</v>
      </c>
      <c r="C370">
        <v>1740</v>
      </c>
      <c r="D370">
        <v>369</v>
      </c>
      <c r="E370">
        <v>9500</v>
      </c>
      <c r="F370" t="s">
        <v>59</v>
      </c>
      <c r="G370">
        <v>4</v>
      </c>
      <c r="H370" t="s">
        <v>133</v>
      </c>
      <c r="I370">
        <v>19</v>
      </c>
      <c r="J370" s="54">
        <f t="shared" si="5"/>
        <v>4</v>
      </c>
    </row>
    <row r="371" spans="1:10">
      <c r="A371" s="43">
        <v>43144</v>
      </c>
      <c r="B371">
        <v>2003</v>
      </c>
      <c r="C371">
        <v>1740</v>
      </c>
      <c r="D371">
        <v>370</v>
      </c>
      <c r="E371">
        <v>9250</v>
      </c>
      <c r="F371" t="s">
        <v>59</v>
      </c>
      <c r="G371">
        <v>7</v>
      </c>
      <c r="H371" t="s">
        <v>133</v>
      </c>
      <c r="I371">
        <v>16</v>
      </c>
      <c r="J371" s="54">
        <f t="shared" si="5"/>
        <v>7</v>
      </c>
    </row>
    <row r="372" spans="1:10">
      <c r="A372" s="43">
        <v>43131</v>
      </c>
      <c r="B372">
        <v>2000</v>
      </c>
      <c r="C372">
        <v>1740</v>
      </c>
      <c r="D372">
        <v>371</v>
      </c>
      <c r="E372">
        <v>9500</v>
      </c>
      <c r="F372" t="s">
        <v>59</v>
      </c>
      <c r="G372">
        <v>8</v>
      </c>
      <c r="H372" t="s">
        <v>133</v>
      </c>
      <c r="I372">
        <v>19</v>
      </c>
      <c r="J372" s="54">
        <f t="shared" si="5"/>
        <v>8</v>
      </c>
    </row>
    <row r="373" spans="1:10">
      <c r="A373" s="43">
        <v>43111</v>
      </c>
      <c r="B373">
        <v>2000</v>
      </c>
      <c r="C373">
        <v>1740</v>
      </c>
      <c r="D373">
        <v>372</v>
      </c>
      <c r="E373">
        <v>9500</v>
      </c>
      <c r="F373" t="s">
        <v>59</v>
      </c>
      <c r="G373">
        <v>4</v>
      </c>
      <c r="H373" t="s">
        <v>133</v>
      </c>
      <c r="I373">
        <v>19</v>
      </c>
      <c r="J373" s="54">
        <f t="shared" si="5"/>
        <v>4</v>
      </c>
    </row>
    <row r="374" spans="1:10">
      <c r="A374" s="43">
        <v>43062</v>
      </c>
      <c r="B374">
        <v>2004</v>
      </c>
      <c r="C374">
        <v>1740</v>
      </c>
      <c r="D374">
        <v>373</v>
      </c>
      <c r="E374">
        <v>8250</v>
      </c>
      <c r="F374" t="s">
        <v>59</v>
      </c>
      <c r="G374">
        <v>6</v>
      </c>
      <c r="H374" t="s">
        <v>133</v>
      </c>
      <c r="I374">
        <v>15</v>
      </c>
      <c r="J374" s="54">
        <f t="shared" si="5"/>
        <v>6</v>
      </c>
    </row>
    <row r="375" spans="1:10">
      <c r="A375" s="43">
        <v>43054</v>
      </c>
      <c r="B375">
        <v>2005</v>
      </c>
      <c r="C375">
        <v>1740</v>
      </c>
      <c r="D375">
        <v>374</v>
      </c>
      <c r="E375">
        <v>7650</v>
      </c>
      <c r="F375" t="s">
        <v>59</v>
      </c>
      <c r="G375">
        <v>10</v>
      </c>
      <c r="H375" t="s">
        <v>133</v>
      </c>
      <c r="I375">
        <v>14</v>
      </c>
      <c r="J375" s="54">
        <f t="shared" si="5"/>
        <v>10</v>
      </c>
    </row>
    <row r="376" spans="1:10">
      <c r="A376" s="43">
        <v>43009</v>
      </c>
      <c r="B376">
        <v>2002</v>
      </c>
      <c r="C376">
        <v>1740</v>
      </c>
      <c r="D376">
        <v>375</v>
      </c>
      <c r="E376">
        <v>7950</v>
      </c>
      <c r="F376" t="s">
        <v>59</v>
      </c>
      <c r="G376">
        <v>9</v>
      </c>
      <c r="H376" t="s">
        <v>133</v>
      </c>
      <c r="I376">
        <v>17</v>
      </c>
      <c r="J376" s="54">
        <f t="shared" si="5"/>
        <v>9</v>
      </c>
    </row>
    <row r="377" spans="1:10">
      <c r="A377" s="43">
        <v>42948</v>
      </c>
      <c r="B377">
        <v>2003</v>
      </c>
      <c r="C377">
        <v>1740</v>
      </c>
      <c r="D377">
        <v>376</v>
      </c>
      <c r="E377">
        <v>7000</v>
      </c>
      <c r="F377" t="s">
        <v>59</v>
      </c>
      <c r="G377">
        <v>8</v>
      </c>
      <c r="H377" t="s">
        <v>133</v>
      </c>
      <c r="I377">
        <v>16</v>
      </c>
      <c r="J377" s="54">
        <f t="shared" si="5"/>
        <v>8</v>
      </c>
    </row>
    <row r="378" spans="1:10">
      <c r="A378" s="43">
        <v>42944</v>
      </c>
      <c r="B378">
        <v>2004</v>
      </c>
      <c r="C378">
        <v>1740</v>
      </c>
      <c r="D378">
        <v>377</v>
      </c>
      <c r="E378">
        <v>6950</v>
      </c>
      <c r="F378" t="s">
        <v>59</v>
      </c>
      <c r="G378">
        <v>3</v>
      </c>
      <c r="H378" t="s">
        <v>133</v>
      </c>
      <c r="I378">
        <v>15</v>
      </c>
      <c r="J378" s="54">
        <f t="shared" si="5"/>
        <v>3</v>
      </c>
    </row>
    <row r="379" spans="1:10">
      <c r="A379" s="43">
        <v>42933</v>
      </c>
      <c r="B379">
        <v>2000</v>
      </c>
      <c r="C379">
        <v>1740</v>
      </c>
      <c r="D379">
        <v>378</v>
      </c>
      <c r="E379">
        <v>7000</v>
      </c>
      <c r="F379" t="s">
        <v>59</v>
      </c>
      <c r="G379">
        <v>7</v>
      </c>
      <c r="H379" t="s">
        <v>133</v>
      </c>
      <c r="I379">
        <v>19</v>
      </c>
      <c r="J379" s="54">
        <f t="shared" si="5"/>
        <v>7</v>
      </c>
    </row>
    <row r="380" spans="1:10">
      <c r="A380" s="43">
        <v>42927</v>
      </c>
      <c r="B380">
        <v>2000</v>
      </c>
      <c r="C380">
        <v>1740</v>
      </c>
      <c r="D380">
        <v>379</v>
      </c>
      <c r="E380">
        <v>7000</v>
      </c>
      <c r="F380" t="s">
        <v>59</v>
      </c>
      <c r="G380">
        <v>6</v>
      </c>
      <c r="H380" t="s">
        <v>133</v>
      </c>
      <c r="I380">
        <v>19</v>
      </c>
      <c r="J380" s="54">
        <f t="shared" si="5"/>
        <v>6</v>
      </c>
    </row>
    <row r="381" spans="1:10">
      <c r="A381" s="43">
        <v>42898</v>
      </c>
      <c r="B381">
        <v>2005</v>
      </c>
      <c r="C381">
        <v>1740</v>
      </c>
      <c r="D381">
        <v>380</v>
      </c>
      <c r="E381">
        <v>7250</v>
      </c>
      <c r="F381" t="s">
        <v>59</v>
      </c>
      <c r="G381">
        <v>12</v>
      </c>
      <c r="H381" t="s">
        <v>133</v>
      </c>
      <c r="I381">
        <v>14</v>
      </c>
      <c r="J381" s="54">
        <f t="shared" si="5"/>
        <v>12</v>
      </c>
    </row>
    <row r="382" spans="1:10">
      <c r="A382" s="43">
        <v>42872</v>
      </c>
      <c r="B382">
        <v>2003</v>
      </c>
      <c r="C382">
        <v>1740</v>
      </c>
      <c r="D382">
        <v>381</v>
      </c>
      <c r="E382">
        <v>6200</v>
      </c>
      <c r="F382" t="s">
        <v>59</v>
      </c>
      <c r="G382">
        <v>12</v>
      </c>
      <c r="H382" t="s">
        <v>133</v>
      </c>
      <c r="I382">
        <v>16</v>
      </c>
      <c r="J382" s="54">
        <f t="shared" si="5"/>
        <v>12</v>
      </c>
    </row>
    <row r="383" spans="1:10">
      <c r="A383" s="43">
        <v>42844</v>
      </c>
      <c r="B383">
        <v>2000</v>
      </c>
      <c r="C383">
        <v>1740</v>
      </c>
      <c r="D383">
        <v>382</v>
      </c>
      <c r="E383">
        <v>7500</v>
      </c>
      <c r="F383" t="s">
        <v>59</v>
      </c>
      <c r="G383">
        <v>6</v>
      </c>
      <c r="H383" t="s">
        <v>133</v>
      </c>
      <c r="I383">
        <v>19</v>
      </c>
      <c r="J383" s="54">
        <f t="shared" si="5"/>
        <v>6</v>
      </c>
    </row>
    <row r="384" spans="1:10">
      <c r="A384" s="43">
        <v>42831</v>
      </c>
      <c r="B384">
        <v>2002</v>
      </c>
      <c r="C384">
        <v>1740</v>
      </c>
      <c r="D384">
        <v>383</v>
      </c>
      <c r="E384">
        <v>7050</v>
      </c>
      <c r="F384" t="s">
        <v>59</v>
      </c>
      <c r="G384">
        <v>7</v>
      </c>
      <c r="H384" t="s">
        <v>133</v>
      </c>
      <c r="I384">
        <v>17</v>
      </c>
      <c r="J384" s="54">
        <f t="shared" si="5"/>
        <v>7</v>
      </c>
    </row>
    <row r="385" spans="1:10">
      <c r="A385" s="43">
        <v>42828</v>
      </c>
      <c r="B385">
        <v>2005</v>
      </c>
      <c r="C385">
        <v>1740</v>
      </c>
      <c r="D385">
        <v>384</v>
      </c>
      <c r="E385">
        <v>7200</v>
      </c>
      <c r="F385" t="s">
        <v>59</v>
      </c>
      <c r="G385">
        <v>7</v>
      </c>
      <c r="H385" t="s">
        <v>133</v>
      </c>
      <c r="I385">
        <v>14</v>
      </c>
      <c r="J385" s="54">
        <f t="shared" si="5"/>
        <v>7</v>
      </c>
    </row>
    <row r="386" spans="1:10">
      <c r="A386" s="43">
        <v>42755</v>
      </c>
      <c r="B386">
        <v>2002</v>
      </c>
      <c r="C386">
        <v>1740</v>
      </c>
      <c r="D386">
        <v>385</v>
      </c>
      <c r="E386">
        <v>6350</v>
      </c>
      <c r="F386" t="s">
        <v>59</v>
      </c>
      <c r="G386">
        <v>5</v>
      </c>
      <c r="H386" t="s">
        <v>133</v>
      </c>
      <c r="I386">
        <v>17</v>
      </c>
      <c r="J386" s="54">
        <f t="shared" ref="J386:J449" si="6">IF(H386="days",ROUND(G386/30,0),IF(H386="years",G386*12,G386))</f>
        <v>5</v>
      </c>
    </row>
    <row r="387" spans="1:10">
      <c r="A387" s="43">
        <v>42706</v>
      </c>
      <c r="B387">
        <v>2003</v>
      </c>
      <c r="C387">
        <v>1740</v>
      </c>
      <c r="D387">
        <v>386</v>
      </c>
      <c r="E387">
        <v>6250</v>
      </c>
      <c r="F387" t="s">
        <v>59</v>
      </c>
      <c r="G387">
        <v>6</v>
      </c>
      <c r="H387" t="s">
        <v>133</v>
      </c>
      <c r="I387">
        <v>16</v>
      </c>
      <c r="J387" s="54">
        <f t="shared" si="6"/>
        <v>6</v>
      </c>
    </row>
    <row r="388" spans="1:10">
      <c r="A388" s="43">
        <v>42705</v>
      </c>
      <c r="B388">
        <v>2005</v>
      </c>
      <c r="C388">
        <v>1740</v>
      </c>
      <c r="D388">
        <v>387</v>
      </c>
      <c r="E388">
        <v>6250</v>
      </c>
      <c r="F388" t="s">
        <v>59</v>
      </c>
      <c r="G388">
        <v>7</v>
      </c>
      <c r="H388" t="s">
        <v>133</v>
      </c>
      <c r="I388">
        <v>14</v>
      </c>
      <c r="J388" s="54">
        <f t="shared" si="6"/>
        <v>7</v>
      </c>
    </row>
    <row r="389" spans="1:10">
      <c r="A389" s="43">
        <v>42675</v>
      </c>
      <c r="B389">
        <v>2000</v>
      </c>
      <c r="C389">
        <v>1740</v>
      </c>
      <c r="D389">
        <v>388</v>
      </c>
      <c r="E389">
        <v>6500</v>
      </c>
      <c r="F389" t="s">
        <v>59</v>
      </c>
      <c r="G389">
        <v>49</v>
      </c>
      <c r="H389" t="s">
        <v>60</v>
      </c>
      <c r="I389">
        <v>19</v>
      </c>
      <c r="J389" s="54">
        <f t="shared" si="6"/>
        <v>2</v>
      </c>
    </row>
    <row r="390" spans="1:10">
      <c r="A390" s="43">
        <v>42657</v>
      </c>
      <c r="B390">
        <v>2004</v>
      </c>
      <c r="C390">
        <v>1740</v>
      </c>
      <c r="D390">
        <v>389</v>
      </c>
      <c r="E390">
        <v>6700</v>
      </c>
      <c r="F390" t="s">
        <v>59</v>
      </c>
      <c r="G390">
        <v>5</v>
      </c>
      <c r="H390" t="s">
        <v>133</v>
      </c>
      <c r="I390">
        <v>15</v>
      </c>
      <c r="J390" s="54">
        <f t="shared" si="6"/>
        <v>5</v>
      </c>
    </row>
    <row r="391" spans="1:10">
      <c r="A391" s="43">
        <v>42641</v>
      </c>
      <c r="B391">
        <v>2005</v>
      </c>
      <c r="C391">
        <v>1740</v>
      </c>
      <c r="D391">
        <v>390</v>
      </c>
      <c r="E391">
        <v>6000</v>
      </c>
      <c r="F391" t="s">
        <v>59</v>
      </c>
      <c r="G391">
        <v>3</v>
      </c>
      <c r="H391" t="s">
        <v>133</v>
      </c>
      <c r="I391">
        <v>14</v>
      </c>
      <c r="J391" s="54">
        <f t="shared" si="6"/>
        <v>3</v>
      </c>
    </row>
    <row r="392" spans="1:10">
      <c r="A392" s="43">
        <v>42618</v>
      </c>
      <c r="B392">
        <v>2003</v>
      </c>
      <c r="C392">
        <v>1740</v>
      </c>
      <c r="D392">
        <v>391</v>
      </c>
      <c r="E392">
        <v>6400</v>
      </c>
      <c r="F392" t="s">
        <v>59</v>
      </c>
      <c r="G392">
        <v>6</v>
      </c>
      <c r="H392" t="s">
        <v>133</v>
      </c>
      <c r="I392">
        <v>16</v>
      </c>
      <c r="J392" s="54">
        <f t="shared" si="6"/>
        <v>6</v>
      </c>
    </row>
    <row r="393" spans="1:10">
      <c r="A393" s="43">
        <v>42618</v>
      </c>
      <c r="B393">
        <v>2000</v>
      </c>
      <c r="C393">
        <v>1740</v>
      </c>
      <c r="D393">
        <v>392</v>
      </c>
      <c r="E393">
        <v>6400</v>
      </c>
      <c r="F393" t="s">
        <v>59</v>
      </c>
      <c r="G393">
        <v>8</v>
      </c>
      <c r="H393" t="s">
        <v>133</v>
      </c>
      <c r="I393">
        <v>19</v>
      </c>
      <c r="J393" s="54">
        <f t="shared" si="6"/>
        <v>8</v>
      </c>
    </row>
    <row r="394" spans="1:10">
      <c r="A394" s="43">
        <v>42614</v>
      </c>
      <c r="B394">
        <v>2003</v>
      </c>
      <c r="C394">
        <v>1740</v>
      </c>
      <c r="D394">
        <v>393</v>
      </c>
      <c r="E394">
        <v>6750</v>
      </c>
      <c r="F394" t="s">
        <v>59</v>
      </c>
      <c r="G394">
        <v>9</v>
      </c>
      <c r="H394" t="s">
        <v>133</v>
      </c>
      <c r="I394">
        <v>16</v>
      </c>
      <c r="J394" s="54">
        <f t="shared" si="6"/>
        <v>9</v>
      </c>
    </row>
    <row r="395" spans="1:10">
      <c r="A395" s="43">
        <v>42614</v>
      </c>
      <c r="B395">
        <v>2004</v>
      </c>
      <c r="C395">
        <v>1740</v>
      </c>
      <c r="D395">
        <v>394</v>
      </c>
      <c r="E395">
        <v>6900</v>
      </c>
      <c r="F395" t="s">
        <v>59</v>
      </c>
      <c r="G395">
        <v>8</v>
      </c>
      <c r="H395" t="s">
        <v>133</v>
      </c>
      <c r="I395">
        <v>15</v>
      </c>
      <c r="J395" s="54">
        <f t="shared" si="6"/>
        <v>8</v>
      </c>
    </row>
    <row r="396" spans="1:10">
      <c r="A396" s="43">
        <v>42607</v>
      </c>
      <c r="B396">
        <v>2005</v>
      </c>
      <c r="C396">
        <v>1740</v>
      </c>
      <c r="D396">
        <v>395</v>
      </c>
      <c r="E396">
        <v>7000</v>
      </c>
      <c r="F396" t="s">
        <v>59</v>
      </c>
      <c r="G396">
        <v>6</v>
      </c>
      <c r="H396" t="s">
        <v>133</v>
      </c>
      <c r="I396">
        <v>14</v>
      </c>
      <c r="J396" s="54">
        <f t="shared" si="6"/>
        <v>6</v>
      </c>
    </row>
    <row r="397" spans="1:10">
      <c r="A397" s="43">
        <v>42579</v>
      </c>
      <c r="B397">
        <v>2005</v>
      </c>
      <c r="C397">
        <v>1740</v>
      </c>
      <c r="D397">
        <v>396</v>
      </c>
      <c r="E397">
        <v>6000</v>
      </c>
      <c r="F397" t="s">
        <v>59</v>
      </c>
      <c r="G397">
        <v>2</v>
      </c>
      <c r="H397" t="s">
        <v>133</v>
      </c>
      <c r="I397">
        <v>14</v>
      </c>
      <c r="J397" s="54">
        <f t="shared" si="6"/>
        <v>2</v>
      </c>
    </row>
    <row r="398" spans="1:10">
      <c r="A398" s="43">
        <v>42569</v>
      </c>
      <c r="B398">
        <v>2000</v>
      </c>
      <c r="C398">
        <v>1740</v>
      </c>
      <c r="D398">
        <v>397</v>
      </c>
      <c r="E398">
        <v>7250</v>
      </c>
      <c r="F398" t="s">
        <v>59</v>
      </c>
      <c r="G398">
        <v>5</v>
      </c>
      <c r="H398" t="s">
        <v>133</v>
      </c>
      <c r="I398">
        <v>19</v>
      </c>
      <c r="J398" s="54">
        <f t="shared" si="6"/>
        <v>5</v>
      </c>
    </row>
    <row r="399" spans="1:10">
      <c r="A399" s="43">
        <v>42536</v>
      </c>
      <c r="B399">
        <v>2003</v>
      </c>
      <c r="C399">
        <v>1740</v>
      </c>
      <c r="D399">
        <v>398</v>
      </c>
      <c r="E399">
        <v>7500</v>
      </c>
      <c r="F399" t="s">
        <v>59</v>
      </c>
      <c r="G399">
        <v>10</v>
      </c>
      <c r="H399" t="s">
        <v>133</v>
      </c>
      <c r="I399">
        <v>16</v>
      </c>
      <c r="J399" s="54">
        <f t="shared" si="6"/>
        <v>10</v>
      </c>
    </row>
    <row r="400" spans="1:10">
      <c r="A400" s="43">
        <v>42522</v>
      </c>
      <c r="B400">
        <v>2002</v>
      </c>
      <c r="C400">
        <v>1740</v>
      </c>
      <c r="D400">
        <v>399</v>
      </c>
      <c r="E400">
        <v>7750</v>
      </c>
      <c r="F400" t="s">
        <v>59</v>
      </c>
      <c r="G400">
        <v>9</v>
      </c>
      <c r="H400" t="s">
        <v>133</v>
      </c>
      <c r="I400">
        <v>17</v>
      </c>
      <c r="J400" s="54">
        <f t="shared" si="6"/>
        <v>9</v>
      </c>
    </row>
    <row r="401" spans="1:10">
      <c r="A401" s="43">
        <v>42510</v>
      </c>
      <c r="B401">
        <v>2003</v>
      </c>
      <c r="C401">
        <v>1740</v>
      </c>
      <c r="D401">
        <v>400</v>
      </c>
      <c r="E401">
        <v>7200</v>
      </c>
      <c r="F401" t="s">
        <v>59</v>
      </c>
      <c r="G401">
        <v>3</v>
      </c>
      <c r="H401" t="s">
        <v>133</v>
      </c>
      <c r="I401">
        <v>16</v>
      </c>
      <c r="J401" s="54">
        <f t="shared" si="6"/>
        <v>3</v>
      </c>
    </row>
    <row r="402" spans="1:10">
      <c r="A402" s="43">
        <v>42508</v>
      </c>
      <c r="B402">
        <v>2003</v>
      </c>
      <c r="C402">
        <v>1740</v>
      </c>
      <c r="D402">
        <v>401</v>
      </c>
      <c r="E402">
        <v>7500</v>
      </c>
      <c r="F402" t="s">
        <v>59</v>
      </c>
      <c r="G402">
        <v>9</v>
      </c>
      <c r="H402" t="s">
        <v>133</v>
      </c>
      <c r="I402">
        <v>16</v>
      </c>
      <c r="J402" s="54">
        <f t="shared" si="6"/>
        <v>9</v>
      </c>
    </row>
    <row r="403" spans="1:10">
      <c r="A403" s="43">
        <v>42487</v>
      </c>
      <c r="B403">
        <v>2000</v>
      </c>
      <c r="C403">
        <v>1740</v>
      </c>
      <c r="D403">
        <v>402</v>
      </c>
      <c r="E403">
        <v>7000</v>
      </c>
      <c r="F403" t="s">
        <v>59</v>
      </c>
      <c r="G403">
        <v>3</v>
      </c>
      <c r="H403" t="s">
        <v>133</v>
      </c>
      <c r="I403">
        <v>19</v>
      </c>
      <c r="J403" s="54">
        <f t="shared" si="6"/>
        <v>3</v>
      </c>
    </row>
    <row r="404" spans="1:10">
      <c r="A404" s="43">
        <v>42430</v>
      </c>
      <c r="B404">
        <v>2005</v>
      </c>
      <c r="C404">
        <v>1740</v>
      </c>
      <c r="D404">
        <v>403</v>
      </c>
      <c r="E404">
        <v>7500</v>
      </c>
      <c r="F404" t="s">
        <v>59</v>
      </c>
      <c r="G404">
        <v>7</v>
      </c>
      <c r="H404" t="s">
        <v>133</v>
      </c>
      <c r="I404">
        <v>14</v>
      </c>
      <c r="J404" s="54">
        <f t="shared" si="6"/>
        <v>7</v>
      </c>
    </row>
    <row r="405" spans="1:10">
      <c r="A405" s="43">
        <v>42430</v>
      </c>
      <c r="B405">
        <v>2003</v>
      </c>
      <c r="C405">
        <v>1740</v>
      </c>
      <c r="D405">
        <v>404</v>
      </c>
      <c r="E405">
        <v>7250</v>
      </c>
      <c r="F405" t="s">
        <v>59</v>
      </c>
      <c r="G405">
        <v>7</v>
      </c>
      <c r="H405" t="s">
        <v>133</v>
      </c>
      <c r="I405">
        <v>16</v>
      </c>
      <c r="J405" s="54">
        <f t="shared" si="6"/>
        <v>7</v>
      </c>
    </row>
    <row r="406" spans="1:10">
      <c r="A406" s="43">
        <v>42430</v>
      </c>
      <c r="B406">
        <v>2000</v>
      </c>
      <c r="C406">
        <v>1740</v>
      </c>
      <c r="D406">
        <v>405</v>
      </c>
      <c r="E406">
        <v>7000</v>
      </c>
      <c r="F406" t="s">
        <v>59</v>
      </c>
      <c r="G406">
        <v>18</v>
      </c>
      <c r="H406" t="s">
        <v>133</v>
      </c>
      <c r="I406">
        <v>19</v>
      </c>
      <c r="J406" s="54">
        <f t="shared" si="6"/>
        <v>18</v>
      </c>
    </row>
    <row r="407" spans="1:10">
      <c r="A407" s="43">
        <v>42383</v>
      </c>
      <c r="B407">
        <v>2002</v>
      </c>
      <c r="C407">
        <v>1740</v>
      </c>
      <c r="D407">
        <v>406</v>
      </c>
      <c r="E407">
        <v>7500</v>
      </c>
      <c r="F407" t="s">
        <v>59</v>
      </c>
      <c r="G407">
        <v>5</v>
      </c>
      <c r="H407" t="s">
        <v>133</v>
      </c>
      <c r="I407">
        <v>17</v>
      </c>
      <c r="J407" s="54">
        <f t="shared" si="6"/>
        <v>5</v>
      </c>
    </row>
    <row r="408" spans="1:10">
      <c r="A408" s="43">
        <v>42373</v>
      </c>
      <c r="B408">
        <v>2003</v>
      </c>
      <c r="C408">
        <v>1740</v>
      </c>
      <c r="D408">
        <v>407</v>
      </c>
      <c r="E408">
        <v>6500</v>
      </c>
      <c r="F408" t="s">
        <v>59</v>
      </c>
      <c r="G408">
        <v>6</v>
      </c>
      <c r="H408" t="s">
        <v>133</v>
      </c>
      <c r="I408">
        <v>16</v>
      </c>
      <c r="J408" s="54">
        <f t="shared" si="6"/>
        <v>6</v>
      </c>
    </row>
    <row r="409" spans="1:10">
      <c r="A409" s="43">
        <v>43522</v>
      </c>
      <c r="B409">
        <v>2001</v>
      </c>
      <c r="C409">
        <v>1835</v>
      </c>
      <c r="D409">
        <v>408</v>
      </c>
      <c r="E409">
        <v>7400</v>
      </c>
      <c r="F409" t="s">
        <v>59</v>
      </c>
      <c r="G409">
        <v>5</v>
      </c>
      <c r="H409" t="s">
        <v>133</v>
      </c>
      <c r="I409">
        <v>18</v>
      </c>
      <c r="J409" s="54">
        <f t="shared" si="6"/>
        <v>5</v>
      </c>
    </row>
    <row r="410" spans="1:10">
      <c r="A410" s="43">
        <v>43397</v>
      </c>
      <c r="B410">
        <v>2001</v>
      </c>
      <c r="C410">
        <v>1835</v>
      </c>
      <c r="D410">
        <v>409</v>
      </c>
      <c r="E410">
        <v>8500</v>
      </c>
      <c r="F410" t="s">
        <v>59</v>
      </c>
      <c r="G410">
        <v>4</v>
      </c>
      <c r="H410" t="s">
        <v>133</v>
      </c>
      <c r="I410">
        <v>18</v>
      </c>
      <c r="J410" s="54">
        <f t="shared" si="6"/>
        <v>4</v>
      </c>
    </row>
    <row r="411" spans="1:10">
      <c r="A411" s="43">
        <v>43311</v>
      </c>
      <c r="B411">
        <v>2001</v>
      </c>
      <c r="C411">
        <v>1835</v>
      </c>
      <c r="D411">
        <v>410</v>
      </c>
      <c r="E411">
        <v>10000</v>
      </c>
      <c r="F411" t="s">
        <v>59</v>
      </c>
      <c r="G411">
        <v>35</v>
      </c>
      <c r="H411" t="s">
        <v>60</v>
      </c>
      <c r="I411">
        <v>18</v>
      </c>
      <c r="J411" s="54">
        <f t="shared" si="6"/>
        <v>1</v>
      </c>
    </row>
    <row r="412" spans="1:10">
      <c r="A412" s="43">
        <v>43144</v>
      </c>
      <c r="B412">
        <v>2001</v>
      </c>
      <c r="C412">
        <v>1835</v>
      </c>
      <c r="D412">
        <v>411</v>
      </c>
      <c r="E412">
        <v>9000</v>
      </c>
      <c r="F412" t="s">
        <v>59</v>
      </c>
      <c r="G412">
        <v>6</v>
      </c>
      <c r="H412" t="s">
        <v>133</v>
      </c>
      <c r="I412">
        <v>18</v>
      </c>
      <c r="J412" s="54">
        <f t="shared" si="6"/>
        <v>6</v>
      </c>
    </row>
    <row r="413" spans="1:10">
      <c r="A413" s="43">
        <v>43025</v>
      </c>
      <c r="B413">
        <v>2001</v>
      </c>
      <c r="C413">
        <v>1835</v>
      </c>
      <c r="D413">
        <v>412</v>
      </c>
      <c r="E413">
        <v>7800</v>
      </c>
      <c r="F413" t="s">
        <v>59</v>
      </c>
      <c r="G413">
        <v>12</v>
      </c>
      <c r="H413" t="s">
        <v>133</v>
      </c>
      <c r="I413">
        <v>18</v>
      </c>
      <c r="J413" s="54">
        <f t="shared" si="6"/>
        <v>12</v>
      </c>
    </row>
    <row r="414" spans="1:10">
      <c r="A414" s="43">
        <v>42971</v>
      </c>
      <c r="B414">
        <v>2000</v>
      </c>
      <c r="C414">
        <v>1835</v>
      </c>
      <c r="D414">
        <v>413</v>
      </c>
      <c r="E414">
        <v>8000</v>
      </c>
      <c r="F414" t="s">
        <v>59</v>
      </c>
      <c r="G414">
        <v>7</v>
      </c>
      <c r="H414" t="s">
        <v>133</v>
      </c>
      <c r="I414">
        <v>19</v>
      </c>
      <c r="J414" s="54">
        <f t="shared" si="6"/>
        <v>7</v>
      </c>
    </row>
    <row r="415" spans="1:10">
      <c r="A415" s="43">
        <v>42734</v>
      </c>
      <c r="B415">
        <v>2001</v>
      </c>
      <c r="C415">
        <v>1835</v>
      </c>
      <c r="D415">
        <v>414</v>
      </c>
      <c r="E415">
        <v>5600</v>
      </c>
      <c r="F415" t="s">
        <v>59</v>
      </c>
      <c r="G415">
        <v>12</v>
      </c>
      <c r="H415" t="s">
        <v>133</v>
      </c>
      <c r="I415">
        <v>18</v>
      </c>
      <c r="J415" s="54">
        <f t="shared" si="6"/>
        <v>12</v>
      </c>
    </row>
    <row r="416" spans="1:10">
      <c r="A416" s="43">
        <v>42705</v>
      </c>
      <c r="B416">
        <v>2000</v>
      </c>
      <c r="C416">
        <v>1835</v>
      </c>
      <c r="D416">
        <v>415</v>
      </c>
      <c r="E416">
        <v>6500</v>
      </c>
      <c r="F416" t="s">
        <v>59</v>
      </c>
      <c r="G416">
        <v>8</v>
      </c>
      <c r="H416" t="s">
        <v>133</v>
      </c>
      <c r="I416">
        <v>19</v>
      </c>
      <c r="J416" s="54">
        <f t="shared" si="6"/>
        <v>8</v>
      </c>
    </row>
    <row r="417" spans="1:10">
      <c r="A417" s="43">
        <v>42394</v>
      </c>
      <c r="B417">
        <v>2000</v>
      </c>
      <c r="C417">
        <v>1835</v>
      </c>
      <c r="D417">
        <v>416</v>
      </c>
      <c r="E417">
        <v>7000</v>
      </c>
      <c r="F417" t="s">
        <v>59</v>
      </c>
      <c r="G417">
        <v>2</v>
      </c>
      <c r="H417" t="s">
        <v>133</v>
      </c>
      <c r="I417">
        <v>19</v>
      </c>
      <c r="J417" s="54">
        <f t="shared" si="6"/>
        <v>2</v>
      </c>
    </row>
    <row r="418" spans="1:10">
      <c r="A418" s="43">
        <v>42384</v>
      </c>
      <c r="B418">
        <v>2001</v>
      </c>
      <c r="C418">
        <v>1835</v>
      </c>
      <c r="D418">
        <v>417</v>
      </c>
      <c r="E418">
        <v>7000</v>
      </c>
      <c r="F418" t="s">
        <v>59</v>
      </c>
      <c r="G418">
        <v>5</v>
      </c>
      <c r="H418" t="s">
        <v>133</v>
      </c>
      <c r="I418">
        <v>18</v>
      </c>
      <c r="J418" s="54">
        <f t="shared" si="6"/>
        <v>5</v>
      </c>
    </row>
    <row r="419" spans="1:10">
      <c r="A419" s="43">
        <v>43437</v>
      </c>
      <c r="B419">
        <v>2003</v>
      </c>
      <c r="C419">
        <v>1858</v>
      </c>
      <c r="D419">
        <v>418</v>
      </c>
      <c r="E419">
        <v>7500</v>
      </c>
      <c r="F419" t="s">
        <v>59</v>
      </c>
      <c r="G419">
        <v>6</v>
      </c>
      <c r="H419" t="s">
        <v>133</v>
      </c>
      <c r="I419">
        <v>16</v>
      </c>
      <c r="J419" s="54">
        <f t="shared" si="6"/>
        <v>6</v>
      </c>
    </row>
    <row r="420" spans="1:10">
      <c r="A420" s="43">
        <v>43161</v>
      </c>
      <c r="B420">
        <v>2004</v>
      </c>
      <c r="C420">
        <v>1858</v>
      </c>
      <c r="D420">
        <v>419</v>
      </c>
      <c r="E420">
        <v>8500</v>
      </c>
      <c r="F420" t="s">
        <v>59</v>
      </c>
      <c r="G420">
        <v>5</v>
      </c>
      <c r="H420" t="s">
        <v>133</v>
      </c>
      <c r="I420">
        <v>15</v>
      </c>
      <c r="J420" s="54">
        <f t="shared" si="6"/>
        <v>5</v>
      </c>
    </row>
    <row r="421" spans="1:10">
      <c r="A421" s="43">
        <v>43067</v>
      </c>
      <c r="B421">
        <v>2004</v>
      </c>
      <c r="C421">
        <v>1858</v>
      </c>
      <c r="D421">
        <v>420</v>
      </c>
      <c r="E421">
        <v>8000</v>
      </c>
      <c r="F421" t="s">
        <v>59</v>
      </c>
      <c r="G421">
        <v>5</v>
      </c>
      <c r="H421" t="s">
        <v>133</v>
      </c>
      <c r="I421">
        <v>15</v>
      </c>
      <c r="J421" s="54">
        <f t="shared" si="6"/>
        <v>5</v>
      </c>
    </row>
    <row r="422" spans="1:10">
      <c r="A422" s="43">
        <v>43052</v>
      </c>
      <c r="B422">
        <v>2004</v>
      </c>
      <c r="C422">
        <v>1858</v>
      </c>
      <c r="D422">
        <v>421</v>
      </c>
      <c r="E422">
        <v>7200</v>
      </c>
      <c r="F422" t="s">
        <v>59</v>
      </c>
      <c r="G422">
        <v>4</v>
      </c>
      <c r="H422" t="s">
        <v>133</v>
      </c>
      <c r="I422">
        <v>15</v>
      </c>
      <c r="J422" s="54">
        <f t="shared" si="6"/>
        <v>4</v>
      </c>
    </row>
    <row r="423" spans="1:10">
      <c r="A423" s="43">
        <v>42919</v>
      </c>
      <c r="B423">
        <v>2004</v>
      </c>
      <c r="C423">
        <v>1858</v>
      </c>
      <c r="D423">
        <v>422</v>
      </c>
      <c r="E423">
        <v>6800</v>
      </c>
      <c r="F423" t="s">
        <v>59</v>
      </c>
      <c r="G423">
        <v>40</v>
      </c>
      <c r="H423" t="s">
        <v>60</v>
      </c>
      <c r="I423">
        <v>15</v>
      </c>
      <c r="J423" s="54">
        <f t="shared" si="6"/>
        <v>1</v>
      </c>
    </row>
    <row r="424" spans="1:10">
      <c r="A424" s="43">
        <v>42887</v>
      </c>
      <c r="B424">
        <v>2004</v>
      </c>
      <c r="C424">
        <v>1858</v>
      </c>
      <c r="D424">
        <v>423</v>
      </c>
      <c r="E424">
        <v>7450</v>
      </c>
      <c r="F424" t="s">
        <v>59</v>
      </c>
      <c r="G424">
        <v>6</v>
      </c>
      <c r="H424" t="s">
        <v>133</v>
      </c>
      <c r="I424">
        <v>15</v>
      </c>
      <c r="J424" s="54">
        <f t="shared" si="6"/>
        <v>6</v>
      </c>
    </row>
    <row r="425" spans="1:10">
      <c r="A425" s="43">
        <v>42570</v>
      </c>
      <c r="B425">
        <v>2004</v>
      </c>
      <c r="C425">
        <v>1858</v>
      </c>
      <c r="D425">
        <v>424</v>
      </c>
      <c r="E425">
        <v>7000</v>
      </c>
      <c r="F425" t="s">
        <v>59</v>
      </c>
      <c r="G425">
        <v>4</v>
      </c>
      <c r="H425" t="s">
        <v>133</v>
      </c>
      <c r="I425">
        <v>15</v>
      </c>
      <c r="J425" s="54">
        <f t="shared" si="6"/>
        <v>4</v>
      </c>
    </row>
    <row r="426" spans="1:10">
      <c r="A426" s="43">
        <v>42559</v>
      </c>
      <c r="B426">
        <v>2003</v>
      </c>
      <c r="C426">
        <v>1858</v>
      </c>
      <c r="D426">
        <v>425</v>
      </c>
      <c r="E426">
        <v>6750</v>
      </c>
      <c r="F426" t="s">
        <v>59</v>
      </c>
      <c r="G426">
        <v>8</v>
      </c>
      <c r="H426" t="s">
        <v>133</v>
      </c>
      <c r="I426">
        <v>16</v>
      </c>
      <c r="J426" s="54">
        <f t="shared" si="6"/>
        <v>8</v>
      </c>
    </row>
    <row r="427" spans="1:10">
      <c r="A427" s="43">
        <v>43417</v>
      </c>
      <c r="B427">
        <v>2001</v>
      </c>
      <c r="C427">
        <v>2078</v>
      </c>
      <c r="D427">
        <v>426</v>
      </c>
      <c r="E427">
        <v>7650</v>
      </c>
      <c r="F427" t="s">
        <v>59</v>
      </c>
      <c r="G427">
        <v>12</v>
      </c>
      <c r="H427" t="s">
        <v>133</v>
      </c>
      <c r="I427">
        <v>18</v>
      </c>
      <c r="J427" s="54">
        <f t="shared" si="6"/>
        <v>12</v>
      </c>
    </row>
    <row r="428" spans="1:10">
      <c r="A428" s="43">
        <v>43349</v>
      </c>
      <c r="B428">
        <v>2001</v>
      </c>
      <c r="C428">
        <v>2078</v>
      </c>
      <c r="D428">
        <v>427</v>
      </c>
      <c r="E428">
        <v>10000</v>
      </c>
      <c r="F428" t="s">
        <v>59</v>
      </c>
      <c r="G428">
        <v>9</v>
      </c>
      <c r="H428" t="s">
        <v>133</v>
      </c>
      <c r="I428">
        <v>18</v>
      </c>
      <c r="J428" s="54">
        <f t="shared" si="6"/>
        <v>9</v>
      </c>
    </row>
    <row r="429" spans="1:10">
      <c r="A429" s="43">
        <v>43125</v>
      </c>
      <c r="B429">
        <v>2001</v>
      </c>
      <c r="C429">
        <v>2078</v>
      </c>
      <c r="D429">
        <v>428</v>
      </c>
      <c r="E429">
        <v>8350</v>
      </c>
      <c r="F429" t="s">
        <v>59</v>
      </c>
      <c r="G429">
        <v>4</v>
      </c>
      <c r="H429" t="s">
        <v>133</v>
      </c>
      <c r="I429">
        <v>18</v>
      </c>
      <c r="J429" s="54">
        <f t="shared" si="6"/>
        <v>4</v>
      </c>
    </row>
    <row r="430" spans="1:10">
      <c r="A430" s="43">
        <v>42821</v>
      </c>
      <c r="B430">
        <v>2001</v>
      </c>
      <c r="C430">
        <v>2078</v>
      </c>
      <c r="D430">
        <v>429</v>
      </c>
      <c r="E430">
        <v>7000</v>
      </c>
      <c r="F430" t="s">
        <v>59</v>
      </c>
      <c r="G430">
        <v>12</v>
      </c>
      <c r="H430" t="s">
        <v>133</v>
      </c>
      <c r="I430">
        <v>18</v>
      </c>
      <c r="J430" s="54">
        <f t="shared" si="6"/>
        <v>12</v>
      </c>
    </row>
    <row r="431" spans="1:10">
      <c r="A431" s="43">
        <v>42746</v>
      </c>
      <c r="B431">
        <v>2001</v>
      </c>
      <c r="C431">
        <v>2078</v>
      </c>
      <c r="D431">
        <v>430</v>
      </c>
      <c r="E431">
        <v>5900</v>
      </c>
      <c r="F431" t="s">
        <v>59</v>
      </c>
      <c r="G431">
        <v>90</v>
      </c>
      <c r="H431" t="s">
        <v>60</v>
      </c>
      <c r="I431">
        <v>18</v>
      </c>
      <c r="J431" s="54">
        <f t="shared" si="6"/>
        <v>3</v>
      </c>
    </row>
    <row r="432" spans="1:10">
      <c r="A432" s="43">
        <v>42597</v>
      </c>
      <c r="B432">
        <v>2001</v>
      </c>
      <c r="C432">
        <v>2078</v>
      </c>
      <c r="D432">
        <v>431</v>
      </c>
      <c r="E432">
        <v>5850</v>
      </c>
      <c r="F432" t="s">
        <v>59</v>
      </c>
      <c r="G432">
        <v>8</v>
      </c>
      <c r="H432" t="s">
        <v>133</v>
      </c>
      <c r="I432">
        <v>18</v>
      </c>
      <c r="J432" s="54">
        <f t="shared" si="6"/>
        <v>8</v>
      </c>
    </row>
    <row r="433" spans="1:10">
      <c r="A433" s="43">
        <v>42464</v>
      </c>
      <c r="B433">
        <v>2001</v>
      </c>
      <c r="C433">
        <v>2078</v>
      </c>
      <c r="D433">
        <v>432</v>
      </c>
      <c r="E433">
        <v>6000</v>
      </c>
      <c r="F433" t="s">
        <v>59</v>
      </c>
      <c r="G433">
        <v>6</v>
      </c>
      <c r="H433" t="s">
        <v>133</v>
      </c>
      <c r="I433">
        <v>18</v>
      </c>
      <c r="J433" s="54">
        <f t="shared" si="6"/>
        <v>6</v>
      </c>
    </row>
    <row r="434" spans="1:10">
      <c r="A434" s="43">
        <v>42705</v>
      </c>
      <c r="B434">
        <v>2003</v>
      </c>
      <c r="C434">
        <v>2202</v>
      </c>
      <c r="D434">
        <v>433</v>
      </c>
      <c r="E434">
        <v>5500</v>
      </c>
      <c r="F434" t="s">
        <v>59</v>
      </c>
      <c r="G434">
        <v>9</v>
      </c>
      <c r="H434" t="s">
        <v>133</v>
      </c>
      <c r="I434">
        <v>16</v>
      </c>
      <c r="J434" s="54">
        <f t="shared" si="6"/>
        <v>9</v>
      </c>
    </row>
    <row r="435" spans="1:10">
      <c r="A435" s="43">
        <v>42563</v>
      </c>
      <c r="B435">
        <v>2003</v>
      </c>
      <c r="C435">
        <v>2202</v>
      </c>
      <c r="D435">
        <v>434</v>
      </c>
      <c r="E435">
        <v>6300</v>
      </c>
      <c r="F435" t="s">
        <v>59</v>
      </c>
      <c r="G435">
        <v>11</v>
      </c>
      <c r="H435" t="s">
        <v>133</v>
      </c>
      <c r="I435">
        <v>16</v>
      </c>
      <c r="J435" s="54">
        <f t="shared" si="6"/>
        <v>11</v>
      </c>
    </row>
    <row r="436" spans="1:10">
      <c r="A436" s="43">
        <v>43537</v>
      </c>
      <c r="B436">
        <v>2002</v>
      </c>
      <c r="C436">
        <v>2207</v>
      </c>
      <c r="D436">
        <v>435</v>
      </c>
      <c r="E436">
        <v>7200</v>
      </c>
      <c r="F436" t="s">
        <v>59</v>
      </c>
      <c r="G436">
        <v>7</v>
      </c>
      <c r="H436" t="s">
        <v>133</v>
      </c>
      <c r="I436">
        <v>17</v>
      </c>
      <c r="J436" s="54">
        <f t="shared" si="6"/>
        <v>7</v>
      </c>
    </row>
    <row r="437" spans="1:10">
      <c r="A437" s="43">
        <v>43426</v>
      </c>
      <c r="B437">
        <v>2002</v>
      </c>
      <c r="C437">
        <v>2207</v>
      </c>
      <c r="D437">
        <v>436</v>
      </c>
      <c r="E437">
        <v>9800</v>
      </c>
      <c r="F437" t="s">
        <v>59</v>
      </c>
      <c r="G437">
        <v>12</v>
      </c>
      <c r="H437" t="s">
        <v>133</v>
      </c>
      <c r="I437">
        <v>17</v>
      </c>
      <c r="J437" s="54">
        <f t="shared" si="6"/>
        <v>12</v>
      </c>
    </row>
    <row r="438" spans="1:10">
      <c r="A438" s="43">
        <v>43426</v>
      </c>
      <c r="B438">
        <v>2002</v>
      </c>
      <c r="C438">
        <v>2207</v>
      </c>
      <c r="D438">
        <v>437</v>
      </c>
      <c r="E438">
        <v>9800</v>
      </c>
      <c r="F438" t="s">
        <v>59</v>
      </c>
      <c r="G438">
        <v>12</v>
      </c>
      <c r="H438" t="s">
        <v>133</v>
      </c>
      <c r="I438">
        <v>17</v>
      </c>
      <c r="J438" s="54">
        <f t="shared" si="6"/>
        <v>12</v>
      </c>
    </row>
    <row r="439" spans="1:10">
      <c r="A439" s="43">
        <v>43425</v>
      </c>
      <c r="B439">
        <v>2003</v>
      </c>
      <c r="C439">
        <v>2207</v>
      </c>
      <c r="D439">
        <v>438</v>
      </c>
      <c r="E439">
        <v>8450</v>
      </c>
      <c r="F439" t="s">
        <v>59</v>
      </c>
      <c r="G439">
        <v>10</v>
      </c>
      <c r="H439" t="s">
        <v>133</v>
      </c>
      <c r="I439">
        <v>16</v>
      </c>
      <c r="J439" s="54">
        <f t="shared" si="6"/>
        <v>10</v>
      </c>
    </row>
    <row r="440" spans="1:10">
      <c r="A440" s="43">
        <v>43364</v>
      </c>
      <c r="B440">
        <v>2002</v>
      </c>
      <c r="C440">
        <v>2207</v>
      </c>
      <c r="D440">
        <v>439</v>
      </c>
      <c r="E440">
        <v>7800</v>
      </c>
      <c r="F440" t="s">
        <v>59</v>
      </c>
      <c r="G440">
        <v>5</v>
      </c>
      <c r="H440" t="s">
        <v>133</v>
      </c>
      <c r="I440">
        <v>17</v>
      </c>
      <c r="J440" s="54">
        <f t="shared" si="6"/>
        <v>5</v>
      </c>
    </row>
    <row r="441" spans="1:10">
      <c r="A441" s="43">
        <v>43005</v>
      </c>
      <c r="B441">
        <v>2002</v>
      </c>
      <c r="C441">
        <v>2207</v>
      </c>
      <c r="D441">
        <v>440</v>
      </c>
      <c r="E441">
        <v>7800</v>
      </c>
      <c r="F441" t="s">
        <v>59</v>
      </c>
      <c r="G441">
        <v>12</v>
      </c>
      <c r="H441" t="s">
        <v>133</v>
      </c>
      <c r="I441">
        <v>17</v>
      </c>
      <c r="J441" s="54">
        <f t="shared" si="6"/>
        <v>12</v>
      </c>
    </row>
    <row r="442" spans="1:10">
      <c r="A442" s="43">
        <v>43005</v>
      </c>
      <c r="B442">
        <v>2003</v>
      </c>
      <c r="C442">
        <v>2207</v>
      </c>
      <c r="D442">
        <v>441</v>
      </c>
      <c r="E442">
        <v>7800</v>
      </c>
      <c r="F442" t="s">
        <v>59</v>
      </c>
      <c r="G442">
        <v>12</v>
      </c>
      <c r="H442" t="s">
        <v>133</v>
      </c>
      <c r="I442">
        <v>16</v>
      </c>
      <c r="J442" s="54">
        <f t="shared" si="6"/>
        <v>12</v>
      </c>
    </row>
    <row r="443" spans="1:10">
      <c r="A443" s="43">
        <v>42996</v>
      </c>
      <c r="B443">
        <v>2003</v>
      </c>
      <c r="C443">
        <v>2207</v>
      </c>
      <c r="D443">
        <v>442</v>
      </c>
      <c r="E443">
        <v>7800</v>
      </c>
      <c r="F443" t="s">
        <v>59</v>
      </c>
      <c r="G443">
        <v>12</v>
      </c>
      <c r="H443" t="s">
        <v>133</v>
      </c>
      <c r="I443">
        <v>16</v>
      </c>
      <c r="J443" s="54">
        <f t="shared" si="6"/>
        <v>12</v>
      </c>
    </row>
    <row r="444" spans="1:10">
      <c r="A444" s="43">
        <v>43559</v>
      </c>
      <c r="B444">
        <v>2000</v>
      </c>
      <c r="C444">
        <v>2226</v>
      </c>
      <c r="D444">
        <v>443</v>
      </c>
      <c r="E444">
        <v>7900</v>
      </c>
      <c r="F444" t="s">
        <v>59</v>
      </c>
      <c r="G444">
        <v>6</v>
      </c>
      <c r="H444" t="s">
        <v>133</v>
      </c>
      <c r="I444">
        <v>19</v>
      </c>
      <c r="J444" s="54">
        <f t="shared" si="6"/>
        <v>6</v>
      </c>
    </row>
    <row r="445" spans="1:10">
      <c r="A445" s="43">
        <v>43332</v>
      </c>
      <c r="B445">
        <v>2000</v>
      </c>
      <c r="C445">
        <v>2226</v>
      </c>
      <c r="D445">
        <v>444</v>
      </c>
      <c r="E445">
        <v>10000</v>
      </c>
      <c r="F445" t="s">
        <v>59</v>
      </c>
      <c r="G445">
        <v>6</v>
      </c>
      <c r="H445" t="s">
        <v>133</v>
      </c>
      <c r="I445">
        <v>19</v>
      </c>
      <c r="J445" s="54">
        <f t="shared" si="6"/>
        <v>6</v>
      </c>
    </row>
    <row r="446" spans="1:10">
      <c r="A446" s="43">
        <v>43007</v>
      </c>
      <c r="B446">
        <v>2000</v>
      </c>
      <c r="C446">
        <v>2226</v>
      </c>
      <c r="D446">
        <v>445</v>
      </c>
      <c r="E446">
        <v>7700</v>
      </c>
      <c r="F446" t="s">
        <v>59</v>
      </c>
      <c r="G446">
        <v>10</v>
      </c>
      <c r="H446" t="s">
        <v>133</v>
      </c>
      <c r="I446">
        <v>19</v>
      </c>
      <c r="J446" s="54">
        <f t="shared" si="6"/>
        <v>10</v>
      </c>
    </row>
    <row r="447" spans="1:10">
      <c r="A447" s="43">
        <v>42709</v>
      </c>
      <c r="B447">
        <v>2000</v>
      </c>
      <c r="C447">
        <v>2226</v>
      </c>
      <c r="D447">
        <v>446</v>
      </c>
      <c r="E447">
        <v>6250</v>
      </c>
      <c r="F447" t="s">
        <v>59</v>
      </c>
      <c r="G447">
        <v>10</v>
      </c>
      <c r="H447" t="s">
        <v>133</v>
      </c>
      <c r="I447">
        <v>19</v>
      </c>
      <c r="J447" s="54">
        <f t="shared" si="6"/>
        <v>10</v>
      </c>
    </row>
    <row r="448" spans="1:10">
      <c r="A448" s="43">
        <v>42644</v>
      </c>
      <c r="B448">
        <v>2000</v>
      </c>
      <c r="C448">
        <v>2226</v>
      </c>
      <c r="D448">
        <v>447</v>
      </c>
      <c r="E448">
        <v>5800</v>
      </c>
      <c r="F448" t="s">
        <v>59</v>
      </c>
      <c r="G448">
        <v>12</v>
      </c>
      <c r="H448" t="s">
        <v>133</v>
      </c>
      <c r="I448">
        <v>19</v>
      </c>
      <c r="J448" s="54">
        <f t="shared" si="6"/>
        <v>12</v>
      </c>
    </row>
    <row r="449" spans="1:10">
      <c r="A449" s="43">
        <v>42480</v>
      </c>
      <c r="B449">
        <v>2000</v>
      </c>
      <c r="C449">
        <v>2226</v>
      </c>
      <c r="D449">
        <v>448</v>
      </c>
      <c r="E449">
        <v>8750</v>
      </c>
      <c r="F449" t="s">
        <v>59</v>
      </c>
      <c r="G449">
        <v>7</v>
      </c>
      <c r="H449" t="s">
        <v>133</v>
      </c>
      <c r="I449">
        <v>19</v>
      </c>
      <c r="J449" s="54">
        <f t="shared" si="6"/>
        <v>7</v>
      </c>
    </row>
    <row r="450" spans="1:10">
      <c r="A450" s="43">
        <v>42444</v>
      </c>
      <c r="B450">
        <v>2000</v>
      </c>
      <c r="C450">
        <v>2226</v>
      </c>
      <c r="D450">
        <v>449</v>
      </c>
      <c r="E450">
        <v>6000</v>
      </c>
      <c r="F450" t="s">
        <v>59</v>
      </c>
      <c r="G450">
        <v>12</v>
      </c>
      <c r="H450" t="s">
        <v>133</v>
      </c>
      <c r="I450">
        <v>19</v>
      </c>
      <c r="J450" s="54">
        <f t="shared" ref="J450:J513" si="7">IF(H450="days",ROUND(G450/30,0),IF(H450="years",G450*12,G450))</f>
        <v>12</v>
      </c>
    </row>
    <row r="451" spans="1:10">
      <c r="A451" s="43">
        <v>42430</v>
      </c>
      <c r="B451">
        <v>2000</v>
      </c>
      <c r="C451">
        <v>2226</v>
      </c>
      <c r="D451">
        <v>450</v>
      </c>
      <c r="E451">
        <v>6500</v>
      </c>
      <c r="F451" t="s">
        <v>59</v>
      </c>
      <c r="G451">
        <v>13</v>
      </c>
      <c r="H451" t="s">
        <v>133</v>
      </c>
      <c r="I451">
        <v>19</v>
      </c>
      <c r="J451" s="54">
        <f t="shared" si="7"/>
        <v>13</v>
      </c>
    </row>
    <row r="452" spans="1:10">
      <c r="A452" s="43">
        <v>43557</v>
      </c>
      <c r="B452">
        <v>2005</v>
      </c>
      <c r="C452">
        <v>2378</v>
      </c>
      <c r="D452">
        <v>451</v>
      </c>
      <c r="E452">
        <v>8100</v>
      </c>
      <c r="F452" t="s">
        <v>59</v>
      </c>
      <c r="G452">
        <v>12</v>
      </c>
      <c r="H452" t="s">
        <v>133</v>
      </c>
      <c r="I452">
        <v>14</v>
      </c>
      <c r="J452" s="54">
        <f t="shared" si="7"/>
        <v>12</v>
      </c>
    </row>
    <row r="453" spans="1:10">
      <c r="A453" s="43">
        <v>43552</v>
      </c>
      <c r="B453">
        <v>2005</v>
      </c>
      <c r="C453">
        <v>2378</v>
      </c>
      <c r="D453">
        <v>452</v>
      </c>
      <c r="E453">
        <v>8100</v>
      </c>
      <c r="F453" t="s">
        <v>59</v>
      </c>
      <c r="G453">
        <v>12</v>
      </c>
      <c r="H453" t="s">
        <v>133</v>
      </c>
      <c r="I453">
        <v>14</v>
      </c>
      <c r="J453" s="54">
        <f t="shared" si="7"/>
        <v>12</v>
      </c>
    </row>
    <row r="454" spans="1:10">
      <c r="A454" s="43">
        <v>43180</v>
      </c>
      <c r="B454">
        <v>2005</v>
      </c>
      <c r="C454">
        <v>2378</v>
      </c>
      <c r="D454">
        <v>453</v>
      </c>
      <c r="E454">
        <v>9700</v>
      </c>
      <c r="F454" t="s">
        <v>59</v>
      </c>
      <c r="G454">
        <v>12</v>
      </c>
      <c r="H454" t="s">
        <v>133</v>
      </c>
      <c r="I454">
        <v>14</v>
      </c>
      <c r="J454" s="54">
        <f t="shared" si="7"/>
        <v>12</v>
      </c>
    </row>
    <row r="455" spans="1:10">
      <c r="A455" s="43">
        <v>42773</v>
      </c>
      <c r="B455">
        <v>2005</v>
      </c>
      <c r="C455">
        <v>2378</v>
      </c>
      <c r="D455">
        <v>454</v>
      </c>
      <c r="E455">
        <v>6150</v>
      </c>
      <c r="F455" t="s">
        <v>59</v>
      </c>
      <c r="G455">
        <v>12</v>
      </c>
      <c r="H455" t="s">
        <v>133</v>
      </c>
      <c r="I455">
        <v>14</v>
      </c>
      <c r="J455" s="54">
        <f t="shared" si="7"/>
        <v>12</v>
      </c>
    </row>
    <row r="456" spans="1:10">
      <c r="A456" s="43">
        <v>42760</v>
      </c>
      <c r="B456">
        <v>2005</v>
      </c>
      <c r="C456">
        <v>2378</v>
      </c>
      <c r="D456">
        <v>455</v>
      </c>
      <c r="E456">
        <v>5800</v>
      </c>
      <c r="F456" t="s">
        <v>59</v>
      </c>
      <c r="G456">
        <v>2</v>
      </c>
      <c r="H456" t="s">
        <v>133</v>
      </c>
      <c r="I456">
        <v>14</v>
      </c>
      <c r="J456" s="54">
        <f t="shared" si="7"/>
        <v>2</v>
      </c>
    </row>
    <row r="457" spans="1:10">
      <c r="A457" s="43">
        <v>43535</v>
      </c>
      <c r="B457">
        <v>2000</v>
      </c>
      <c r="C457">
        <v>2442</v>
      </c>
      <c r="D457">
        <v>456</v>
      </c>
      <c r="E457">
        <v>8600</v>
      </c>
      <c r="F457" t="s">
        <v>59</v>
      </c>
      <c r="G457">
        <v>6</v>
      </c>
      <c r="H457" t="s">
        <v>133</v>
      </c>
      <c r="I457">
        <v>19</v>
      </c>
      <c r="J457" s="54">
        <f t="shared" si="7"/>
        <v>6</v>
      </c>
    </row>
    <row r="458" spans="1:10">
      <c r="A458" s="43">
        <v>43305</v>
      </c>
      <c r="B458">
        <v>2000</v>
      </c>
      <c r="C458">
        <v>2442</v>
      </c>
      <c r="D458">
        <v>457</v>
      </c>
      <c r="E458">
        <v>12000</v>
      </c>
      <c r="F458" t="s">
        <v>59</v>
      </c>
      <c r="G458">
        <v>11.5</v>
      </c>
      <c r="H458" t="s">
        <v>133</v>
      </c>
      <c r="I458">
        <v>19</v>
      </c>
      <c r="J458" s="54">
        <f t="shared" si="7"/>
        <v>11.5</v>
      </c>
    </row>
    <row r="459" spans="1:10">
      <c r="A459" s="43">
        <v>43231</v>
      </c>
      <c r="B459">
        <v>2000</v>
      </c>
      <c r="C459">
        <v>2442</v>
      </c>
      <c r="D459">
        <v>458</v>
      </c>
      <c r="E459">
        <v>11950</v>
      </c>
      <c r="F459" t="s">
        <v>59</v>
      </c>
      <c r="G459">
        <v>11</v>
      </c>
      <c r="H459" t="s">
        <v>133</v>
      </c>
      <c r="I459">
        <v>19</v>
      </c>
      <c r="J459" s="54">
        <f t="shared" si="7"/>
        <v>11</v>
      </c>
    </row>
    <row r="460" spans="1:10">
      <c r="A460" s="43">
        <v>43018</v>
      </c>
      <c r="B460">
        <v>2000</v>
      </c>
      <c r="C460">
        <v>2442</v>
      </c>
      <c r="D460">
        <v>459</v>
      </c>
      <c r="E460">
        <v>9300</v>
      </c>
      <c r="F460" t="s">
        <v>59</v>
      </c>
      <c r="G460">
        <v>12</v>
      </c>
      <c r="H460" t="s">
        <v>133</v>
      </c>
      <c r="I460">
        <v>19</v>
      </c>
      <c r="J460" s="54">
        <f t="shared" si="7"/>
        <v>12</v>
      </c>
    </row>
    <row r="461" spans="1:10">
      <c r="A461" s="43">
        <v>43005</v>
      </c>
      <c r="B461">
        <v>2000</v>
      </c>
      <c r="C461">
        <v>2442</v>
      </c>
      <c r="D461">
        <v>460</v>
      </c>
      <c r="E461">
        <v>9300</v>
      </c>
      <c r="F461" t="s">
        <v>59</v>
      </c>
      <c r="G461">
        <v>5</v>
      </c>
      <c r="H461" t="s">
        <v>133</v>
      </c>
      <c r="I461">
        <v>19</v>
      </c>
      <c r="J461" s="54">
        <f t="shared" si="7"/>
        <v>5</v>
      </c>
    </row>
    <row r="462" spans="1:10">
      <c r="A462" s="43">
        <v>42844</v>
      </c>
      <c r="B462">
        <v>2000</v>
      </c>
      <c r="C462">
        <v>2442</v>
      </c>
      <c r="D462">
        <v>461</v>
      </c>
      <c r="E462">
        <v>9300</v>
      </c>
      <c r="F462" t="s">
        <v>59</v>
      </c>
      <c r="G462">
        <v>6</v>
      </c>
      <c r="H462" t="s">
        <v>133</v>
      </c>
      <c r="I462">
        <v>19</v>
      </c>
      <c r="J462" s="54">
        <f t="shared" si="7"/>
        <v>6</v>
      </c>
    </row>
    <row r="463" spans="1:10">
      <c r="A463" s="43">
        <v>42641</v>
      </c>
      <c r="B463">
        <v>2000</v>
      </c>
      <c r="C463">
        <v>2442</v>
      </c>
      <c r="D463">
        <v>462</v>
      </c>
      <c r="E463">
        <v>6000</v>
      </c>
      <c r="F463" t="s">
        <v>59</v>
      </c>
      <c r="G463">
        <v>8</v>
      </c>
      <c r="H463" t="s">
        <v>133</v>
      </c>
      <c r="I463">
        <v>19</v>
      </c>
      <c r="J463" s="54">
        <f t="shared" si="7"/>
        <v>8</v>
      </c>
    </row>
    <row r="464" spans="1:10">
      <c r="A464" s="43">
        <v>42537</v>
      </c>
      <c r="B464">
        <v>2000</v>
      </c>
      <c r="C464">
        <v>2442</v>
      </c>
      <c r="D464">
        <v>463</v>
      </c>
      <c r="E464">
        <v>7700</v>
      </c>
      <c r="F464" t="s">
        <v>59</v>
      </c>
      <c r="G464">
        <v>12</v>
      </c>
      <c r="H464" t="s">
        <v>133</v>
      </c>
      <c r="I464">
        <v>19</v>
      </c>
      <c r="J464" s="54">
        <f t="shared" si="7"/>
        <v>12</v>
      </c>
    </row>
    <row r="465" spans="1:10">
      <c r="A465" s="43">
        <v>42408</v>
      </c>
      <c r="B465">
        <v>2000</v>
      </c>
      <c r="C465">
        <v>2442</v>
      </c>
      <c r="D465">
        <v>464</v>
      </c>
      <c r="E465">
        <v>6000</v>
      </c>
      <c r="F465" t="s">
        <v>59</v>
      </c>
      <c r="G465">
        <v>8</v>
      </c>
      <c r="H465" t="s">
        <v>133</v>
      </c>
      <c r="I465">
        <v>19</v>
      </c>
      <c r="J465" s="54">
        <f t="shared" si="7"/>
        <v>8</v>
      </c>
    </row>
    <row r="466" spans="1:10">
      <c r="A466" s="43">
        <v>43579</v>
      </c>
      <c r="B466">
        <v>2002</v>
      </c>
      <c r="C466">
        <v>2452</v>
      </c>
      <c r="D466">
        <v>465</v>
      </c>
      <c r="E466">
        <v>9250</v>
      </c>
      <c r="F466" t="s">
        <v>59</v>
      </c>
      <c r="G466">
        <v>3</v>
      </c>
      <c r="H466" t="s">
        <v>133</v>
      </c>
      <c r="I466">
        <v>17</v>
      </c>
      <c r="J466" s="54">
        <f t="shared" si="7"/>
        <v>3</v>
      </c>
    </row>
    <row r="467" spans="1:10">
      <c r="A467" s="43">
        <v>43514</v>
      </c>
      <c r="B467">
        <v>2002</v>
      </c>
      <c r="C467">
        <v>2452</v>
      </c>
      <c r="D467">
        <v>466</v>
      </c>
      <c r="E467">
        <v>8500</v>
      </c>
      <c r="F467" t="s">
        <v>59</v>
      </c>
      <c r="G467">
        <v>6</v>
      </c>
      <c r="H467" t="s">
        <v>133</v>
      </c>
      <c r="I467">
        <v>17</v>
      </c>
      <c r="J467" s="54">
        <f t="shared" si="7"/>
        <v>6</v>
      </c>
    </row>
    <row r="468" spans="1:10">
      <c r="A468" s="43">
        <v>43389</v>
      </c>
      <c r="B468">
        <v>2001</v>
      </c>
      <c r="C468">
        <v>2452</v>
      </c>
      <c r="D468">
        <v>467</v>
      </c>
      <c r="E468">
        <v>11000</v>
      </c>
      <c r="F468" t="s">
        <v>59</v>
      </c>
      <c r="G468">
        <v>8</v>
      </c>
      <c r="H468" t="s">
        <v>133</v>
      </c>
      <c r="I468">
        <v>18</v>
      </c>
      <c r="J468" s="54">
        <f t="shared" si="7"/>
        <v>8</v>
      </c>
    </row>
    <row r="469" spans="1:10">
      <c r="A469" s="43">
        <v>43374</v>
      </c>
      <c r="B469">
        <v>2002</v>
      </c>
      <c r="C469">
        <v>2452</v>
      </c>
      <c r="D469">
        <v>468</v>
      </c>
      <c r="E469">
        <v>10000</v>
      </c>
      <c r="F469" t="s">
        <v>59</v>
      </c>
      <c r="G469">
        <v>8</v>
      </c>
      <c r="H469" t="s">
        <v>133</v>
      </c>
      <c r="I469">
        <v>17</v>
      </c>
      <c r="J469" s="54">
        <f t="shared" si="7"/>
        <v>8</v>
      </c>
    </row>
    <row r="470" spans="1:10">
      <c r="A470" s="43">
        <v>43214</v>
      </c>
      <c r="B470">
        <v>2002</v>
      </c>
      <c r="C470">
        <v>2452</v>
      </c>
      <c r="D470">
        <v>469</v>
      </c>
      <c r="E470">
        <v>11350</v>
      </c>
      <c r="F470" t="s">
        <v>59</v>
      </c>
      <c r="G470">
        <v>7</v>
      </c>
      <c r="H470" t="s">
        <v>133</v>
      </c>
      <c r="I470">
        <v>17</v>
      </c>
      <c r="J470" s="54">
        <f t="shared" si="7"/>
        <v>7</v>
      </c>
    </row>
    <row r="471" spans="1:10">
      <c r="A471" s="43">
        <v>43185</v>
      </c>
      <c r="B471">
        <v>2001</v>
      </c>
      <c r="C471">
        <v>2452</v>
      </c>
      <c r="D471">
        <v>470</v>
      </c>
      <c r="E471">
        <v>10500</v>
      </c>
      <c r="F471" t="s">
        <v>59</v>
      </c>
      <c r="G471">
        <v>7</v>
      </c>
      <c r="H471" t="s">
        <v>133</v>
      </c>
      <c r="I471">
        <v>18</v>
      </c>
      <c r="J471" s="54">
        <f t="shared" si="7"/>
        <v>7</v>
      </c>
    </row>
    <row r="472" spans="1:10">
      <c r="A472" s="43">
        <v>43059</v>
      </c>
      <c r="B472">
        <v>2002</v>
      </c>
      <c r="C472">
        <v>2452</v>
      </c>
      <c r="D472">
        <v>471</v>
      </c>
      <c r="E472">
        <v>8850</v>
      </c>
      <c r="F472" t="s">
        <v>59</v>
      </c>
      <c r="G472">
        <v>5</v>
      </c>
      <c r="H472" t="s">
        <v>133</v>
      </c>
      <c r="I472">
        <v>17</v>
      </c>
      <c r="J472" s="54">
        <f t="shared" si="7"/>
        <v>5</v>
      </c>
    </row>
    <row r="473" spans="1:10">
      <c r="A473" s="43">
        <v>43021</v>
      </c>
      <c r="B473">
        <v>2002</v>
      </c>
      <c r="C473">
        <v>2452</v>
      </c>
      <c r="D473">
        <v>472</v>
      </c>
      <c r="E473">
        <v>8250</v>
      </c>
      <c r="F473" t="s">
        <v>59</v>
      </c>
      <c r="G473">
        <v>6</v>
      </c>
      <c r="H473" t="s">
        <v>133</v>
      </c>
      <c r="I473">
        <v>17</v>
      </c>
      <c r="J473" s="54">
        <f t="shared" si="7"/>
        <v>6</v>
      </c>
    </row>
    <row r="474" spans="1:10">
      <c r="A474" s="43">
        <v>42998</v>
      </c>
      <c r="B474">
        <v>2002</v>
      </c>
      <c r="C474">
        <v>2452</v>
      </c>
      <c r="D474">
        <v>473</v>
      </c>
      <c r="E474">
        <v>8500</v>
      </c>
      <c r="F474" t="s">
        <v>59</v>
      </c>
      <c r="G474">
        <v>42</v>
      </c>
      <c r="H474" t="s">
        <v>60</v>
      </c>
      <c r="I474">
        <v>17</v>
      </c>
      <c r="J474" s="54">
        <f t="shared" si="7"/>
        <v>1</v>
      </c>
    </row>
    <row r="475" spans="1:10">
      <c r="A475" s="43">
        <v>42900</v>
      </c>
      <c r="B475">
        <v>2001</v>
      </c>
      <c r="C475">
        <v>2452</v>
      </c>
      <c r="D475">
        <v>474</v>
      </c>
      <c r="E475">
        <v>9300</v>
      </c>
      <c r="F475" t="s">
        <v>59</v>
      </c>
      <c r="G475">
        <v>8</v>
      </c>
      <c r="H475" t="s">
        <v>133</v>
      </c>
      <c r="I475">
        <v>18</v>
      </c>
      <c r="J475" s="54">
        <f t="shared" si="7"/>
        <v>8</v>
      </c>
    </row>
    <row r="476" spans="1:10">
      <c r="A476" s="43">
        <v>42887</v>
      </c>
      <c r="B476">
        <v>2002</v>
      </c>
      <c r="C476">
        <v>2452</v>
      </c>
      <c r="D476">
        <v>475</v>
      </c>
      <c r="E476">
        <v>9300</v>
      </c>
      <c r="F476" t="s">
        <v>59</v>
      </c>
      <c r="G476">
        <v>8</v>
      </c>
      <c r="H476" t="s">
        <v>133</v>
      </c>
      <c r="I476">
        <v>17</v>
      </c>
      <c r="J476" s="54">
        <f t="shared" si="7"/>
        <v>8</v>
      </c>
    </row>
    <row r="477" spans="1:10">
      <c r="A477" s="43">
        <v>42779</v>
      </c>
      <c r="B477">
        <v>2002</v>
      </c>
      <c r="C477">
        <v>2452</v>
      </c>
      <c r="D477">
        <v>476</v>
      </c>
      <c r="E477">
        <v>6000</v>
      </c>
      <c r="F477" t="s">
        <v>59</v>
      </c>
      <c r="G477">
        <v>7</v>
      </c>
      <c r="H477" t="s">
        <v>133</v>
      </c>
      <c r="I477">
        <v>17</v>
      </c>
      <c r="J477" s="54">
        <f t="shared" si="7"/>
        <v>7</v>
      </c>
    </row>
    <row r="478" spans="1:10">
      <c r="A478" s="43">
        <v>42709</v>
      </c>
      <c r="B478">
        <v>2002</v>
      </c>
      <c r="C478">
        <v>2452</v>
      </c>
      <c r="D478">
        <v>477</v>
      </c>
      <c r="E478">
        <v>5450</v>
      </c>
      <c r="F478" t="s">
        <v>59</v>
      </c>
      <c r="G478">
        <v>180</v>
      </c>
      <c r="H478" t="s">
        <v>60</v>
      </c>
      <c r="I478">
        <v>17</v>
      </c>
      <c r="J478" s="54">
        <f t="shared" si="7"/>
        <v>6</v>
      </c>
    </row>
    <row r="479" spans="1:10">
      <c r="A479" s="43">
        <v>42688</v>
      </c>
      <c r="B479">
        <v>2002</v>
      </c>
      <c r="C479">
        <v>2452</v>
      </c>
      <c r="D479">
        <v>478</v>
      </c>
      <c r="E479">
        <v>5500</v>
      </c>
      <c r="F479" t="s">
        <v>59</v>
      </c>
      <c r="G479">
        <v>12</v>
      </c>
      <c r="H479" t="s">
        <v>133</v>
      </c>
      <c r="I479">
        <v>17</v>
      </c>
      <c r="J479" s="54">
        <f t="shared" si="7"/>
        <v>12</v>
      </c>
    </row>
    <row r="480" spans="1:10">
      <c r="A480" s="43">
        <v>42563</v>
      </c>
      <c r="B480">
        <v>2002</v>
      </c>
      <c r="C480">
        <v>2452</v>
      </c>
      <c r="D480">
        <v>479</v>
      </c>
      <c r="E480">
        <v>6300</v>
      </c>
      <c r="F480" t="s">
        <v>59</v>
      </c>
      <c r="G480">
        <v>12</v>
      </c>
      <c r="H480" t="s">
        <v>133</v>
      </c>
      <c r="I480">
        <v>17</v>
      </c>
      <c r="J480" s="54">
        <f t="shared" si="7"/>
        <v>12</v>
      </c>
    </row>
    <row r="481" spans="1:10">
      <c r="A481" s="43">
        <v>42436</v>
      </c>
      <c r="B481">
        <v>2002</v>
      </c>
      <c r="C481">
        <v>2452</v>
      </c>
      <c r="D481">
        <v>480</v>
      </c>
      <c r="E481">
        <v>6000</v>
      </c>
      <c r="F481" t="s">
        <v>59</v>
      </c>
      <c r="G481">
        <v>15</v>
      </c>
      <c r="H481" t="s">
        <v>133</v>
      </c>
      <c r="I481">
        <v>17</v>
      </c>
      <c r="J481" s="54">
        <f t="shared" si="7"/>
        <v>15</v>
      </c>
    </row>
    <row r="482" spans="1:10">
      <c r="A482" s="43">
        <v>42433</v>
      </c>
      <c r="B482">
        <v>2002</v>
      </c>
      <c r="C482">
        <v>2452</v>
      </c>
      <c r="D482">
        <v>481</v>
      </c>
      <c r="E482">
        <v>6000</v>
      </c>
      <c r="F482" t="s">
        <v>59</v>
      </c>
      <c r="G482">
        <v>6</v>
      </c>
      <c r="H482" t="s">
        <v>133</v>
      </c>
      <c r="I482">
        <v>17</v>
      </c>
      <c r="J482" s="54">
        <f t="shared" si="7"/>
        <v>6</v>
      </c>
    </row>
    <row r="483" spans="1:10">
      <c r="A483" s="43">
        <v>43579</v>
      </c>
      <c r="B483">
        <v>2001</v>
      </c>
      <c r="C483">
        <v>2456</v>
      </c>
      <c r="D483">
        <v>482</v>
      </c>
      <c r="E483">
        <v>8250</v>
      </c>
      <c r="F483" t="s">
        <v>59</v>
      </c>
      <c r="G483">
        <v>5</v>
      </c>
      <c r="H483" t="s">
        <v>133</v>
      </c>
      <c r="I483">
        <v>18</v>
      </c>
      <c r="J483" s="54">
        <f t="shared" si="7"/>
        <v>5</v>
      </c>
    </row>
    <row r="484" spans="1:10">
      <c r="A484" s="43">
        <v>43493</v>
      </c>
      <c r="B484">
        <v>2001</v>
      </c>
      <c r="C484">
        <v>2456</v>
      </c>
      <c r="D484">
        <v>483</v>
      </c>
      <c r="E484">
        <v>9000</v>
      </c>
      <c r="F484" t="s">
        <v>59</v>
      </c>
      <c r="G484">
        <v>9</v>
      </c>
      <c r="H484" t="s">
        <v>133</v>
      </c>
      <c r="I484">
        <v>18</v>
      </c>
      <c r="J484" s="54">
        <f t="shared" si="7"/>
        <v>9</v>
      </c>
    </row>
    <row r="485" spans="1:10">
      <c r="A485" s="43">
        <v>43424</v>
      </c>
      <c r="B485">
        <v>2001</v>
      </c>
      <c r="C485">
        <v>2456</v>
      </c>
      <c r="D485">
        <v>484</v>
      </c>
      <c r="E485">
        <v>9500</v>
      </c>
      <c r="F485" t="s">
        <v>59</v>
      </c>
      <c r="G485">
        <v>4</v>
      </c>
      <c r="H485" t="s">
        <v>133</v>
      </c>
      <c r="I485">
        <v>18</v>
      </c>
      <c r="J485" s="54">
        <f t="shared" si="7"/>
        <v>4</v>
      </c>
    </row>
    <row r="486" spans="1:10">
      <c r="A486" s="43">
        <v>43322</v>
      </c>
      <c r="B486">
        <v>2002</v>
      </c>
      <c r="C486">
        <v>2456</v>
      </c>
      <c r="D486">
        <v>485</v>
      </c>
      <c r="E486">
        <v>10000</v>
      </c>
      <c r="F486" t="s">
        <v>59</v>
      </c>
      <c r="G486">
        <v>8</v>
      </c>
      <c r="H486" t="s">
        <v>133</v>
      </c>
      <c r="I486">
        <v>17</v>
      </c>
      <c r="J486" s="54">
        <f t="shared" si="7"/>
        <v>8</v>
      </c>
    </row>
    <row r="487" spans="1:10">
      <c r="A487" s="43">
        <v>43207</v>
      </c>
      <c r="B487">
        <v>2001</v>
      </c>
      <c r="C487">
        <v>2456</v>
      </c>
      <c r="D487">
        <v>486</v>
      </c>
      <c r="E487">
        <v>10750</v>
      </c>
      <c r="F487" t="s">
        <v>59</v>
      </c>
      <c r="G487">
        <v>7</v>
      </c>
      <c r="H487" t="s">
        <v>133</v>
      </c>
      <c r="I487">
        <v>18</v>
      </c>
      <c r="J487" s="54">
        <f t="shared" si="7"/>
        <v>7</v>
      </c>
    </row>
    <row r="488" spans="1:10">
      <c r="A488" s="43">
        <v>43018</v>
      </c>
      <c r="B488">
        <v>2001</v>
      </c>
      <c r="C488">
        <v>2456</v>
      </c>
      <c r="D488">
        <v>487</v>
      </c>
      <c r="E488">
        <v>9000</v>
      </c>
      <c r="F488" t="s">
        <v>59</v>
      </c>
      <c r="G488">
        <v>7</v>
      </c>
      <c r="H488" t="s">
        <v>133</v>
      </c>
      <c r="I488">
        <v>18</v>
      </c>
      <c r="J488" s="54">
        <f t="shared" si="7"/>
        <v>7</v>
      </c>
    </row>
    <row r="489" spans="1:10">
      <c r="A489" s="43">
        <v>42860</v>
      </c>
      <c r="B489">
        <v>2001</v>
      </c>
      <c r="C489">
        <v>2456</v>
      </c>
      <c r="D489">
        <v>488</v>
      </c>
      <c r="E489">
        <v>9750</v>
      </c>
      <c r="F489" t="s">
        <v>59</v>
      </c>
      <c r="G489">
        <v>6</v>
      </c>
      <c r="H489" t="s">
        <v>133</v>
      </c>
      <c r="I489">
        <v>18</v>
      </c>
      <c r="J489" s="54">
        <f t="shared" si="7"/>
        <v>6</v>
      </c>
    </row>
    <row r="490" spans="1:10">
      <c r="A490" s="43">
        <v>42689</v>
      </c>
      <c r="B490">
        <v>2002</v>
      </c>
      <c r="C490">
        <v>2456</v>
      </c>
      <c r="D490">
        <v>489</v>
      </c>
      <c r="E490">
        <v>5250</v>
      </c>
      <c r="F490" t="s">
        <v>59</v>
      </c>
      <c r="G490">
        <v>90</v>
      </c>
      <c r="H490" t="s">
        <v>60</v>
      </c>
      <c r="I490">
        <v>17</v>
      </c>
      <c r="J490" s="54">
        <f t="shared" si="7"/>
        <v>3</v>
      </c>
    </row>
    <row r="491" spans="1:10">
      <c r="A491" s="43">
        <v>42626</v>
      </c>
      <c r="B491">
        <v>2001</v>
      </c>
      <c r="C491">
        <v>2456</v>
      </c>
      <c r="D491">
        <v>490</v>
      </c>
      <c r="E491">
        <v>5500</v>
      </c>
      <c r="F491" t="s">
        <v>59</v>
      </c>
      <c r="G491">
        <v>8</v>
      </c>
      <c r="H491" t="s">
        <v>133</v>
      </c>
      <c r="I491">
        <v>18</v>
      </c>
      <c r="J491" s="54">
        <f t="shared" si="7"/>
        <v>8</v>
      </c>
    </row>
    <row r="492" spans="1:10">
      <c r="A492" s="43">
        <v>42478</v>
      </c>
      <c r="B492">
        <v>2002</v>
      </c>
      <c r="C492">
        <v>2456</v>
      </c>
      <c r="D492">
        <v>491</v>
      </c>
      <c r="E492">
        <v>6450</v>
      </c>
      <c r="F492" t="s">
        <v>59</v>
      </c>
      <c r="G492">
        <v>40</v>
      </c>
      <c r="H492" t="s">
        <v>60</v>
      </c>
      <c r="I492">
        <v>17</v>
      </c>
      <c r="J492" s="54">
        <f t="shared" si="7"/>
        <v>1</v>
      </c>
    </row>
    <row r="493" spans="1:10">
      <c r="A493" s="43">
        <v>43598</v>
      </c>
      <c r="B493">
        <v>2002</v>
      </c>
      <c r="C493">
        <v>2468</v>
      </c>
      <c r="D493">
        <v>492</v>
      </c>
      <c r="E493">
        <v>8600</v>
      </c>
      <c r="F493" t="s">
        <v>59</v>
      </c>
      <c r="G493">
        <v>5</v>
      </c>
      <c r="H493" t="s">
        <v>133</v>
      </c>
      <c r="I493">
        <v>17</v>
      </c>
      <c r="J493" s="54">
        <f t="shared" si="7"/>
        <v>5</v>
      </c>
    </row>
    <row r="494" spans="1:10">
      <c r="A494" s="43">
        <v>43473</v>
      </c>
      <c r="B494">
        <v>2002</v>
      </c>
      <c r="C494">
        <v>2468</v>
      </c>
      <c r="D494">
        <v>493</v>
      </c>
      <c r="E494">
        <v>9500</v>
      </c>
      <c r="F494" t="s">
        <v>59</v>
      </c>
      <c r="G494">
        <v>5</v>
      </c>
      <c r="H494" t="s">
        <v>133</v>
      </c>
      <c r="I494">
        <v>17</v>
      </c>
      <c r="J494" s="54">
        <f t="shared" si="7"/>
        <v>5</v>
      </c>
    </row>
    <row r="495" spans="1:10">
      <c r="A495" s="43">
        <v>43368</v>
      </c>
      <c r="B495">
        <v>2002</v>
      </c>
      <c r="C495">
        <v>2468</v>
      </c>
      <c r="D495">
        <v>494</v>
      </c>
      <c r="E495">
        <v>11900</v>
      </c>
      <c r="F495" t="s">
        <v>59</v>
      </c>
      <c r="G495">
        <v>14</v>
      </c>
      <c r="H495" t="s">
        <v>133</v>
      </c>
      <c r="I495">
        <v>17</v>
      </c>
      <c r="J495" s="54">
        <f t="shared" si="7"/>
        <v>14</v>
      </c>
    </row>
    <row r="496" spans="1:10">
      <c r="A496" s="43">
        <v>43164</v>
      </c>
      <c r="B496">
        <v>2002</v>
      </c>
      <c r="C496">
        <v>2468</v>
      </c>
      <c r="D496">
        <v>495</v>
      </c>
      <c r="E496">
        <v>9850</v>
      </c>
      <c r="F496" t="s">
        <v>59</v>
      </c>
      <c r="G496">
        <v>6</v>
      </c>
      <c r="H496" t="s">
        <v>133</v>
      </c>
      <c r="I496">
        <v>17</v>
      </c>
      <c r="J496" s="54">
        <f t="shared" si="7"/>
        <v>6</v>
      </c>
    </row>
    <row r="497" spans="1:10">
      <c r="A497" s="43">
        <v>43104</v>
      </c>
      <c r="B497">
        <v>2002</v>
      </c>
      <c r="C497">
        <v>2468</v>
      </c>
      <c r="D497">
        <v>496</v>
      </c>
      <c r="E497">
        <v>9750</v>
      </c>
      <c r="F497" t="s">
        <v>59</v>
      </c>
      <c r="G497">
        <v>12</v>
      </c>
      <c r="H497" t="s">
        <v>133</v>
      </c>
      <c r="I497">
        <v>17</v>
      </c>
      <c r="J497" s="54">
        <f t="shared" si="7"/>
        <v>12</v>
      </c>
    </row>
    <row r="498" spans="1:10">
      <c r="A498" s="43">
        <v>42748</v>
      </c>
      <c r="B498">
        <v>2002</v>
      </c>
      <c r="C498">
        <v>2468</v>
      </c>
      <c r="D498">
        <v>497</v>
      </c>
      <c r="E498">
        <v>5500</v>
      </c>
      <c r="F498" t="s">
        <v>59</v>
      </c>
      <c r="G498">
        <v>6</v>
      </c>
      <c r="H498" t="s">
        <v>133</v>
      </c>
      <c r="I498">
        <v>17</v>
      </c>
      <c r="J498" s="54">
        <f t="shared" si="7"/>
        <v>6</v>
      </c>
    </row>
    <row r="499" spans="1:10">
      <c r="A499" s="43">
        <v>42675</v>
      </c>
      <c r="B499">
        <v>2002</v>
      </c>
      <c r="C499">
        <v>2468</v>
      </c>
      <c r="D499">
        <v>498</v>
      </c>
      <c r="E499">
        <v>5500</v>
      </c>
      <c r="F499" t="s">
        <v>59</v>
      </c>
      <c r="G499">
        <v>8</v>
      </c>
      <c r="H499" t="s">
        <v>133</v>
      </c>
      <c r="I499">
        <v>17</v>
      </c>
      <c r="J499" s="54">
        <f t="shared" si="7"/>
        <v>8</v>
      </c>
    </row>
    <row r="500" spans="1:10">
      <c r="A500" s="43">
        <v>42584</v>
      </c>
      <c r="B500">
        <v>2002</v>
      </c>
      <c r="C500">
        <v>2468</v>
      </c>
      <c r="D500">
        <v>499</v>
      </c>
      <c r="E500">
        <v>6000</v>
      </c>
      <c r="F500" t="s">
        <v>59</v>
      </c>
      <c r="G500">
        <v>12</v>
      </c>
      <c r="H500" t="s">
        <v>133</v>
      </c>
      <c r="I500">
        <v>17</v>
      </c>
      <c r="J500" s="54">
        <f t="shared" si="7"/>
        <v>12</v>
      </c>
    </row>
    <row r="501" spans="1:10">
      <c r="A501" s="43">
        <v>42419</v>
      </c>
      <c r="B501">
        <v>2002</v>
      </c>
      <c r="C501">
        <v>2468</v>
      </c>
      <c r="D501">
        <v>500</v>
      </c>
      <c r="E501">
        <v>6200</v>
      </c>
      <c r="F501" t="s">
        <v>59</v>
      </c>
      <c r="G501">
        <v>6</v>
      </c>
      <c r="H501" t="s">
        <v>133</v>
      </c>
      <c r="I501">
        <v>17</v>
      </c>
      <c r="J501" s="54">
        <f t="shared" si="7"/>
        <v>6</v>
      </c>
    </row>
    <row r="502" spans="1:10">
      <c r="A502" s="43">
        <v>43523</v>
      </c>
      <c r="B502">
        <v>2000</v>
      </c>
      <c r="C502">
        <v>2470</v>
      </c>
      <c r="D502">
        <v>501</v>
      </c>
      <c r="E502">
        <v>10650</v>
      </c>
      <c r="F502" t="s">
        <v>59</v>
      </c>
      <c r="G502">
        <v>8</v>
      </c>
      <c r="H502" t="s">
        <v>133</v>
      </c>
      <c r="I502">
        <v>19</v>
      </c>
      <c r="J502" s="54">
        <f t="shared" si="7"/>
        <v>8</v>
      </c>
    </row>
    <row r="503" spans="1:10">
      <c r="A503" s="43">
        <v>43159</v>
      </c>
      <c r="B503">
        <v>2000</v>
      </c>
      <c r="C503">
        <v>2470</v>
      </c>
      <c r="D503">
        <v>502</v>
      </c>
      <c r="E503">
        <v>10500</v>
      </c>
      <c r="F503" t="s">
        <v>59</v>
      </c>
      <c r="G503">
        <v>6</v>
      </c>
      <c r="H503" t="s">
        <v>133</v>
      </c>
      <c r="I503">
        <v>19</v>
      </c>
      <c r="J503" s="54">
        <f t="shared" si="7"/>
        <v>6</v>
      </c>
    </row>
    <row r="504" spans="1:10">
      <c r="A504" s="43">
        <v>42745</v>
      </c>
      <c r="B504">
        <v>2000</v>
      </c>
      <c r="C504">
        <v>2470</v>
      </c>
      <c r="D504">
        <v>503</v>
      </c>
      <c r="E504">
        <v>6200</v>
      </c>
      <c r="F504" t="s">
        <v>59</v>
      </c>
      <c r="G504">
        <v>12</v>
      </c>
      <c r="H504" t="s">
        <v>133</v>
      </c>
      <c r="I504">
        <v>19</v>
      </c>
      <c r="J504" s="54">
        <f t="shared" si="7"/>
        <v>12</v>
      </c>
    </row>
    <row r="505" spans="1:10">
      <c r="A505" s="43">
        <v>42681</v>
      </c>
      <c r="B505">
        <v>2000</v>
      </c>
      <c r="C505">
        <v>2470</v>
      </c>
      <c r="D505">
        <v>504</v>
      </c>
      <c r="E505">
        <v>5500</v>
      </c>
      <c r="F505" t="s">
        <v>59</v>
      </c>
      <c r="G505">
        <v>120</v>
      </c>
      <c r="H505" t="s">
        <v>60</v>
      </c>
      <c r="I505">
        <v>19</v>
      </c>
      <c r="J505" s="54">
        <f t="shared" si="7"/>
        <v>4</v>
      </c>
    </row>
    <row r="506" spans="1:10">
      <c r="A506" s="43">
        <v>42423</v>
      </c>
      <c r="B506">
        <v>2000</v>
      </c>
      <c r="C506">
        <v>2470</v>
      </c>
      <c r="D506">
        <v>505</v>
      </c>
      <c r="E506">
        <v>6000</v>
      </c>
      <c r="F506" t="s">
        <v>59</v>
      </c>
      <c r="G506">
        <v>9</v>
      </c>
      <c r="H506" t="s">
        <v>133</v>
      </c>
      <c r="I506">
        <v>19</v>
      </c>
      <c r="J506" s="54">
        <f t="shared" si="7"/>
        <v>9</v>
      </c>
    </row>
    <row r="507" spans="1:10">
      <c r="A507" s="43">
        <v>43536</v>
      </c>
      <c r="B507">
        <v>2005</v>
      </c>
      <c r="C507">
        <v>2474</v>
      </c>
      <c r="D507">
        <v>506</v>
      </c>
      <c r="E507">
        <v>9250</v>
      </c>
      <c r="F507" t="s">
        <v>59</v>
      </c>
      <c r="G507">
        <v>4</v>
      </c>
      <c r="H507" t="s">
        <v>133</v>
      </c>
      <c r="I507">
        <v>14</v>
      </c>
      <c r="J507" s="54">
        <f t="shared" si="7"/>
        <v>4</v>
      </c>
    </row>
    <row r="508" spans="1:10">
      <c r="A508" s="43">
        <v>43524</v>
      </c>
      <c r="B508">
        <v>2004</v>
      </c>
      <c r="C508">
        <v>2474</v>
      </c>
      <c r="D508">
        <v>507</v>
      </c>
      <c r="E508">
        <v>10775</v>
      </c>
      <c r="F508" t="s">
        <v>59</v>
      </c>
      <c r="G508">
        <v>6</v>
      </c>
      <c r="H508" t="s">
        <v>133</v>
      </c>
      <c r="I508">
        <v>15</v>
      </c>
      <c r="J508" s="54">
        <f t="shared" si="7"/>
        <v>6</v>
      </c>
    </row>
    <row r="509" spans="1:10">
      <c r="A509" s="43">
        <v>43419</v>
      </c>
      <c r="B509">
        <v>2000</v>
      </c>
      <c r="C509">
        <v>2474</v>
      </c>
      <c r="D509">
        <v>508</v>
      </c>
      <c r="E509">
        <v>9850</v>
      </c>
      <c r="F509" t="s">
        <v>59</v>
      </c>
      <c r="G509">
        <v>6</v>
      </c>
      <c r="H509" t="s">
        <v>133</v>
      </c>
      <c r="I509">
        <v>19</v>
      </c>
      <c r="J509" s="54">
        <f t="shared" si="7"/>
        <v>6</v>
      </c>
    </row>
    <row r="510" spans="1:10">
      <c r="A510" s="43">
        <v>43389</v>
      </c>
      <c r="B510">
        <v>2001</v>
      </c>
      <c r="C510">
        <v>2474</v>
      </c>
      <c r="D510">
        <v>509</v>
      </c>
      <c r="E510">
        <v>12000</v>
      </c>
      <c r="F510" t="s">
        <v>59</v>
      </c>
      <c r="G510">
        <v>12</v>
      </c>
      <c r="H510" t="s">
        <v>133</v>
      </c>
      <c r="I510">
        <v>18</v>
      </c>
      <c r="J510" s="54">
        <f t="shared" si="7"/>
        <v>12</v>
      </c>
    </row>
    <row r="511" spans="1:10">
      <c r="A511" s="43">
        <v>43341</v>
      </c>
      <c r="B511">
        <v>2005</v>
      </c>
      <c r="C511">
        <v>2474</v>
      </c>
      <c r="D511">
        <v>510</v>
      </c>
      <c r="E511">
        <v>10000</v>
      </c>
      <c r="F511" t="s">
        <v>59</v>
      </c>
      <c r="G511">
        <v>2</v>
      </c>
      <c r="H511" t="s">
        <v>133</v>
      </c>
      <c r="I511">
        <v>14</v>
      </c>
      <c r="J511" s="54">
        <f t="shared" si="7"/>
        <v>2</v>
      </c>
    </row>
    <row r="512" spans="1:10">
      <c r="A512" s="43">
        <v>43341</v>
      </c>
      <c r="B512">
        <v>2005</v>
      </c>
      <c r="C512">
        <v>2474</v>
      </c>
      <c r="D512">
        <v>511</v>
      </c>
      <c r="E512">
        <v>10000</v>
      </c>
      <c r="F512" t="s">
        <v>59</v>
      </c>
      <c r="G512">
        <v>12</v>
      </c>
      <c r="H512" t="s">
        <v>133</v>
      </c>
      <c r="I512">
        <v>14</v>
      </c>
      <c r="J512" s="54">
        <f t="shared" si="7"/>
        <v>12</v>
      </c>
    </row>
    <row r="513" spans="1:10">
      <c r="A513" s="43">
        <v>43294</v>
      </c>
      <c r="B513">
        <v>2004</v>
      </c>
      <c r="C513">
        <v>2474</v>
      </c>
      <c r="D513">
        <v>512</v>
      </c>
      <c r="E513">
        <v>12500</v>
      </c>
      <c r="F513" t="s">
        <v>59</v>
      </c>
      <c r="G513">
        <v>12</v>
      </c>
      <c r="H513" t="s">
        <v>133</v>
      </c>
      <c r="I513">
        <v>15</v>
      </c>
      <c r="J513" s="54">
        <f t="shared" si="7"/>
        <v>12</v>
      </c>
    </row>
    <row r="514" spans="1:10">
      <c r="A514" s="43">
        <v>43206</v>
      </c>
      <c r="B514">
        <v>2005</v>
      </c>
      <c r="C514">
        <v>2474</v>
      </c>
      <c r="D514">
        <v>513</v>
      </c>
      <c r="E514">
        <v>11000</v>
      </c>
      <c r="F514" t="s">
        <v>59</v>
      </c>
      <c r="G514">
        <v>12</v>
      </c>
      <c r="H514" t="s">
        <v>133</v>
      </c>
      <c r="I514">
        <v>14</v>
      </c>
      <c r="J514" s="54">
        <f t="shared" ref="J514:J577" si="8">IF(H514="days",ROUND(G514/30,0),IF(H514="years",G514*12,G514))</f>
        <v>12</v>
      </c>
    </row>
    <row r="515" spans="1:10">
      <c r="A515" s="43">
        <v>43180</v>
      </c>
      <c r="B515">
        <v>2005</v>
      </c>
      <c r="C515">
        <v>2474</v>
      </c>
      <c r="D515">
        <v>514</v>
      </c>
      <c r="E515">
        <v>8600</v>
      </c>
      <c r="F515" t="s">
        <v>59</v>
      </c>
      <c r="G515">
        <v>6</v>
      </c>
      <c r="H515" t="s">
        <v>133</v>
      </c>
      <c r="I515">
        <v>14</v>
      </c>
      <c r="J515" s="54">
        <f t="shared" si="8"/>
        <v>6</v>
      </c>
    </row>
    <row r="516" spans="1:10">
      <c r="A516" s="43">
        <v>43180</v>
      </c>
      <c r="B516">
        <v>2004</v>
      </c>
      <c r="C516">
        <v>2474</v>
      </c>
      <c r="D516">
        <v>515</v>
      </c>
      <c r="E516">
        <v>10450</v>
      </c>
      <c r="F516" t="s">
        <v>59</v>
      </c>
      <c r="G516">
        <v>4</v>
      </c>
      <c r="H516" t="s">
        <v>133</v>
      </c>
      <c r="I516">
        <v>15</v>
      </c>
      <c r="J516" s="54">
        <f t="shared" si="8"/>
        <v>4</v>
      </c>
    </row>
    <row r="517" spans="1:10">
      <c r="A517" s="43">
        <v>43180</v>
      </c>
      <c r="B517">
        <v>2001</v>
      </c>
      <c r="C517">
        <v>2474</v>
      </c>
      <c r="D517">
        <v>516</v>
      </c>
      <c r="E517">
        <v>10450</v>
      </c>
      <c r="F517" t="s">
        <v>59</v>
      </c>
      <c r="G517">
        <v>4</v>
      </c>
      <c r="H517" t="s">
        <v>133</v>
      </c>
      <c r="I517">
        <v>18</v>
      </c>
      <c r="J517" s="54">
        <f t="shared" si="8"/>
        <v>4</v>
      </c>
    </row>
    <row r="518" spans="1:10">
      <c r="A518" s="43">
        <v>43160</v>
      </c>
      <c r="B518">
        <v>2000</v>
      </c>
      <c r="C518">
        <v>2474</v>
      </c>
      <c r="D518">
        <v>517</v>
      </c>
      <c r="E518">
        <v>9100</v>
      </c>
      <c r="F518" t="s">
        <v>59</v>
      </c>
      <c r="G518">
        <v>7</v>
      </c>
      <c r="H518" t="s">
        <v>133</v>
      </c>
      <c r="I518">
        <v>19</v>
      </c>
      <c r="J518" s="54">
        <f t="shared" si="8"/>
        <v>7</v>
      </c>
    </row>
    <row r="519" spans="1:10">
      <c r="A519" s="43">
        <v>43140</v>
      </c>
      <c r="B519">
        <v>2005</v>
      </c>
      <c r="C519">
        <v>2474</v>
      </c>
      <c r="D519">
        <v>518</v>
      </c>
      <c r="E519">
        <v>10250</v>
      </c>
      <c r="F519" t="s">
        <v>59</v>
      </c>
      <c r="G519">
        <v>15</v>
      </c>
      <c r="H519" t="s">
        <v>133</v>
      </c>
      <c r="I519">
        <v>14</v>
      </c>
      <c r="J519" s="54">
        <f t="shared" si="8"/>
        <v>15</v>
      </c>
    </row>
    <row r="520" spans="1:10">
      <c r="A520" s="43">
        <v>43102</v>
      </c>
      <c r="B520">
        <v>2005</v>
      </c>
      <c r="C520">
        <v>2474</v>
      </c>
      <c r="D520">
        <v>519</v>
      </c>
      <c r="E520">
        <v>8550</v>
      </c>
      <c r="F520" t="s">
        <v>59</v>
      </c>
      <c r="G520">
        <v>7</v>
      </c>
      <c r="H520" t="s">
        <v>133</v>
      </c>
      <c r="I520">
        <v>14</v>
      </c>
      <c r="J520" s="54">
        <f t="shared" si="8"/>
        <v>7</v>
      </c>
    </row>
    <row r="521" spans="1:10">
      <c r="A521" s="43">
        <v>43055</v>
      </c>
      <c r="B521">
        <v>2004</v>
      </c>
      <c r="C521">
        <v>2474</v>
      </c>
      <c r="D521">
        <v>520</v>
      </c>
      <c r="E521">
        <v>8250</v>
      </c>
      <c r="F521" t="s">
        <v>59</v>
      </c>
      <c r="G521">
        <v>5</v>
      </c>
      <c r="H521" t="s">
        <v>133</v>
      </c>
      <c r="I521">
        <v>15</v>
      </c>
      <c r="J521" s="54">
        <f t="shared" si="8"/>
        <v>5</v>
      </c>
    </row>
    <row r="522" spans="1:10">
      <c r="A522" s="43">
        <v>43055</v>
      </c>
      <c r="B522">
        <v>2001</v>
      </c>
      <c r="C522">
        <v>2474</v>
      </c>
      <c r="D522">
        <v>521</v>
      </c>
      <c r="E522">
        <v>8250</v>
      </c>
      <c r="F522" t="s">
        <v>59</v>
      </c>
      <c r="G522">
        <v>5</v>
      </c>
      <c r="H522" t="s">
        <v>133</v>
      </c>
      <c r="I522">
        <v>18</v>
      </c>
      <c r="J522" s="54">
        <f t="shared" si="8"/>
        <v>5</v>
      </c>
    </row>
    <row r="523" spans="1:10">
      <c r="A523" s="43">
        <v>43028</v>
      </c>
      <c r="B523">
        <v>2005</v>
      </c>
      <c r="C523">
        <v>2474</v>
      </c>
      <c r="D523">
        <v>522</v>
      </c>
      <c r="E523">
        <v>8350</v>
      </c>
      <c r="F523" t="s">
        <v>59</v>
      </c>
      <c r="G523">
        <v>84</v>
      </c>
      <c r="H523" t="s">
        <v>60</v>
      </c>
      <c r="I523">
        <v>14</v>
      </c>
      <c r="J523" s="54">
        <f t="shared" si="8"/>
        <v>3</v>
      </c>
    </row>
    <row r="524" spans="1:10">
      <c r="A524" s="43">
        <v>43021</v>
      </c>
      <c r="B524">
        <v>2005</v>
      </c>
      <c r="C524">
        <v>2474</v>
      </c>
      <c r="D524">
        <v>523</v>
      </c>
      <c r="E524">
        <v>8250</v>
      </c>
      <c r="F524" t="s">
        <v>59</v>
      </c>
      <c r="G524">
        <v>6</v>
      </c>
      <c r="H524" t="s">
        <v>133</v>
      </c>
      <c r="I524">
        <v>14</v>
      </c>
      <c r="J524" s="54">
        <f t="shared" si="8"/>
        <v>6</v>
      </c>
    </row>
    <row r="525" spans="1:10">
      <c r="A525" s="43">
        <v>42962</v>
      </c>
      <c r="B525">
        <v>2005</v>
      </c>
      <c r="C525">
        <v>2474</v>
      </c>
      <c r="D525">
        <v>524</v>
      </c>
      <c r="E525">
        <v>8200</v>
      </c>
      <c r="F525" t="s">
        <v>59</v>
      </c>
      <c r="G525">
        <v>2</v>
      </c>
      <c r="H525" t="s">
        <v>133</v>
      </c>
      <c r="I525">
        <v>14</v>
      </c>
      <c r="J525" s="54">
        <f t="shared" si="8"/>
        <v>2</v>
      </c>
    </row>
    <row r="526" spans="1:10">
      <c r="A526" s="43">
        <v>42948</v>
      </c>
      <c r="B526">
        <v>2005</v>
      </c>
      <c r="C526">
        <v>2474</v>
      </c>
      <c r="D526">
        <v>525</v>
      </c>
      <c r="E526">
        <v>8350</v>
      </c>
      <c r="F526" t="s">
        <v>59</v>
      </c>
      <c r="G526">
        <v>40</v>
      </c>
      <c r="H526" t="s">
        <v>60</v>
      </c>
      <c r="I526">
        <v>14</v>
      </c>
      <c r="J526" s="54">
        <f t="shared" si="8"/>
        <v>1</v>
      </c>
    </row>
    <row r="527" spans="1:10">
      <c r="A527" s="43">
        <v>42931</v>
      </c>
      <c r="B527">
        <v>2000</v>
      </c>
      <c r="C527">
        <v>2474</v>
      </c>
      <c r="D527">
        <v>526</v>
      </c>
      <c r="E527">
        <v>8300</v>
      </c>
      <c r="F527" t="s">
        <v>59</v>
      </c>
      <c r="G527">
        <v>8</v>
      </c>
      <c r="H527" t="s">
        <v>133</v>
      </c>
      <c r="I527">
        <v>19</v>
      </c>
      <c r="J527" s="54">
        <f t="shared" si="8"/>
        <v>8</v>
      </c>
    </row>
    <row r="528" spans="1:10">
      <c r="A528" s="43">
        <v>42878</v>
      </c>
      <c r="B528">
        <v>2005</v>
      </c>
      <c r="C528">
        <v>2474</v>
      </c>
      <c r="D528">
        <v>527</v>
      </c>
      <c r="E528">
        <v>9350</v>
      </c>
      <c r="F528" t="s">
        <v>59</v>
      </c>
      <c r="G528">
        <v>3</v>
      </c>
      <c r="H528" t="s">
        <v>133</v>
      </c>
      <c r="I528">
        <v>14</v>
      </c>
      <c r="J528" s="54">
        <f t="shared" si="8"/>
        <v>3</v>
      </c>
    </row>
    <row r="529" spans="1:10">
      <c r="A529" s="43">
        <v>42822</v>
      </c>
      <c r="B529">
        <v>2005</v>
      </c>
      <c r="C529">
        <v>2474</v>
      </c>
      <c r="D529">
        <v>528</v>
      </c>
      <c r="E529">
        <v>9500</v>
      </c>
      <c r="F529" t="s">
        <v>59</v>
      </c>
      <c r="G529">
        <v>14</v>
      </c>
      <c r="H529" t="s">
        <v>133</v>
      </c>
      <c r="I529">
        <v>14</v>
      </c>
      <c r="J529" s="54">
        <f t="shared" si="8"/>
        <v>14</v>
      </c>
    </row>
    <row r="530" spans="1:10">
      <c r="A530" s="43">
        <v>42748</v>
      </c>
      <c r="B530">
        <v>2005</v>
      </c>
      <c r="C530">
        <v>2474</v>
      </c>
      <c r="D530">
        <v>529</v>
      </c>
      <c r="E530">
        <v>6000</v>
      </c>
      <c r="F530" t="s">
        <v>59</v>
      </c>
      <c r="G530">
        <v>6</v>
      </c>
      <c r="H530" t="s">
        <v>133</v>
      </c>
      <c r="I530">
        <v>14</v>
      </c>
      <c r="J530" s="54">
        <f t="shared" si="8"/>
        <v>6</v>
      </c>
    </row>
    <row r="531" spans="1:10">
      <c r="A531" s="43">
        <v>42738</v>
      </c>
      <c r="B531">
        <v>2005</v>
      </c>
      <c r="C531">
        <v>2474</v>
      </c>
      <c r="D531">
        <v>530</v>
      </c>
      <c r="E531">
        <v>6000</v>
      </c>
      <c r="F531" t="s">
        <v>59</v>
      </c>
      <c r="G531">
        <v>12</v>
      </c>
      <c r="H531" t="s">
        <v>133</v>
      </c>
      <c r="I531">
        <v>14</v>
      </c>
      <c r="J531" s="54">
        <f t="shared" si="8"/>
        <v>12</v>
      </c>
    </row>
    <row r="532" spans="1:10">
      <c r="A532" s="43">
        <v>42689</v>
      </c>
      <c r="B532">
        <v>2001</v>
      </c>
      <c r="C532">
        <v>2474</v>
      </c>
      <c r="D532">
        <v>531</v>
      </c>
      <c r="E532">
        <v>5500</v>
      </c>
      <c r="F532" t="s">
        <v>59</v>
      </c>
      <c r="G532">
        <v>12</v>
      </c>
      <c r="H532" t="s">
        <v>133</v>
      </c>
      <c r="I532">
        <v>18</v>
      </c>
      <c r="J532" s="54">
        <f t="shared" si="8"/>
        <v>12</v>
      </c>
    </row>
    <row r="533" spans="1:10">
      <c r="A533" s="43">
        <v>42689</v>
      </c>
      <c r="B533">
        <v>2004</v>
      </c>
      <c r="C533">
        <v>2474</v>
      </c>
      <c r="D533">
        <v>532</v>
      </c>
      <c r="E533">
        <v>5500</v>
      </c>
      <c r="F533" t="s">
        <v>59</v>
      </c>
      <c r="G533">
        <v>12</v>
      </c>
      <c r="H533" t="s">
        <v>133</v>
      </c>
      <c r="I533">
        <v>15</v>
      </c>
      <c r="J533" s="54">
        <f t="shared" si="8"/>
        <v>12</v>
      </c>
    </row>
    <row r="534" spans="1:10">
      <c r="A534" s="43">
        <v>42671</v>
      </c>
      <c r="B534">
        <v>2005</v>
      </c>
      <c r="C534">
        <v>2474</v>
      </c>
      <c r="D534">
        <v>533</v>
      </c>
      <c r="E534">
        <v>7250</v>
      </c>
      <c r="F534" t="s">
        <v>59</v>
      </c>
      <c r="G534">
        <v>6</v>
      </c>
      <c r="H534" t="s">
        <v>133</v>
      </c>
      <c r="I534">
        <v>14</v>
      </c>
      <c r="J534" s="54">
        <f t="shared" si="8"/>
        <v>6</v>
      </c>
    </row>
    <row r="535" spans="1:10">
      <c r="A535" s="43">
        <v>42663</v>
      </c>
      <c r="B535">
        <v>2005</v>
      </c>
      <c r="C535">
        <v>2474</v>
      </c>
      <c r="D535">
        <v>534</v>
      </c>
      <c r="E535">
        <v>5500</v>
      </c>
      <c r="F535" t="s">
        <v>59</v>
      </c>
      <c r="G535">
        <v>12</v>
      </c>
      <c r="H535" t="s">
        <v>133</v>
      </c>
      <c r="I535">
        <v>14</v>
      </c>
      <c r="J535" s="54">
        <f t="shared" si="8"/>
        <v>12</v>
      </c>
    </row>
    <row r="536" spans="1:10">
      <c r="A536" s="43">
        <v>42626</v>
      </c>
      <c r="B536">
        <v>2005</v>
      </c>
      <c r="C536">
        <v>2474</v>
      </c>
      <c r="D536">
        <v>535</v>
      </c>
      <c r="E536">
        <v>5900</v>
      </c>
      <c r="F536" t="s">
        <v>59</v>
      </c>
      <c r="G536">
        <v>6</v>
      </c>
      <c r="H536" t="s">
        <v>133</v>
      </c>
      <c r="I536">
        <v>14</v>
      </c>
      <c r="J536" s="54">
        <f t="shared" si="8"/>
        <v>6</v>
      </c>
    </row>
    <row r="537" spans="1:10">
      <c r="A537" s="43">
        <v>42558</v>
      </c>
      <c r="B537">
        <v>2005</v>
      </c>
      <c r="C537">
        <v>2474</v>
      </c>
      <c r="D537">
        <v>536</v>
      </c>
      <c r="E537">
        <v>6000</v>
      </c>
      <c r="F537" t="s">
        <v>59</v>
      </c>
      <c r="G537">
        <v>12</v>
      </c>
      <c r="H537" t="s">
        <v>133</v>
      </c>
      <c r="I537">
        <v>14</v>
      </c>
      <c r="J537" s="54">
        <f t="shared" si="8"/>
        <v>12</v>
      </c>
    </row>
    <row r="538" spans="1:10">
      <c r="A538" s="43">
        <v>42444</v>
      </c>
      <c r="B538">
        <v>2000</v>
      </c>
      <c r="C538">
        <v>2474</v>
      </c>
      <c r="D538">
        <v>537</v>
      </c>
      <c r="E538">
        <v>6000</v>
      </c>
      <c r="F538" t="s">
        <v>59</v>
      </c>
      <c r="G538">
        <v>9</v>
      </c>
      <c r="H538" t="s">
        <v>133</v>
      </c>
      <c r="I538">
        <v>19</v>
      </c>
      <c r="J538" s="54">
        <f t="shared" si="8"/>
        <v>9</v>
      </c>
    </row>
    <row r="539" spans="1:10">
      <c r="A539" s="43">
        <v>42433</v>
      </c>
      <c r="B539">
        <v>2005</v>
      </c>
      <c r="C539">
        <v>2474</v>
      </c>
      <c r="D539">
        <v>538</v>
      </c>
      <c r="E539">
        <v>6000</v>
      </c>
      <c r="F539" t="s">
        <v>59</v>
      </c>
      <c r="G539">
        <v>10</v>
      </c>
      <c r="H539" t="s">
        <v>133</v>
      </c>
      <c r="I539">
        <v>14</v>
      </c>
      <c r="J539" s="54">
        <f t="shared" si="8"/>
        <v>10</v>
      </c>
    </row>
    <row r="540" spans="1:10">
      <c r="A540" s="43">
        <v>42433</v>
      </c>
      <c r="B540">
        <v>2005</v>
      </c>
      <c r="C540">
        <v>2474</v>
      </c>
      <c r="D540">
        <v>539</v>
      </c>
      <c r="E540">
        <v>6000</v>
      </c>
      <c r="F540" t="s">
        <v>59</v>
      </c>
      <c r="G540">
        <v>10</v>
      </c>
      <c r="H540" t="s">
        <v>133</v>
      </c>
      <c r="I540">
        <v>14</v>
      </c>
      <c r="J540" s="54">
        <f t="shared" si="8"/>
        <v>10</v>
      </c>
    </row>
    <row r="541" spans="1:10">
      <c r="A541" s="43">
        <v>42423</v>
      </c>
      <c r="B541">
        <v>2004</v>
      </c>
      <c r="C541">
        <v>2474</v>
      </c>
      <c r="D541">
        <v>540</v>
      </c>
      <c r="E541">
        <v>6000</v>
      </c>
      <c r="F541" t="s">
        <v>59</v>
      </c>
      <c r="G541">
        <v>9</v>
      </c>
      <c r="H541" t="s">
        <v>133</v>
      </c>
      <c r="I541">
        <v>15</v>
      </c>
      <c r="J541" s="54">
        <f t="shared" si="8"/>
        <v>9</v>
      </c>
    </row>
    <row r="542" spans="1:10">
      <c r="A542" s="43">
        <v>42423</v>
      </c>
      <c r="B542">
        <v>2005</v>
      </c>
      <c r="C542">
        <v>2474</v>
      </c>
      <c r="D542">
        <v>541</v>
      </c>
      <c r="E542">
        <v>6000</v>
      </c>
      <c r="F542" t="s">
        <v>59</v>
      </c>
      <c r="G542">
        <v>9</v>
      </c>
      <c r="H542" t="s">
        <v>133</v>
      </c>
      <c r="I542">
        <v>14</v>
      </c>
      <c r="J542" s="54">
        <f t="shared" si="8"/>
        <v>9</v>
      </c>
    </row>
    <row r="543" spans="1:10">
      <c r="A543" s="43">
        <v>42401</v>
      </c>
      <c r="B543">
        <v>2005</v>
      </c>
      <c r="C543">
        <v>2474</v>
      </c>
      <c r="D543">
        <v>542</v>
      </c>
      <c r="E543">
        <v>6000</v>
      </c>
      <c r="F543" t="s">
        <v>59</v>
      </c>
      <c r="G543">
        <v>7</v>
      </c>
      <c r="H543" t="s">
        <v>133</v>
      </c>
      <c r="I543">
        <v>14</v>
      </c>
      <c r="J543" s="54">
        <f t="shared" si="8"/>
        <v>7</v>
      </c>
    </row>
    <row r="544" spans="1:10">
      <c r="A544" s="43">
        <v>42377</v>
      </c>
      <c r="B544">
        <v>2005</v>
      </c>
      <c r="C544">
        <v>2474</v>
      </c>
      <c r="D544">
        <v>543</v>
      </c>
      <c r="E544">
        <v>9250</v>
      </c>
      <c r="F544" t="s">
        <v>59</v>
      </c>
      <c r="G544">
        <v>9</v>
      </c>
      <c r="H544" t="s">
        <v>133</v>
      </c>
      <c r="I544">
        <v>14</v>
      </c>
      <c r="J544" s="54">
        <f t="shared" si="8"/>
        <v>9</v>
      </c>
    </row>
    <row r="545" spans="1:10">
      <c r="A545" s="43">
        <v>43613</v>
      </c>
      <c r="B545">
        <v>2005</v>
      </c>
      <c r="C545">
        <v>2478</v>
      </c>
      <c r="D545">
        <v>544</v>
      </c>
      <c r="E545">
        <v>8800</v>
      </c>
      <c r="F545" t="s">
        <v>59</v>
      </c>
      <c r="G545">
        <v>5</v>
      </c>
      <c r="H545" t="s">
        <v>133</v>
      </c>
      <c r="I545">
        <v>14</v>
      </c>
      <c r="J545" s="54">
        <f t="shared" si="8"/>
        <v>5</v>
      </c>
    </row>
    <row r="546" spans="1:10">
      <c r="A546" s="43">
        <v>43605</v>
      </c>
      <c r="B546">
        <v>2003</v>
      </c>
      <c r="C546">
        <v>2478</v>
      </c>
      <c r="D546">
        <v>545</v>
      </c>
      <c r="E546">
        <v>8500</v>
      </c>
      <c r="F546" t="s">
        <v>59</v>
      </c>
      <c r="G546">
        <v>4</v>
      </c>
      <c r="H546" t="s">
        <v>133</v>
      </c>
      <c r="I546">
        <v>16</v>
      </c>
      <c r="J546" s="54">
        <f t="shared" si="8"/>
        <v>4</v>
      </c>
    </row>
    <row r="547" spans="1:10">
      <c r="A547" s="43">
        <v>43605</v>
      </c>
      <c r="B547">
        <v>2003</v>
      </c>
      <c r="C547">
        <v>2478</v>
      </c>
      <c r="D547">
        <v>546</v>
      </c>
      <c r="E547">
        <v>10000</v>
      </c>
      <c r="F547" t="s">
        <v>59</v>
      </c>
      <c r="G547">
        <v>5</v>
      </c>
      <c r="H547" t="s">
        <v>133</v>
      </c>
      <c r="I547">
        <v>16</v>
      </c>
      <c r="J547" s="54">
        <f t="shared" si="8"/>
        <v>5</v>
      </c>
    </row>
    <row r="548" spans="1:10">
      <c r="A548" s="43">
        <v>43517</v>
      </c>
      <c r="B548">
        <v>2005</v>
      </c>
      <c r="C548">
        <v>2478</v>
      </c>
      <c r="D548">
        <v>547</v>
      </c>
      <c r="E548">
        <v>9500</v>
      </c>
      <c r="F548" t="s">
        <v>59</v>
      </c>
      <c r="G548">
        <v>46</v>
      </c>
      <c r="H548" t="s">
        <v>60</v>
      </c>
      <c r="I548">
        <v>14</v>
      </c>
      <c r="J548" s="54">
        <f t="shared" si="8"/>
        <v>2</v>
      </c>
    </row>
    <row r="549" spans="1:10">
      <c r="A549" s="43">
        <v>43403</v>
      </c>
      <c r="B549">
        <v>2005</v>
      </c>
      <c r="C549">
        <v>2478</v>
      </c>
      <c r="D549">
        <v>548</v>
      </c>
      <c r="E549">
        <v>10750</v>
      </c>
      <c r="F549" t="s">
        <v>59</v>
      </c>
      <c r="G549">
        <v>6</v>
      </c>
      <c r="H549" t="s">
        <v>133</v>
      </c>
      <c r="I549">
        <v>14</v>
      </c>
      <c r="J549" s="54">
        <f t="shared" si="8"/>
        <v>6</v>
      </c>
    </row>
    <row r="550" spans="1:10">
      <c r="A550" s="43">
        <v>43397</v>
      </c>
      <c r="B550">
        <v>2005</v>
      </c>
      <c r="C550">
        <v>2478</v>
      </c>
      <c r="D550">
        <v>549</v>
      </c>
      <c r="E550">
        <v>9500</v>
      </c>
      <c r="F550" t="s">
        <v>59</v>
      </c>
      <c r="G550">
        <v>42</v>
      </c>
      <c r="H550" t="s">
        <v>60</v>
      </c>
      <c r="I550">
        <v>14</v>
      </c>
      <c r="J550" s="54">
        <f t="shared" si="8"/>
        <v>1</v>
      </c>
    </row>
    <row r="551" spans="1:10">
      <c r="A551" s="43">
        <v>43332</v>
      </c>
      <c r="B551">
        <v>2003</v>
      </c>
      <c r="C551">
        <v>2478</v>
      </c>
      <c r="D551">
        <v>550</v>
      </c>
      <c r="E551">
        <v>12250</v>
      </c>
      <c r="F551" t="s">
        <v>59</v>
      </c>
      <c r="G551">
        <v>18</v>
      </c>
      <c r="H551" t="s">
        <v>133</v>
      </c>
      <c r="I551">
        <v>16</v>
      </c>
      <c r="J551" s="54">
        <f t="shared" si="8"/>
        <v>18</v>
      </c>
    </row>
    <row r="552" spans="1:10">
      <c r="A552" s="43">
        <v>43290</v>
      </c>
      <c r="B552">
        <v>2000</v>
      </c>
      <c r="C552">
        <v>2478</v>
      </c>
      <c r="D552">
        <v>551</v>
      </c>
      <c r="E552">
        <v>12150</v>
      </c>
      <c r="F552" t="s">
        <v>59</v>
      </c>
      <c r="G552">
        <v>12</v>
      </c>
      <c r="H552" t="s">
        <v>133</v>
      </c>
      <c r="I552">
        <v>19</v>
      </c>
      <c r="J552" s="54">
        <f t="shared" si="8"/>
        <v>12</v>
      </c>
    </row>
    <row r="553" spans="1:10">
      <c r="A553" s="43">
        <v>43266</v>
      </c>
      <c r="B553">
        <v>2000</v>
      </c>
      <c r="C553">
        <v>2478</v>
      </c>
      <c r="D553">
        <v>552</v>
      </c>
      <c r="E553">
        <v>12500</v>
      </c>
      <c r="F553" t="s">
        <v>59</v>
      </c>
      <c r="G553">
        <v>42</v>
      </c>
      <c r="H553" t="s">
        <v>60</v>
      </c>
      <c r="I553">
        <v>19</v>
      </c>
      <c r="J553" s="54">
        <f t="shared" si="8"/>
        <v>1</v>
      </c>
    </row>
    <row r="554" spans="1:10">
      <c r="A554" s="43">
        <v>43255</v>
      </c>
      <c r="B554">
        <v>2005</v>
      </c>
      <c r="C554">
        <v>2478</v>
      </c>
      <c r="D554">
        <v>553</v>
      </c>
      <c r="E554">
        <v>12500</v>
      </c>
      <c r="F554" t="s">
        <v>59</v>
      </c>
      <c r="G554">
        <v>10</v>
      </c>
      <c r="H554" t="s">
        <v>133</v>
      </c>
      <c r="I554">
        <v>14</v>
      </c>
      <c r="J554" s="54">
        <f t="shared" si="8"/>
        <v>10</v>
      </c>
    </row>
    <row r="555" spans="1:10">
      <c r="A555" s="43">
        <v>43250</v>
      </c>
      <c r="B555">
        <v>2003</v>
      </c>
      <c r="C555">
        <v>2478</v>
      </c>
      <c r="D555">
        <v>554</v>
      </c>
      <c r="E555">
        <v>11900</v>
      </c>
      <c r="F555" t="s">
        <v>59</v>
      </c>
      <c r="G555">
        <v>5</v>
      </c>
      <c r="H555" t="s">
        <v>133</v>
      </c>
      <c r="I555">
        <v>16</v>
      </c>
      <c r="J555" s="54">
        <f t="shared" si="8"/>
        <v>5</v>
      </c>
    </row>
    <row r="556" spans="1:10">
      <c r="A556" s="43">
        <v>43238</v>
      </c>
      <c r="B556">
        <v>2003</v>
      </c>
      <c r="C556">
        <v>2478</v>
      </c>
      <c r="D556">
        <v>555</v>
      </c>
      <c r="E556">
        <v>11500</v>
      </c>
      <c r="F556" t="s">
        <v>59</v>
      </c>
      <c r="G556">
        <v>13</v>
      </c>
      <c r="H556" t="s">
        <v>133</v>
      </c>
      <c r="I556">
        <v>16</v>
      </c>
      <c r="J556" s="54">
        <f t="shared" si="8"/>
        <v>13</v>
      </c>
    </row>
    <row r="557" spans="1:10">
      <c r="A557" s="43">
        <v>43116</v>
      </c>
      <c r="B557">
        <v>2005</v>
      </c>
      <c r="C557">
        <v>2478</v>
      </c>
      <c r="D557">
        <v>556</v>
      </c>
      <c r="E557">
        <v>8800</v>
      </c>
      <c r="F557" t="s">
        <v>59</v>
      </c>
      <c r="G557">
        <v>10</v>
      </c>
      <c r="H557" t="s">
        <v>133</v>
      </c>
      <c r="I557">
        <v>14</v>
      </c>
      <c r="J557" s="54">
        <f t="shared" si="8"/>
        <v>10</v>
      </c>
    </row>
    <row r="558" spans="1:10">
      <c r="A558" s="43">
        <v>43054</v>
      </c>
      <c r="B558">
        <v>2000</v>
      </c>
      <c r="C558">
        <v>2478</v>
      </c>
      <c r="D558">
        <v>557</v>
      </c>
      <c r="E558">
        <v>9650</v>
      </c>
      <c r="F558" t="s">
        <v>59</v>
      </c>
      <c r="G558">
        <v>150</v>
      </c>
      <c r="H558" t="s">
        <v>60</v>
      </c>
      <c r="I558">
        <v>19</v>
      </c>
      <c r="J558" s="54">
        <f t="shared" si="8"/>
        <v>5</v>
      </c>
    </row>
    <row r="559" spans="1:10">
      <c r="A559" s="43">
        <v>43021</v>
      </c>
      <c r="B559">
        <v>2003</v>
      </c>
      <c r="C559">
        <v>2478</v>
      </c>
      <c r="D559">
        <v>558</v>
      </c>
      <c r="E559">
        <v>8250</v>
      </c>
      <c r="F559" t="s">
        <v>59</v>
      </c>
      <c r="G559">
        <v>7</v>
      </c>
      <c r="H559" t="s">
        <v>133</v>
      </c>
      <c r="I559">
        <v>16</v>
      </c>
      <c r="J559" s="54">
        <f t="shared" si="8"/>
        <v>7</v>
      </c>
    </row>
    <row r="560" spans="1:10">
      <c r="A560" s="43">
        <v>43010</v>
      </c>
      <c r="B560">
        <v>2003</v>
      </c>
      <c r="C560">
        <v>2478</v>
      </c>
      <c r="D560">
        <v>559</v>
      </c>
      <c r="E560">
        <v>8250</v>
      </c>
      <c r="F560" t="s">
        <v>59</v>
      </c>
      <c r="G560">
        <v>6</v>
      </c>
      <c r="H560" t="s">
        <v>133</v>
      </c>
      <c r="I560">
        <v>16</v>
      </c>
      <c r="J560" s="54">
        <f t="shared" si="8"/>
        <v>6</v>
      </c>
    </row>
    <row r="561" spans="1:10">
      <c r="A561" s="43">
        <v>42996</v>
      </c>
      <c r="B561">
        <v>2005</v>
      </c>
      <c r="C561">
        <v>2478</v>
      </c>
      <c r="D561">
        <v>560</v>
      </c>
      <c r="E561">
        <v>8250</v>
      </c>
      <c r="F561" t="s">
        <v>59</v>
      </c>
      <c r="G561">
        <v>5</v>
      </c>
      <c r="H561" t="s">
        <v>133</v>
      </c>
      <c r="I561">
        <v>14</v>
      </c>
      <c r="J561" s="54">
        <f t="shared" si="8"/>
        <v>5</v>
      </c>
    </row>
    <row r="562" spans="1:10">
      <c r="A562" s="43">
        <v>42983</v>
      </c>
      <c r="B562">
        <v>2003</v>
      </c>
      <c r="C562">
        <v>2478</v>
      </c>
      <c r="D562">
        <v>561</v>
      </c>
      <c r="E562">
        <v>8250</v>
      </c>
      <c r="F562" t="s">
        <v>59</v>
      </c>
      <c r="G562">
        <v>8</v>
      </c>
      <c r="H562" t="s">
        <v>133</v>
      </c>
      <c r="I562">
        <v>16</v>
      </c>
      <c r="J562" s="54">
        <f t="shared" si="8"/>
        <v>8</v>
      </c>
    </row>
    <row r="563" spans="1:10">
      <c r="A563" s="43">
        <v>42962</v>
      </c>
      <c r="B563">
        <v>2004</v>
      </c>
      <c r="C563">
        <v>2478</v>
      </c>
      <c r="D563">
        <v>562</v>
      </c>
      <c r="E563">
        <v>9150</v>
      </c>
      <c r="F563" t="s">
        <v>59</v>
      </c>
      <c r="G563">
        <v>7</v>
      </c>
      <c r="H563" t="s">
        <v>133</v>
      </c>
      <c r="I563">
        <v>15</v>
      </c>
      <c r="J563" s="54">
        <f t="shared" si="8"/>
        <v>7</v>
      </c>
    </row>
    <row r="564" spans="1:10">
      <c r="A564" s="43">
        <v>42962</v>
      </c>
      <c r="B564">
        <v>2004</v>
      </c>
      <c r="C564">
        <v>2478</v>
      </c>
      <c r="D564">
        <v>563</v>
      </c>
      <c r="E564">
        <v>9150</v>
      </c>
      <c r="F564" t="s">
        <v>59</v>
      </c>
      <c r="G564">
        <v>7</v>
      </c>
      <c r="H564" t="s">
        <v>133</v>
      </c>
      <c r="I564">
        <v>15</v>
      </c>
      <c r="J564" s="54">
        <f t="shared" si="8"/>
        <v>7</v>
      </c>
    </row>
    <row r="565" spans="1:10">
      <c r="A565" s="43">
        <v>42951</v>
      </c>
      <c r="B565">
        <v>2003</v>
      </c>
      <c r="C565">
        <v>2478</v>
      </c>
      <c r="D565">
        <v>564</v>
      </c>
      <c r="E565">
        <v>8500</v>
      </c>
      <c r="F565" t="s">
        <v>59</v>
      </c>
      <c r="G565">
        <v>12</v>
      </c>
      <c r="H565" t="s">
        <v>133</v>
      </c>
      <c r="I565">
        <v>16</v>
      </c>
      <c r="J565" s="54">
        <f t="shared" si="8"/>
        <v>12</v>
      </c>
    </row>
    <row r="566" spans="1:10">
      <c r="A566" s="43">
        <v>42944</v>
      </c>
      <c r="B566">
        <v>2004</v>
      </c>
      <c r="C566">
        <v>2478</v>
      </c>
      <c r="D566">
        <v>565</v>
      </c>
      <c r="E566">
        <v>8500</v>
      </c>
      <c r="F566" t="s">
        <v>59</v>
      </c>
      <c r="G566">
        <v>6</v>
      </c>
      <c r="H566" t="s">
        <v>133</v>
      </c>
      <c r="I566">
        <v>15</v>
      </c>
      <c r="J566" s="54">
        <f t="shared" si="8"/>
        <v>6</v>
      </c>
    </row>
    <row r="567" spans="1:10">
      <c r="A567" s="43">
        <v>42879</v>
      </c>
      <c r="B567">
        <v>2000</v>
      </c>
      <c r="C567">
        <v>2478</v>
      </c>
      <c r="D567">
        <v>566</v>
      </c>
      <c r="E567">
        <v>9650</v>
      </c>
      <c r="F567" t="s">
        <v>59</v>
      </c>
      <c r="G567">
        <v>5</v>
      </c>
      <c r="H567" t="s">
        <v>133</v>
      </c>
      <c r="I567">
        <v>19</v>
      </c>
      <c r="J567" s="54">
        <f t="shared" si="8"/>
        <v>5</v>
      </c>
    </row>
    <row r="568" spans="1:10">
      <c r="A568" s="43">
        <v>42782</v>
      </c>
      <c r="B568">
        <v>2003</v>
      </c>
      <c r="C568">
        <v>2478</v>
      </c>
      <c r="D568">
        <v>567</v>
      </c>
      <c r="E568">
        <v>6450</v>
      </c>
      <c r="F568" t="s">
        <v>59</v>
      </c>
      <c r="G568">
        <v>7</v>
      </c>
      <c r="H568" t="s">
        <v>133</v>
      </c>
      <c r="I568">
        <v>16</v>
      </c>
      <c r="J568" s="54">
        <f t="shared" si="8"/>
        <v>7</v>
      </c>
    </row>
    <row r="569" spans="1:10">
      <c r="A569" s="43">
        <v>42768</v>
      </c>
      <c r="B569">
        <v>2005</v>
      </c>
      <c r="C569">
        <v>2478</v>
      </c>
      <c r="D569">
        <v>568</v>
      </c>
      <c r="E569">
        <v>5750</v>
      </c>
      <c r="F569" t="s">
        <v>59</v>
      </c>
      <c r="G569">
        <v>12</v>
      </c>
      <c r="H569" t="s">
        <v>133</v>
      </c>
      <c r="I569">
        <v>14</v>
      </c>
      <c r="J569" s="54">
        <f t="shared" si="8"/>
        <v>12</v>
      </c>
    </row>
    <row r="570" spans="1:10">
      <c r="A570" s="43">
        <v>42739</v>
      </c>
      <c r="B570">
        <v>2004</v>
      </c>
      <c r="C570">
        <v>2478</v>
      </c>
      <c r="D570">
        <v>569</v>
      </c>
      <c r="E570">
        <v>5500</v>
      </c>
      <c r="F570" t="s">
        <v>59</v>
      </c>
      <c r="G570">
        <v>3</v>
      </c>
      <c r="H570" t="s">
        <v>133</v>
      </c>
      <c r="I570">
        <v>15</v>
      </c>
      <c r="J570" s="54">
        <f t="shared" si="8"/>
        <v>3</v>
      </c>
    </row>
    <row r="571" spans="1:10">
      <c r="A571" s="43">
        <v>42739</v>
      </c>
      <c r="B571">
        <v>2005</v>
      </c>
      <c r="C571">
        <v>2478</v>
      </c>
      <c r="D571">
        <v>570</v>
      </c>
      <c r="E571">
        <v>5500</v>
      </c>
      <c r="F571" t="s">
        <v>59</v>
      </c>
      <c r="G571">
        <v>12</v>
      </c>
      <c r="H571" t="s">
        <v>133</v>
      </c>
      <c r="I571">
        <v>14</v>
      </c>
      <c r="J571" s="54">
        <f t="shared" si="8"/>
        <v>12</v>
      </c>
    </row>
    <row r="572" spans="1:10">
      <c r="A572" s="43">
        <v>42712</v>
      </c>
      <c r="B572">
        <v>2004</v>
      </c>
      <c r="C572">
        <v>2478</v>
      </c>
      <c r="D572">
        <v>571</v>
      </c>
      <c r="E572">
        <v>5500</v>
      </c>
      <c r="F572" t="s">
        <v>59</v>
      </c>
      <c r="G572">
        <v>12</v>
      </c>
      <c r="H572" t="s">
        <v>133</v>
      </c>
      <c r="I572">
        <v>15</v>
      </c>
      <c r="J572" s="54">
        <f t="shared" si="8"/>
        <v>12</v>
      </c>
    </row>
    <row r="573" spans="1:10">
      <c r="A573" s="43">
        <v>42705</v>
      </c>
      <c r="B573">
        <v>2005</v>
      </c>
      <c r="C573">
        <v>2478</v>
      </c>
      <c r="D573">
        <v>572</v>
      </c>
      <c r="E573">
        <v>5500</v>
      </c>
      <c r="F573" t="s">
        <v>59</v>
      </c>
      <c r="G573">
        <v>12</v>
      </c>
      <c r="H573" t="s">
        <v>133</v>
      </c>
      <c r="I573">
        <v>14</v>
      </c>
      <c r="J573" s="54">
        <f t="shared" si="8"/>
        <v>12</v>
      </c>
    </row>
    <row r="574" spans="1:10">
      <c r="A574" s="43">
        <v>42699</v>
      </c>
      <c r="B574">
        <v>2004</v>
      </c>
      <c r="C574">
        <v>2478</v>
      </c>
      <c r="D574">
        <v>573</v>
      </c>
      <c r="E574">
        <v>5500</v>
      </c>
      <c r="F574" t="s">
        <v>59</v>
      </c>
      <c r="G574">
        <v>12</v>
      </c>
      <c r="H574" t="s">
        <v>133</v>
      </c>
      <c r="I574">
        <v>15</v>
      </c>
      <c r="J574" s="54">
        <f t="shared" si="8"/>
        <v>12</v>
      </c>
    </row>
    <row r="575" spans="1:10">
      <c r="A575" s="43">
        <v>42696</v>
      </c>
      <c r="B575">
        <v>2004</v>
      </c>
      <c r="C575">
        <v>2478</v>
      </c>
      <c r="D575">
        <v>574</v>
      </c>
      <c r="E575">
        <v>5300</v>
      </c>
      <c r="F575" t="s">
        <v>59</v>
      </c>
      <c r="G575">
        <v>12</v>
      </c>
      <c r="H575" t="s">
        <v>133</v>
      </c>
      <c r="I575">
        <v>15</v>
      </c>
      <c r="J575" s="54">
        <f t="shared" si="8"/>
        <v>12</v>
      </c>
    </row>
    <row r="576" spans="1:10">
      <c r="A576" s="43">
        <v>42663</v>
      </c>
      <c r="B576">
        <v>2003</v>
      </c>
      <c r="C576">
        <v>2478</v>
      </c>
      <c r="D576">
        <v>575</v>
      </c>
      <c r="E576">
        <v>5500</v>
      </c>
      <c r="F576" t="s">
        <v>59</v>
      </c>
      <c r="G576">
        <v>12</v>
      </c>
      <c r="H576" t="s">
        <v>133</v>
      </c>
      <c r="I576">
        <v>16</v>
      </c>
      <c r="J576" s="54">
        <f t="shared" si="8"/>
        <v>12</v>
      </c>
    </row>
    <row r="577" spans="1:10">
      <c r="A577" s="43">
        <v>42663</v>
      </c>
      <c r="B577">
        <v>2003</v>
      </c>
      <c r="C577">
        <v>2478</v>
      </c>
      <c r="D577">
        <v>576</v>
      </c>
      <c r="E577">
        <v>5500</v>
      </c>
      <c r="F577" t="s">
        <v>59</v>
      </c>
      <c r="G577">
        <v>12</v>
      </c>
      <c r="H577" t="s">
        <v>133</v>
      </c>
      <c r="I577">
        <v>16</v>
      </c>
      <c r="J577" s="54">
        <f t="shared" si="8"/>
        <v>12</v>
      </c>
    </row>
    <row r="578" spans="1:10">
      <c r="A578" s="43">
        <v>42663</v>
      </c>
      <c r="B578">
        <v>2000</v>
      </c>
      <c r="C578">
        <v>2478</v>
      </c>
      <c r="D578">
        <v>577</v>
      </c>
      <c r="E578">
        <v>6000</v>
      </c>
      <c r="F578" t="s">
        <v>59</v>
      </c>
      <c r="G578">
        <v>9</v>
      </c>
      <c r="H578" t="s">
        <v>133</v>
      </c>
      <c r="I578">
        <v>19</v>
      </c>
      <c r="J578" s="54">
        <f t="shared" ref="J578:J641" si="9">IF(H578="days",ROUND(G578/30,0),IF(H578="years",G578*12,G578))</f>
        <v>9</v>
      </c>
    </row>
    <row r="579" spans="1:10">
      <c r="A579" s="43">
        <v>42657</v>
      </c>
      <c r="B579">
        <v>2004</v>
      </c>
      <c r="C579">
        <v>2478</v>
      </c>
      <c r="D579">
        <v>578</v>
      </c>
      <c r="E579">
        <v>5500</v>
      </c>
      <c r="F579" t="s">
        <v>59</v>
      </c>
      <c r="G579">
        <v>6</v>
      </c>
      <c r="H579" t="s">
        <v>133</v>
      </c>
      <c r="I579">
        <v>15</v>
      </c>
      <c r="J579" s="54">
        <f t="shared" si="9"/>
        <v>6</v>
      </c>
    </row>
    <row r="580" spans="1:10">
      <c r="A580" s="43">
        <v>42649</v>
      </c>
      <c r="B580">
        <v>2004</v>
      </c>
      <c r="C580">
        <v>2478</v>
      </c>
      <c r="D580">
        <v>579</v>
      </c>
      <c r="E580">
        <v>5500</v>
      </c>
      <c r="F580" t="s">
        <v>59</v>
      </c>
      <c r="G580">
        <v>10</v>
      </c>
      <c r="H580" t="s">
        <v>133</v>
      </c>
      <c r="I580">
        <v>15</v>
      </c>
      <c r="J580" s="54">
        <f t="shared" si="9"/>
        <v>10</v>
      </c>
    </row>
    <row r="581" spans="1:10">
      <c r="A581" s="43">
        <v>42644</v>
      </c>
      <c r="B581">
        <v>2004</v>
      </c>
      <c r="C581">
        <v>2478</v>
      </c>
      <c r="D581">
        <v>580</v>
      </c>
      <c r="E581">
        <v>5500</v>
      </c>
      <c r="F581" t="s">
        <v>59</v>
      </c>
      <c r="G581">
        <v>12</v>
      </c>
      <c r="H581" t="s">
        <v>133</v>
      </c>
      <c r="I581">
        <v>15</v>
      </c>
      <c r="J581" s="54">
        <f t="shared" si="9"/>
        <v>12</v>
      </c>
    </row>
    <row r="582" spans="1:10">
      <c r="A582" s="43">
        <v>42643</v>
      </c>
      <c r="B582">
        <v>2004</v>
      </c>
      <c r="C582">
        <v>2478</v>
      </c>
      <c r="D582">
        <v>581</v>
      </c>
      <c r="E582">
        <v>5500</v>
      </c>
      <c r="F582" t="s">
        <v>59</v>
      </c>
      <c r="G582">
        <v>10</v>
      </c>
      <c r="H582" t="s">
        <v>133</v>
      </c>
      <c r="I582">
        <v>15</v>
      </c>
      <c r="J582" s="54">
        <f t="shared" si="9"/>
        <v>10</v>
      </c>
    </row>
    <row r="583" spans="1:10">
      <c r="A583" s="43">
        <v>42640</v>
      </c>
      <c r="B583">
        <v>2005</v>
      </c>
      <c r="C583">
        <v>2478</v>
      </c>
      <c r="D583">
        <v>582</v>
      </c>
      <c r="E583">
        <v>5500</v>
      </c>
      <c r="F583" t="s">
        <v>59</v>
      </c>
      <c r="G583">
        <v>12</v>
      </c>
      <c r="H583" t="s">
        <v>133</v>
      </c>
      <c r="I583">
        <v>14</v>
      </c>
      <c r="J583" s="54">
        <f t="shared" si="9"/>
        <v>12</v>
      </c>
    </row>
    <row r="584" spans="1:10">
      <c r="A584" s="43">
        <v>42602</v>
      </c>
      <c r="B584">
        <v>2004</v>
      </c>
      <c r="C584">
        <v>2478</v>
      </c>
      <c r="D584">
        <v>583</v>
      </c>
      <c r="E584">
        <v>5750</v>
      </c>
      <c r="F584" t="s">
        <v>59</v>
      </c>
      <c r="G584">
        <v>12</v>
      </c>
      <c r="H584" t="s">
        <v>133</v>
      </c>
      <c r="I584">
        <v>15</v>
      </c>
      <c r="J584" s="54">
        <f t="shared" si="9"/>
        <v>12</v>
      </c>
    </row>
    <row r="585" spans="1:10">
      <c r="A585" s="43">
        <v>42597</v>
      </c>
      <c r="B585">
        <v>2003</v>
      </c>
      <c r="C585">
        <v>2478</v>
      </c>
      <c r="D585">
        <v>584</v>
      </c>
      <c r="E585">
        <v>6500</v>
      </c>
      <c r="F585" t="s">
        <v>59</v>
      </c>
      <c r="G585">
        <v>50</v>
      </c>
      <c r="H585" t="s">
        <v>60</v>
      </c>
      <c r="I585">
        <v>16</v>
      </c>
      <c r="J585" s="54">
        <f t="shared" si="9"/>
        <v>2</v>
      </c>
    </row>
    <row r="586" spans="1:10">
      <c r="A586" s="43">
        <v>42580</v>
      </c>
      <c r="B586">
        <v>2004</v>
      </c>
      <c r="C586">
        <v>2478</v>
      </c>
      <c r="D586">
        <v>585</v>
      </c>
      <c r="E586">
        <v>6050</v>
      </c>
      <c r="F586" t="s">
        <v>59</v>
      </c>
      <c r="G586">
        <v>11</v>
      </c>
      <c r="H586" t="s">
        <v>133</v>
      </c>
      <c r="I586">
        <v>15</v>
      </c>
      <c r="J586" s="54">
        <f t="shared" si="9"/>
        <v>11</v>
      </c>
    </row>
    <row r="587" spans="1:10">
      <c r="A587" s="43">
        <v>42577</v>
      </c>
      <c r="B587">
        <v>2003</v>
      </c>
      <c r="C587">
        <v>2478</v>
      </c>
      <c r="D587">
        <v>586</v>
      </c>
      <c r="E587">
        <v>6000</v>
      </c>
      <c r="F587" t="s">
        <v>59</v>
      </c>
      <c r="G587">
        <v>12</v>
      </c>
      <c r="H587" t="s">
        <v>133</v>
      </c>
      <c r="I587">
        <v>16</v>
      </c>
      <c r="J587" s="54">
        <f t="shared" si="9"/>
        <v>12</v>
      </c>
    </row>
    <row r="588" spans="1:10">
      <c r="A588" s="43">
        <v>42561</v>
      </c>
      <c r="B588">
        <v>2003</v>
      </c>
      <c r="C588">
        <v>2478</v>
      </c>
      <c r="D588">
        <v>587</v>
      </c>
      <c r="E588">
        <v>6950</v>
      </c>
      <c r="F588" t="s">
        <v>59</v>
      </c>
      <c r="G588">
        <v>12</v>
      </c>
      <c r="H588" t="s">
        <v>133</v>
      </c>
      <c r="I588">
        <v>16</v>
      </c>
      <c r="J588" s="54">
        <f t="shared" si="9"/>
        <v>12</v>
      </c>
    </row>
    <row r="589" spans="1:10">
      <c r="A589" s="43">
        <v>42552</v>
      </c>
      <c r="B589">
        <v>2003</v>
      </c>
      <c r="C589">
        <v>2478</v>
      </c>
      <c r="D589">
        <v>588</v>
      </c>
      <c r="E589">
        <v>6500</v>
      </c>
      <c r="F589" t="s">
        <v>59</v>
      </c>
      <c r="G589">
        <v>56</v>
      </c>
      <c r="H589" t="s">
        <v>60</v>
      </c>
      <c r="I589">
        <v>16</v>
      </c>
      <c r="J589" s="54">
        <f t="shared" si="9"/>
        <v>2</v>
      </c>
    </row>
    <row r="590" spans="1:10">
      <c r="A590" s="43">
        <v>42528</v>
      </c>
      <c r="B590">
        <v>2004</v>
      </c>
      <c r="C590">
        <v>2478</v>
      </c>
      <c r="D590">
        <v>589</v>
      </c>
      <c r="E590">
        <v>6500</v>
      </c>
      <c r="F590" t="s">
        <v>59</v>
      </c>
      <c r="G590">
        <v>60</v>
      </c>
      <c r="H590" t="s">
        <v>60</v>
      </c>
      <c r="I590">
        <v>15</v>
      </c>
      <c r="J590" s="54">
        <f t="shared" si="9"/>
        <v>2</v>
      </c>
    </row>
    <row r="591" spans="1:10">
      <c r="A591" s="43">
        <v>42526</v>
      </c>
      <c r="B591">
        <v>2004</v>
      </c>
      <c r="C591">
        <v>2478</v>
      </c>
      <c r="D591">
        <v>590</v>
      </c>
      <c r="E591">
        <v>6350</v>
      </c>
      <c r="F591" t="s">
        <v>59</v>
      </c>
      <c r="G591">
        <v>8</v>
      </c>
      <c r="H591" t="s">
        <v>133</v>
      </c>
      <c r="I591">
        <v>15</v>
      </c>
      <c r="J591" s="54">
        <f t="shared" si="9"/>
        <v>8</v>
      </c>
    </row>
    <row r="592" spans="1:10">
      <c r="A592" s="43">
        <v>42508</v>
      </c>
      <c r="B592">
        <v>2005</v>
      </c>
      <c r="C592">
        <v>2478</v>
      </c>
      <c r="D592">
        <v>591</v>
      </c>
      <c r="E592">
        <v>6500</v>
      </c>
      <c r="F592" t="s">
        <v>59</v>
      </c>
      <c r="G592">
        <v>10</v>
      </c>
      <c r="H592" t="s">
        <v>133</v>
      </c>
      <c r="I592">
        <v>14</v>
      </c>
      <c r="J592" s="54">
        <f t="shared" si="9"/>
        <v>10</v>
      </c>
    </row>
    <row r="593" spans="1:10">
      <c r="A593" s="43">
        <v>42482</v>
      </c>
      <c r="B593">
        <v>2003</v>
      </c>
      <c r="C593">
        <v>2478</v>
      </c>
      <c r="D593">
        <v>592</v>
      </c>
      <c r="E593">
        <v>6500</v>
      </c>
      <c r="F593" t="s">
        <v>59</v>
      </c>
      <c r="G593">
        <v>4</v>
      </c>
      <c r="H593" t="s">
        <v>133</v>
      </c>
      <c r="I593">
        <v>16</v>
      </c>
      <c r="J593" s="54">
        <f t="shared" si="9"/>
        <v>4</v>
      </c>
    </row>
    <row r="594" spans="1:10">
      <c r="A594" s="43">
        <v>42480</v>
      </c>
      <c r="B594">
        <v>2005</v>
      </c>
      <c r="C594">
        <v>2478</v>
      </c>
      <c r="D594">
        <v>593</v>
      </c>
      <c r="E594">
        <v>6000</v>
      </c>
      <c r="F594" t="s">
        <v>59</v>
      </c>
      <c r="G594">
        <v>6</v>
      </c>
      <c r="H594" t="s">
        <v>133</v>
      </c>
      <c r="I594">
        <v>14</v>
      </c>
      <c r="J594" s="54">
        <f t="shared" si="9"/>
        <v>6</v>
      </c>
    </row>
    <row r="595" spans="1:10">
      <c r="A595" s="43">
        <v>42480</v>
      </c>
      <c r="B595">
        <v>2004</v>
      </c>
      <c r="C595">
        <v>2478</v>
      </c>
      <c r="D595">
        <v>594</v>
      </c>
      <c r="E595">
        <v>6000</v>
      </c>
      <c r="F595" t="s">
        <v>59</v>
      </c>
      <c r="G595">
        <v>7</v>
      </c>
      <c r="H595" t="s">
        <v>133</v>
      </c>
      <c r="I595">
        <v>15</v>
      </c>
      <c r="J595" s="54">
        <f t="shared" si="9"/>
        <v>7</v>
      </c>
    </row>
    <row r="596" spans="1:10">
      <c r="A596" s="43">
        <v>42459</v>
      </c>
      <c r="B596">
        <v>2004</v>
      </c>
      <c r="C596">
        <v>2478</v>
      </c>
      <c r="D596">
        <v>595</v>
      </c>
      <c r="E596">
        <v>6200</v>
      </c>
      <c r="F596" t="s">
        <v>59</v>
      </c>
      <c r="G596">
        <v>6</v>
      </c>
      <c r="H596" t="s">
        <v>133</v>
      </c>
      <c r="I596">
        <v>15</v>
      </c>
      <c r="J596" s="54">
        <f t="shared" si="9"/>
        <v>6</v>
      </c>
    </row>
    <row r="597" spans="1:10">
      <c r="A597" s="43">
        <v>42449</v>
      </c>
      <c r="B597">
        <v>2005</v>
      </c>
      <c r="C597">
        <v>2478</v>
      </c>
      <c r="D597">
        <v>596</v>
      </c>
      <c r="E597">
        <v>6000</v>
      </c>
      <c r="F597" t="s">
        <v>59</v>
      </c>
      <c r="G597">
        <v>12</v>
      </c>
      <c r="H597" t="s">
        <v>133</v>
      </c>
      <c r="I597">
        <v>14</v>
      </c>
      <c r="J597" s="54">
        <f t="shared" si="9"/>
        <v>12</v>
      </c>
    </row>
    <row r="598" spans="1:10">
      <c r="A598" s="43">
        <v>42449</v>
      </c>
      <c r="B598">
        <v>2003</v>
      </c>
      <c r="C598">
        <v>2478</v>
      </c>
      <c r="D598">
        <v>597</v>
      </c>
      <c r="E598">
        <v>6150</v>
      </c>
      <c r="F598" t="s">
        <v>59</v>
      </c>
      <c r="G598">
        <v>8</v>
      </c>
      <c r="H598" t="s">
        <v>133</v>
      </c>
      <c r="I598">
        <v>16</v>
      </c>
      <c r="J598" s="54">
        <f t="shared" si="9"/>
        <v>8</v>
      </c>
    </row>
    <row r="599" spans="1:10">
      <c r="A599" s="43">
        <v>42444</v>
      </c>
      <c r="B599">
        <v>2005</v>
      </c>
      <c r="C599">
        <v>2478</v>
      </c>
      <c r="D599">
        <v>598</v>
      </c>
      <c r="E599">
        <v>6250</v>
      </c>
      <c r="F599" t="s">
        <v>59</v>
      </c>
      <c r="G599">
        <v>45</v>
      </c>
      <c r="H599" t="s">
        <v>60</v>
      </c>
      <c r="I599">
        <v>14</v>
      </c>
      <c r="J599" s="54">
        <f t="shared" si="9"/>
        <v>2</v>
      </c>
    </row>
    <row r="600" spans="1:10" s="155" customFormat="1">
      <c r="A600" s="154">
        <v>42431</v>
      </c>
      <c r="B600" s="155">
        <v>2005</v>
      </c>
      <c r="C600" s="155">
        <v>2478</v>
      </c>
      <c r="D600" s="155">
        <v>599</v>
      </c>
      <c r="E600" s="155">
        <v>6250</v>
      </c>
      <c r="F600" s="155" t="s">
        <v>59</v>
      </c>
      <c r="G600" s="155">
        <v>6</v>
      </c>
      <c r="H600" s="155" t="s">
        <v>133</v>
      </c>
      <c r="I600" s="155">
        <v>14</v>
      </c>
      <c r="J600" s="156">
        <f t="shared" si="9"/>
        <v>6</v>
      </c>
    </row>
    <row r="601" spans="1:10">
      <c r="A601" s="43">
        <v>42397</v>
      </c>
      <c r="B601">
        <v>2003</v>
      </c>
      <c r="C601">
        <v>2478</v>
      </c>
      <c r="D601">
        <v>600</v>
      </c>
      <c r="E601">
        <v>6000</v>
      </c>
      <c r="F601" t="s">
        <v>59</v>
      </c>
      <c r="G601">
        <v>12</v>
      </c>
      <c r="H601" t="s">
        <v>133</v>
      </c>
      <c r="I601">
        <v>16</v>
      </c>
      <c r="J601" s="54">
        <f t="shared" si="9"/>
        <v>12</v>
      </c>
    </row>
    <row r="602" spans="1:10">
      <c r="A602" s="43">
        <v>42397</v>
      </c>
      <c r="B602">
        <v>2003</v>
      </c>
      <c r="C602">
        <v>2478</v>
      </c>
      <c r="D602">
        <v>601</v>
      </c>
      <c r="E602">
        <v>6000</v>
      </c>
      <c r="F602" t="s">
        <v>59</v>
      </c>
      <c r="G602">
        <v>12</v>
      </c>
      <c r="H602" t="s">
        <v>133</v>
      </c>
      <c r="I602">
        <v>16</v>
      </c>
      <c r="J602" s="54">
        <f t="shared" si="9"/>
        <v>12</v>
      </c>
    </row>
    <row r="603" spans="1:10">
      <c r="A603" s="43">
        <v>43627</v>
      </c>
      <c r="B603">
        <v>2005</v>
      </c>
      <c r="C603">
        <v>2490</v>
      </c>
      <c r="D603">
        <v>602</v>
      </c>
      <c r="E603">
        <v>9500</v>
      </c>
      <c r="F603" t="s">
        <v>59</v>
      </c>
      <c r="G603">
        <v>3</v>
      </c>
      <c r="H603" t="s">
        <v>133</v>
      </c>
      <c r="I603">
        <v>14</v>
      </c>
      <c r="J603" s="54">
        <f t="shared" si="9"/>
        <v>3</v>
      </c>
    </row>
    <row r="604" spans="1:10">
      <c r="A604" s="43">
        <v>43614</v>
      </c>
      <c r="B604">
        <v>2002</v>
      </c>
      <c r="C604">
        <v>2490</v>
      </c>
      <c r="D604">
        <v>603</v>
      </c>
      <c r="E604">
        <v>9000</v>
      </c>
      <c r="F604" t="s">
        <v>59</v>
      </c>
      <c r="G604">
        <v>6</v>
      </c>
      <c r="H604" t="s">
        <v>133</v>
      </c>
      <c r="I604">
        <v>17</v>
      </c>
      <c r="J604" s="54">
        <f t="shared" si="9"/>
        <v>6</v>
      </c>
    </row>
    <row r="605" spans="1:10">
      <c r="A605" s="43">
        <v>43075</v>
      </c>
      <c r="B605">
        <v>2004</v>
      </c>
      <c r="C605">
        <v>2490</v>
      </c>
      <c r="D605">
        <v>604</v>
      </c>
      <c r="E605">
        <v>9600</v>
      </c>
      <c r="F605" t="s">
        <v>59</v>
      </c>
      <c r="G605">
        <v>11</v>
      </c>
      <c r="H605" t="s">
        <v>133</v>
      </c>
      <c r="I605">
        <v>15</v>
      </c>
      <c r="J605" s="54">
        <f t="shared" si="9"/>
        <v>11</v>
      </c>
    </row>
    <row r="606" spans="1:10">
      <c r="A606" s="43">
        <v>42736</v>
      </c>
      <c r="B606">
        <v>2002</v>
      </c>
      <c r="C606">
        <v>2490</v>
      </c>
      <c r="D606">
        <v>605</v>
      </c>
      <c r="E606">
        <v>6000</v>
      </c>
      <c r="F606" t="s">
        <v>59</v>
      </c>
      <c r="G606">
        <v>12</v>
      </c>
      <c r="H606" t="s">
        <v>133</v>
      </c>
      <c r="I606">
        <v>17</v>
      </c>
      <c r="J606" s="54">
        <f t="shared" si="9"/>
        <v>12</v>
      </c>
    </row>
    <row r="607" spans="1:10">
      <c r="A607" s="43">
        <v>42452</v>
      </c>
      <c r="B607">
        <v>2004</v>
      </c>
      <c r="C607">
        <v>2490</v>
      </c>
      <c r="D607">
        <v>606</v>
      </c>
      <c r="E607">
        <v>6600</v>
      </c>
      <c r="F607" t="s">
        <v>59</v>
      </c>
      <c r="G607">
        <v>6</v>
      </c>
      <c r="H607" t="s">
        <v>133</v>
      </c>
      <c r="I607">
        <v>15</v>
      </c>
      <c r="J607" s="54">
        <f t="shared" si="9"/>
        <v>6</v>
      </c>
    </row>
    <row r="608" spans="1:10">
      <c r="A608" s="43">
        <v>42444</v>
      </c>
      <c r="B608">
        <v>2005</v>
      </c>
      <c r="C608">
        <v>2490</v>
      </c>
      <c r="D608">
        <v>607</v>
      </c>
      <c r="E608">
        <v>8500</v>
      </c>
      <c r="F608" t="s">
        <v>59</v>
      </c>
      <c r="G608">
        <v>3</v>
      </c>
      <c r="H608" t="s">
        <v>133</v>
      </c>
      <c r="I608">
        <v>14</v>
      </c>
      <c r="J608" s="54">
        <f t="shared" si="9"/>
        <v>3</v>
      </c>
    </row>
    <row r="609" spans="1:10">
      <c r="A609" s="43">
        <v>42383</v>
      </c>
      <c r="B609">
        <v>2004</v>
      </c>
      <c r="C609">
        <v>2490</v>
      </c>
      <c r="D609">
        <v>608</v>
      </c>
      <c r="E609">
        <v>6950</v>
      </c>
      <c r="F609" t="s">
        <v>59</v>
      </c>
      <c r="G609">
        <v>4</v>
      </c>
      <c r="H609" t="s">
        <v>133</v>
      </c>
      <c r="I609">
        <v>15</v>
      </c>
      <c r="J609" s="54">
        <f t="shared" si="9"/>
        <v>4</v>
      </c>
    </row>
    <row r="610" spans="1:10">
      <c r="A610" s="43">
        <v>43508</v>
      </c>
      <c r="B610">
        <v>2003</v>
      </c>
      <c r="C610">
        <v>2495</v>
      </c>
      <c r="D610">
        <v>609</v>
      </c>
      <c r="E610">
        <v>8750</v>
      </c>
      <c r="F610" t="s">
        <v>59</v>
      </c>
      <c r="G610">
        <v>6</v>
      </c>
      <c r="H610" t="s">
        <v>133</v>
      </c>
      <c r="I610">
        <v>16</v>
      </c>
      <c r="J610" s="54">
        <f t="shared" si="9"/>
        <v>6</v>
      </c>
    </row>
    <row r="611" spans="1:10">
      <c r="A611" s="43">
        <v>43355</v>
      </c>
      <c r="B611">
        <v>2003</v>
      </c>
      <c r="C611">
        <v>2495</v>
      </c>
      <c r="D611">
        <v>610</v>
      </c>
      <c r="E611">
        <v>10500</v>
      </c>
      <c r="F611" t="s">
        <v>59</v>
      </c>
      <c r="G611">
        <v>8</v>
      </c>
      <c r="H611" t="s">
        <v>133</v>
      </c>
      <c r="I611">
        <v>16</v>
      </c>
      <c r="J611" s="54">
        <f t="shared" si="9"/>
        <v>8</v>
      </c>
    </row>
    <row r="612" spans="1:10">
      <c r="A612" s="43">
        <v>43265</v>
      </c>
      <c r="B612">
        <v>2003</v>
      </c>
      <c r="C612">
        <v>2495</v>
      </c>
      <c r="D612">
        <v>611</v>
      </c>
      <c r="E612">
        <v>12500</v>
      </c>
      <c r="F612" t="s">
        <v>59</v>
      </c>
      <c r="G612">
        <v>5</v>
      </c>
      <c r="H612" t="s">
        <v>133</v>
      </c>
      <c r="I612">
        <v>16</v>
      </c>
      <c r="J612" s="54">
        <f t="shared" si="9"/>
        <v>5</v>
      </c>
    </row>
    <row r="613" spans="1:10">
      <c r="A613" s="43">
        <v>43023</v>
      </c>
      <c r="B613">
        <v>2003</v>
      </c>
      <c r="C613">
        <v>2495</v>
      </c>
      <c r="D613">
        <v>612</v>
      </c>
      <c r="E613">
        <v>8750</v>
      </c>
      <c r="F613" t="s">
        <v>59</v>
      </c>
      <c r="G613">
        <v>7</v>
      </c>
      <c r="H613" t="s">
        <v>133</v>
      </c>
      <c r="I613">
        <v>16</v>
      </c>
      <c r="J613" s="54">
        <f t="shared" si="9"/>
        <v>7</v>
      </c>
    </row>
    <row r="614" spans="1:10">
      <c r="A614" s="43">
        <v>42990</v>
      </c>
      <c r="B614">
        <v>2003</v>
      </c>
      <c r="C614">
        <v>2495</v>
      </c>
      <c r="D614">
        <v>613</v>
      </c>
      <c r="E614">
        <v>8250</v>
      </c>
      <c r="F614" t="s">
        <v>59</v>
      </c>
      <c r="G614">
        <v>2</v>
      </c>
      <c r="H614" t="s">
        <v>133</v>
      </c>
      <c r="I614">
        <v>16</v>
      </c>
      <c r="J614" s="54">
        <f t="shared" si="9"/>
        <v>2</v>
      </c>
    </row>
    <row r="615" spans="1:10">
      <c r="A615" s="43">
        <v>42822</v>
      </c>
      <c r="B615">
        <v>2003</v>
      </c>
      <c r="C615">
        <v>2495</v>
      </c>
      <c r="D615">
        <v>614</v>
      </c>
      <c r="E615">
        <v>9250</v>
      </c>
      <c r="F615" t="s">
        <v>59</v>
      </c>
      <c r="G615">
        <v>7</v>
      </c>
      <c r="H615" t="s">
        <v>133</v>
      </c>
      <c r="I615">
        <v>16</v>
      </c>
      <c r="J615" s="54">
        <f t="shared" si="9"/>
        <v>7</v>
      </c>
    </row>
    <row r="616" spans="1:10">
      <c r="A616" s="43">
        <v>42570</v>
      </c>
      <c r="B616">
        <v>2003</v>
      </c>
      <c r="C616">
        <v>2495</v>
      </c>
      <c r="D616">
        <v>615</v>
      </c>
      <c r="E616">
        <v>6100</v>
      </c>
      <c r="F616" t="s">
        <v>59</v>
      </c>
      <c r="G616">
        <v>6</v>
      </c>
      <c r="H616" t="s">
        <v>133</v>
      </c>
      <c r="I616">
        <v>16</v>
      </c>
      <c r="J616" s="54">
        <f t="shared" si="9"/>
        <v>6</v>
      </c>
    </row>
    <row r="617" spans="1:10">
      <c r="A617" s="43">
        <v>42446</v>
      </c>
      <c r="B617">
        <v>2003</v>
      </c>
      <c r="C617">
        <v>2495</v>
      </c>
      <c r="D617">
        <v>616</v>
      </c>
      <c r="E617">
        <v>5500</v>
      </c>
      <c r="F617" t="s">
        <v>59</v>
      </c>
      <c r="G617">
        <v>12</v>
      </c>
      <c r="H617" t="s">
        <v>133</v>
      </c>
      <c r="I617">
        <v>16</v>
      </c>
      <c r="J617" s="54">
        <f t="shared" si="9"/>
        <v>12</v>
      </c>
    </row>
    <row r="618" spans="1:10">
      <c r="A618" s="43">
        <v>43538</v>
      </c>
      <c r="B618">
        <v>2002</v>
      </c>
      <c r="C618">
        <v>2496</v>
      </c>
      <c r="D618">
        <v>617</v>
      </c>
      <c r="E618">
        <v>9750</v>
      </c>
      <c r="F618" t="s">
        <v>59</v>
      </c>
      <c r="G618">
        <v>7</v>
      </c>
      <c r="H618" t="s">
        <v>133</v>
      </c>
      <c r="I618">
        <v>17</v>
      </c>
      <c r="J618" s="54">
        <f t="shared" si="9"/>
        <v>7</v>
      </c>
    </row>
    <row r="619" spans="1:10">
      <c r="A619" s="43">
        <v>43510</v>
      </c>
      <c r="B619">
        <v>2003</v>
      </c>
      <c r="C619">
        <v>2496</v>
      </c>
      <c r="D619">
        <v>618</v>
      </c>
      <c r="E619">
        <v>8500</v>
      </c>
      <c r="F619" t="s">
        <v>59</v>
      </c>
      <c r="G619">
        <v>6</v>
      </c>
      <c r="H619" t="s">
        <v>133</v>
      </c>
      <c r="I619">
        <v>16</v>
      </c>
      <c r="J619" s="54">
        <f t="shared" si="9"/>
        <v>6</v>
      </c>
    </row>
    <row r="620" spans="1:10">
      <c r="A620" s="43">
        <v>43439</v>
      </c>
      <c r="B620">
        <v>2002</v>
      </c>
      <c r="C620">
        <v>2496</v>
      </c>
      <c r="D620">
        <v>619</v>
      </c>
      <c r="E620">
        <v>9500</v>
      </c>
      <c r="F620" t="s">
        <v>59</v>
      </c>
      <c r="G620">
        <v>12</v>
      </c>
      <c r="H620" t="s">
        <v>133</v>
      </c>
      <c r="I620">
        <v>17</v>
      </c>
      <c r="J620" s="54">
        <f t="shared" si="9"/>
        <v>12</v>
      </c>
    </row>
    <row r="621" spans="1:10">
      <c r="A621" s="43">
        <v>43433</v>
      </c>
      <c r="B621">
        <v>2003</v>
      </c>
      <c r="C621">
        <v>2496</v>
      </c>
      <c r="D621">
        <v>620</v>
      </c>
      <c r="E621">
        <v>9500</v>
      </c>
      <c r="F621" t="s">
        <v>59</v>
      </c>
      <c r="G621">
        <v>45</v>
      </c>
      <c r="H621" t="s">
        <v>60</v>
      </c>
      <c r="I621">
        <v>16</v>
      </c>
      <c r="J621" s="54">
        <f t="shared" si="9"/>
        <v>2</v>
      </c>
    </row>
    <row r="622" spans="1:10">
      <c r="A622" s="43">
        <v>43395</v>
      </c>
      <c r="B622">
        <v>2003</v>
      </c>
      <c r="C622">
        <v>2496</v>
      </c>
      <c r="D622">
        <v>621</v>
      </c>
      <c r="E622">
        <v>10000</v>
      </c>
      <c r="F622" t="s">
        <v>59</v>
      </c>
      <c r="G622">
        <v>30</v>
      </c>
      <c r="H622" t="s">
        <v>60</v>
      </c>
      <c r="I622">
        <v>16</v>
      </c>
      <c r="J622" s="54">
        <f t="shared" si="9"/>
        <v>1</v>
      </c>
    </row>
    <row r="623" spans="1:10">
      <c r="A623" s="43">
        <v>43361</v>
      </c>
      <c r="B623">
        <v>2003</v>
      </c>
      <c r="C623">
        <v>2496</v>
      </c>
      <c r="D623">
        <v>622</v>
      </c>
      <c r="E623">
        <v>10900</v>
      </c>
      <c r="F623" t="s">
        <v>59</v>
      </c>
      <c r="G623">
        <v>9</v>
      </c>
      <c r="H623" t="s">
        <v>133</v>
      </c>
      <c r="I623">
        <v>16</v>
      </c>
      <c r="J623" s="54">
        <f t="shared" si="9"/>
        <v>9</v>
      </c>
    </row>
    <row r="624" spans="1:10">
      <c r="A624" s="43">
        <v>43327</v>
      </c>
      <c r="B624">
        <v>2002</v>
      </c>
      <c r="C624">
        <v>2496</v>
      </c>
      <c r="D624">
        <v>623</v>
      </c>
      <c r="E624">
        <v>11200</v>
      </c>
      <c r="F624" t="s">
        <v>59</v>
      </c>
      <c r="G624">
        <v>12</v>
      </c>
      <c r="H624" t="s">
        <v>133</v>
      </c>
      <c r="I624">
        <v>17</v>
      </c>
      <c r="J624" s="54">
        <f t="shared" si="9"/>
        <v>12</v>
      </c>
    </row>
    <row r="625" spans="1:10">
      <c r="A625" s="43">
        <v>43224</v>
      </c>
      <c r="B625">
        <v>2002</v>
      </c>
      <c r="C625">
        <v>2496</v>
      </c>
      <c r="D625">
        <v>624</v>
      </c>
      <c r="E625">
        <v>11200</v>
      </c>
      <c r="F625" t="s">
        <v>59</v>
      </c>
      <c r="G625">
        <v>12</v>
      </c>
      <c r="H625" t="s">
        <v>133</v>
      </c>
      <c r="I625">
        <v>17</v>
      </c>
      <c r="J625" s="54">
        <f t="shared" si="9"/>
        <v>12</v>
      </c>
    </row>
    <row r="626" spans="1:10">
      <c r="A626" s="43">
        <v>43187</v>
      </c>
      <c r="B626">
        <v>2003</v>
      </c>
      <c r="C626">
        <v>2496</v>
      </c>
      <c r="D626">
        <v>625</v>
      </c>
      <c r="E626">
        <v>10250</v>
      </c>
      <c r="F626" t="s">
        <v>59</v>
      </c>
      <c r="G626">
        <v>6</v>
      </c>
      <c r="H626" t="s">
        <v>133</v>
      </c>
      <c r="I626">
        <v>16</v>
      </c>
      <c r="J626" s="54">
        <f t="shared" si="9"/>
        <v>6</v>
      </c>
    </row>
    <row r="627" spans="1:10">
      <c r="A627" s="43">
        <v>43164</v>
      </c>
      <c r="B627">
        <v>2003</v>
      </c>
      <c r="C627">
        <v>2496</v>
      </c>
      <c r="D627">
        <v>626</v>
      </c>
      <c r="E627">
        <v>9250</v>
      </c>
      <c r="F627" t="s">
        <v>59</v>
      </c>
      <c r="G627">
        <v>8</v>
      </c>
      <c r="H627" t="s">
        <v>133</v>
      </c>
      <c r="I627">
        <v>16</v>
      </c>
      <c r="J627" s="54">
        <f t="shared" si="9"/>
        <v>8</v>
      </c>
    </row>
    <row r="628" spans="1:10">
      <c r="A628" s="43">
        <v>43083</v>
      </c>
      <c r="B628">
        <v>2002</v>
      </c>
      <c r="C628">
        <v>2496</v>
      </c>
      <c r="D628">
        <v>627</v>
      </c>
      <c r="E628">
        <v>9750</v>
      </c>
      <c r="F628" t="s">
        <v>59</v>
      </c>
      <c r="G628">
        <v>5</v>
      </c>
      <c r="H628" t="s">
        <v>133</v>
      </c>
      <c r="I628">
        <v>17</v>
      </c>
      <c r="J628" s="54">
        <f t="shared" si="9"/>
        <v>5</v>
      </c>
    </row>
    <row r="629" spans="1:10">
      <c r="A629" s="43">
        <v>43064</v>
      </c>
      <c r="B629">
        <v>2002</v>
      </c>
      <c r="C629">
        <v>2496</v>
      </c>
      <c r="D629">
        <v>628</v>
      </c>
      <c r="E629">
        <v>10500</v>
      </c>
      <c r="F629" t="s">
        <v>59</v>
      </c>
      <c r="G629">
        <v>40</v>
      </c>
      <c r="H629" t="s">
        <v>60</v>
      </c>
      <c r="I629">
        <v>17</v>
      </c>
      <c r="J629" s="54">
        <f t="shared" si="9"/>
        <v>1</v>
      </c>
    </row>
    <row r="630" spans="1:10">
      <c r="A630" s="43">
        <v>43040</v>
      </c>
      <c r="B630">
        <v>2003</v>
      </c>
      <c r="C630">
        <v>2496</v>
      </c>
      <c r="D630">
        <v>629</v>
      </c>
      <c r="E630">
        <v>8500</v>
      </c>
      <c r="F630" t="s">
        <v>59</v>
      </c>
      <c r="G630">
        <v>3</v>
      </c>
      <c r="H630" t="s">
        <v>133</v>
      </c>
      <c r="I630">
        <v>16</v>
      </c>
      <c r="J630" s="54">
        <f t="shared" si="9"/>
        <v>3</v>
      </c>
    </row>
    <row r="631" spans="1:10">
      <c r="A631" s="43">
        <v>42972</v>
      </c>
      <c r="B631">
        <v>2002</v>
      </c>
      <c r="C631">
        <v>2496</v>
      </c>
      <c r="D631">
        <v>630</v>
      </c>
      <c r="E631">
        <v>8950</v>
      </c>
      <c r="F631" t="s">
        <v>59</v>
      </c>
      <c r="G631">
        <v>8</v>
      </c>
      <c r="H631" t="s">
        <v>133</v>
      </c>
      <c r="I631">
        <v>17</v>
      </c>
      <c r="J631" s="54">
        <f t="shared" si="9"/>
        <v>8</v>
      </c>
    </row>
    <row r="632" spans="1:10">
      <c r="A632" s="43">
        <v>42788</v>
      </c>
      <c r="B632">
        <v>2003</v>
      </c>
      <c r="C632">
        <v>2496</v>
      </c>
      <c r="D632">
        <v>631</v>
      </c>
      <c r="E632">
        <v>6000</v>
      </c>
      <c r="F632" t="s">
        <v>59</v>
      </c>
      <c r="G632">
        <v>12</v>
      </c>
      <c r="H632" t="s">
        <v>133</v>
      </c>
      <c r="I632">
        <v>16</v>
      </c>
      <c r="J632" s="54">
        <f t="shared" si="9"/>
        <v>12</v>
      </c>
    </row>
    <row r="633" spans="1:10">
      <c r="A633" s="43">
        <v>42675</v>
      </c>
      <c r="B633">
        <v>2003</v>
      </c>
      <c r="C633">
        <v>2496</v>
      </c>
      <c r="D633">
        <v>632</v>
      </c>
      <c r="E633">
        <v>5500</v>
      </c>
      <c r="F633" t="s">
        <v>59</v>
      </c>
      <c r="G633">
        <v>12</v>
      </c>
      <c r="H633" t="s">
        <v>133</v>
      </c>
      <c r="I633">
        <v>16</v>
      </c>
      <c r="J633" s="54">
        <f t="shared" si="9"/>
        <v>12</v>
      </c>
    </row>
    <row r="634" spans="1:10">
      <c r="A634" s="43">
        <v>42515</v>
      </c>
      <c r="B634">
        <v>2003</v>
      </c>
      <c r="C634">
        <v>2496</v>
      </c>
      <c r="D634">
        <v>633</v>
      </c>
      <c r="E634">
        <v>6400</v>
      </c>
      <c r="F634" t="s">
        <v>59</v>
      </c>
      <c r="G634">
        <v>11</v>
      </c>
      <c r="H634" t="s">
        <v>133</v>
      </c>
      <c r="I634">
        <v>16</v>
      </c>
      <c r="J634" s="54">
        <f t="shared" si="9"/>
        <v>11</v>
      </c>
    </row>
    <row r="635" spans="1:10">
      <c r="A635" s="43">
        <v>42508</v>
      </c>
      <c r="B635">
        <v>2003</v>
      </c>
      <c r="C635">
        <v>2496</v>
      </c>
      <c r="D635">
        <v>634</v>
      </c>
      <c r="E635">
        <v>6000</v>
      </c>
      <c r="F635" t="s">
        <v>59</v>
      </c>
      <c r="G635">
        <v>12</v>
      </c>
      <c r="H635" t="s">
        <v>133</v>
      </c>
      <c r="I635">
        <v>16</v>
      </c>
      <c r="J635" s="54">
        <f t="shared" si="9"/>
        <v>12</v>
      </c>
    </row>
    <row r="636" spans="1:10">
      <c r="A636" s="43">
        <v>42486</v>
      </c>
      <c r="B636">
        <v>2003</v>
      </c>
      <c r="C636">
        <v>2496</v>
      </c>
      <c r="D636">
        <v>635</v>
      </c>
      <c r="E636">
        <v>6750</v>
      </c>
      <c r="F636" t="s">
        <v>59</v>
      </c>
      <c r="G636">
        <v>45</v>
      </c>
      <c r="H636" t="s">
        <v>60</v>
      </c>
      <c r="I636">
        <v>16</v>
      </c>
      <c r="J636" s="54">
        <f t="shared" si="9"/>
        <v>2</v>
      </c>
    </row>
    <row r="637" spans="1:10">
      <c r="A637" s="43">
        <v>42439</v>
      </c>
      <c r="B637">
        <v>2002</v>
      </c>
      <c r="C637">
        <v>2496</v>
      </c>
      <c r="D637">
        <v>636</v>
      </c>
      <c r="E637">
        <v>5500</v>
      </c>
      <c r="F637" t="s">
        <v>59</v>
      </c>
      <c r="G637">
        <v>6</v>
      </c>
      <c r="H637" t="s">
        <v>133</v>
      </c>
      <c r="I637">
        <v>17</v>
      </c>
      <c r="J637" s="54">
        <f t="shared" si="9"/>
        <v>6</v>
      </c>
    </row>
    <row r="638" spans="1:10">
      <c r="A638" s="43">
        <v>42425</v>
      </c>
      <c r="B638">
        <v>2003</v>
      </c>
      <c r="C638">
        <v>2496</v>
      </c>
      <c r="D638">
        <v>637</v>
      </c>
      <c r="E638">
        <v>6000</v>
      </c>
      <c r="F638" t="s">
        <v>59</v>
      </c>
      <c r="G638">
        <v>10</v>
      </c>
      <c r="H638" t="s">
        <v>133</v>
      </c>
      <c r="I638">
        <v>16</v>
      </c>
      <c r="J638" s="54">
        <f t="shared" si="9"/>
        <v>10</v>
      </c>
    </row>
    <row r="639" spans="1:10">
      <c r="A639" s="43">
        <v>42382</v>
      </c>
      <c r="B639">
        <v>2002</v>
      </c>
      <c r="C639">
        <v>2496</v>
      </c>
      <c r="D639">
        <v>638</v>
      </c>
      <c r="E639">
        <v>6000</v>
      </c>
      <c r="F639" t="s">
        <v>59</v>
      </c>
      <c r="G639">
        <v>3</v>
      </c>
      <c r="H639" t="s">
        <v>133</v>
      </c>
      <c r="I639">
        <v>17</v>
      </c>
      <c r="J639" s="54">
        <f t="shared" si="9"/>
        <v>3</v>
      </c>
    </row>
    <row r="640" spans="1:10">
      <c r="A640" s="43">
        <v>43537</v>
      </c>
      <c r="B640">
        <v>2001</v>
      </c>
      <c r="C640">
        <v>2500</v>
      </c>
      <c r="D640">
        <v>639</v>
      </c>
      <c r="E640">
        <v>9000</v>
      </c>
      <c r="F640" t="s">
        <v>59</v>
      </c>
      <c r="G640">
        <v>13</v>
      </c>
      <c r="H640" t="s">
        <v>133</v>
      </c>
      <c r="I640">
        <v>18</v>
      </c>
      <c r="J640" s="54">
        <f t="shared" si="9"/>
        <v>13</v>
      </c>
    </row>
    <row r="641" spans="1:10">
      <c r="A641" s="43">
        <v>42705</v>
      </c>
      <c r="B641">
        <v>2001</v>
      </c>
      <c r="C641">
        <v>2500</v>
      </c>
      <c r="D641">
        <v>640</v>
      </c>
      <c r="E641">
        <v>6350</v>
      </c>
      <c r="F641" t="s">
        <v>59</v>
      </c>
      <c r="G641">
        <v>13</v>
      </c>
      <c r="H641" t="s">
        <v>133</v>
      </c>
      <c r="I641">
        <v>18</v>
      </c>
      <c r="J641" s="54">
        <f t="shared" si="9"/>
        <v>13</v>
      </c>
    </row>
    <row r="642" spans="1:10">
      <c r="A642" s="43">
        <v>42489</v>
      </c>
      <c r="B642">
        <v>2001</v>
      </c>
      <c r="C642">
        <v>2500</v>
      </c>
      <c r="D642">
        <v>641</v>
      </c>
      <c r="E642">
        <v>6500</v>
      </c>
      <c r="F642" t="s">
        <v>59</v>
      </c>
      <c r="G642">
        <v>12</v>
      </c>
      <c r="H642" t="s">
        <v>133</v>
      </c>
      <c r="I642">
        <v>18</v>
      </c>
      <c r="J642" s="54">
        <f t="shared" ref="J642:J705" si="10">IF(H642="days",ROUND(G642/30,0),IF(H642="years",G642*12,G642))</f>
        <v>12</v>
      </c>
    </row>
    <row r="643" spans="1:10">
      <c r="A643" s="43">
        <v>43613</v>
      </c>
      <c r="B643">
        <v>2000</v>
      </c>
      <c r="C643">
        <v>2506</v>
      </c>
      <c r="D643">
        <v>642</v>
      </c>
      <c r="E643">
        <v>8700</v>
      </c>
      <c r="F643" t="s">
        <v>59</v>
      </c>
      <c r="G643">
        <v>12</v>
      </c>
      <c r="H643" t="s">
        <v>133</v>
      </c>
      <c r="I643">
        <v>19</v>
      </c>
      <c r="J643" s="54">
        <f t="shared" si="10"/>
        <v>12</v>
      </c>
    </row>
    <row r="644" spans="1:10">
      <c r="A644" s="43">
        <v>43537</v>
      </c>
      <c r="B644">
        <v>2000</v>
      </c>
      <c r="C644">
        <v>2506</v>
      </c>
      <c r="D644">
        <v>643</v>
      </c>
      <c r="E644">
        <v>9000</v>
      </c>
      <c r="F644" t="s">
        <v>59</v>
      </c>
      <c r="G644">
        <v>13</v>
      </c>
      <c r="H644" t="s">
        <v>133</v>
      </c>
      <c r="I644">
        <v>19</v>
      </c>
      <c r="J644" s="54">
        <f t="shared" si="10"/>
        <v>13</v>
      </c>
    </row>
    <row r="645" spans="1:10">
      <c r="A645" s="43">
        <v>43419</v>
      </c>
      <c r="B645">
        <v>2000</v>
      </c>
      <c r="C645">
        <v>2506</v>
      </c>
      <c r="D645">
        <v>644</v>
      </c>
      <c r="E645">
        <v>9500</v>
      </c>
      <c r="F645" t="s">
        <v>59</v>
      </c>
      <c r="G645">
        <v>10</v>
      </c>
      <c r="H645" t="s">
        <v>133</v>
      </c>
      <c r="I645">
        <v>19</v>
      </c>
      <c r="J645" s="54">
        <f t="shared" si="10"/>
        <v>10</v>
      </c>
    </row>
    <row r="646" spans="1:10">
      <c r="A646" s="43">
        <v>43195</v>
      </c>
      <c r="B646">
        <v>2000</v>
      </c>
      <c r="C646">
        <v>2506</v>
      </c>
      <c r="D646">
        <v>645</v>
      </c>
      <c r="E646">
        <v>10500</v>
      </c>
      <c r="F646" t="s">
        <v>59</v>
      </c>
      <c r="G646">
        <v>12</v>
      </c>
      <c r="H646" t="s">
        <v>133</v>
      </c>
      <c r="I646">
        <v>19</v>
      </c>
      <c r="J646" s="54">
        <f t="shared" si="10"/>
        <v>12</v>
      </c>
    </row>
    <row r="647" spans="1:10">
      <c r="A647" s="43">
        <v>43151</v>
      </c>
      <c r="B647">
        <v>2000</v>
      </c>
      <c r="C647">
        <v>2506</v>
      </c>
      <c r="D647">
        <v>646</v>
      </c>
      <c r="E647">
        <v>9000</v>
      </c>
      <c r="F647" t="s">
        <v>59</v>
      </c>
      <c r="G647">
        <v>12</v>
      </c>
      <c r="H647" t="s">
        <v>133</v>
      </c>
      <c r="I647">
        <v>19</v>
      </c>
      <c r="J647" s="54">
        <f t="shared" si="10"/>
        <v>12</v>
      </c>
    </row>
    <row r="648" spans="1:10">
      <c r="A648" s="43">
        <v>43017</v>
      </c>
      <c r="B648">
        <v>2000</v>
      </c>
      <c r="C648">
        <v>2506</v>
      </c>
      <c r="D648">
        <v>647</v>
      </c>
      <c r="E648">
        <v>8500</v>
      </c>
      <c r="F648" t="s">
        <v>59</v>
      </c>
      <c r="G648">
        <v>13</v>
      </c>
      <c r="H648" t="s">
        <v>133</v>
      </c>
      <c r="I648">
        <v>19</v>
      </c>
      <c r="J648" s="54">
        <f t="shared" si="10"/>
        <v>13</v>
      </c>
    </row>
    <row r="649" spans="1:10">
      <c r="A649" s="43">
        <v>42954</v>
      </c>
      <c r="B649">
        <v>2000</v>
      </c>
      <c r="C649">
        <v>2506</v>
      </c>
      <c r="D649">
        <v>648</v>
      </c>
      <c r="E649">
        <v>8500</v>
      </c>
      <c r="F649" t="s">
        <v>59</v>
      </c>
      <c r="G649">
        <v>45</v>
      </c>
      <c r="H649" t="s">
        <v>60</v>
      </c>
      <c r="I649">
        <v>19</v>
      </c>
      <c r="J649" s="54">
        <f t="shared" si="10"/>
        <v>2</v>
      </c>
    </row>
    <row r="650" spans="1:10">
      <c r="A650" s="43">
        <v>42786</v>
      </c>
      <c r="B650">
        <v>2000</v>
      </c>
      <c r="C650">
        <v>2506</v>
      </c>
      <c r="D650">
        <v>649</v>
      </c>
      <c r="E650">
        <v>6000</v>
      </c>
      <c r="F650" t="s">
        <v>59</v>
      </c>
      <c r="G650">
        <v>6</v>
      </c>
      <c r="H650" t="s">
        <v>133</v>
      </c>
      <c r="I650">
        <v>19</v>
      </c>
      <c r="J650" s="54">
        <f t="shared" si="10"/>
        <v>6</v>
      </c>
    </row>
    <row r="651" spans="1:10">
      <c r="A651" s="43">
        <v>42730</v>
      </c>
      <c r="B651">
        <v>2000</v>
      </c>
      <c r="C651">
        <v>2506</v>
      </c>
      <c r="D651">
        <v>650</v>
      </c>
      <c r="E651">
        <v>6200</v>
      </c>
      <c r="F651" t="s">
        <v>59</v>
      </c>
      <c r="G651">
        <v>12</v>
      </c>
      <c r="H651" t="s">
        <v>133</v>
      </c>
      <c r="I651">
        <v>19</v>
      </c>
      <c r="J651" s="54">
        <f t="shared" si="10"/>
        <v>12</v>
      </c>
    </row>
    <row r="652" spans="1:10">
      <c r="A652" s="43">
        <v>42705</v>
      </c>
      <c r="B652">
        <v>2000</v>
      </c>
      <c r="C652">
        <v>2506</v>
      </c>
      <c r="D652">
        <v>651</v>
      </c>
      <c r="E652">
        <v>6350</v>
      </c>
      <c r="F652" t="s">
        <v>59</v>
      </c>
      <c r="G652">
        <v>12</v>
      </c>
      <c r="H652" t="s">
        <v>133</v>
      </c>
      <c r="I652">
        <v>19</v>
      </c>
      <c r="J652" s="54">
        <f t="shared" si="10"/>
        <v>12</v>
      </c>
    </row>
    <row r="653" spans="1:10">
      <c r="A653" s="43">
        <v>42702</v>
      </c>
      <c r="B653">
        <v>2000</v>
      </c>
      <c r="C653">
        <v>2506</v>
      </c>
      <c r="D653">
        <v>652</v>
      </c>
      <c r="E653">
        <v>5500</v>
      </c>
      <c r="F653" t="s">
        <v>59</v>
      </c>
      <c r="G653">
        <v>12</v>
      </c>
      <c r="H653" t="s">
        <v>133</v>
      </c>
      <c r="I653">
        <v>19</v>
      </c>
      <c r="J653" s="54">
        <f t="shared" si="10"/>
        <v>12</v>
      </c>
    </row>
    <row r="654" spans="1:10">
      <c r="A654" s="43">
        <v>42650</v>
      </c>
      <c r="B654">
        <v>2000</v>
      </c>
      <c r="C654">
        <v>2506</v>
      </c>
      <c r="D654">
        <v>653</v>
      </c>
      <c r="E654">
        <v>5850</v>
      </c>
      <c r="F654" t="s">
        <v>59</v>
      </c>
      <c r="G654">
        <v>4</v>
      </c>
      <c r="H654" t="s">
        <v>133</v>
      </c>
      <c r="I654">
        <v>19</v>
      </c>
      <c r="J654" s="54">
        <f t="shared" si="10"/>
        <v>4</v>
      </c>
    </row>
    <row r="655" spans="1:10">
      <c r="A655" s="43">
        <v>42515</v>
      </c>
      <c r="B655">
        <v>2000</v>
      </c>
      <c r="C655">
        <v>2506</v>
      </c>
      <c r="D655">
        <v>654</v>
      </c>
      <c r="E655">
        <v>6100</v>
      </c>
      <c r="F655" t="s">
        <v>59</v>
      </c>
      <c r="G655">
        <v>6</v>
      </c>
      <c r="H655" t="s">
        <v>133</v>
      </c>
      <c r="I655">
        <v>19</v>
      </c>
      <c r="J655" s="54">
        <f t="shared" si="10"/>
        <v>6</v>
      </c>
    </row>
    <row r="656" spans="1:10">
      <c r="A656" s="43">
        <v>42397</v>
      </c>
      <c r="B656">
        <v>2000</v>
      </c>
      <c r="C656">
        <v>2506</v>
      </c>
      <c r="D656">
        <v>655</v>
      </c>
      <c r="E656">
        <v>6500</v>
      </c>
      <c r="F656" t="s">
        <v>59</v>
      </c>
      <c r="G656">
        <v>12</v>
      </c>
      <c r="H656" t="s">
        <v>133</v>
      </c>
      <c r="I656">
        <v>19</v>
      </c>
      <c r="J656" s="54">
        <f t="shared" si="10"/>
        <v>12</v>
      </c>
    </row>
    <row r="657" spans="1:10">
      <c r="A657" s="43">
        <v>42370</v>
      </c>
      <c r="B657">
        <v>2000</v>
      </c>
      <c r="C657">
        <v>2506</v>
      </c>
      <c r="D657">
        <v>656</v>
      </c>
      <c r="E657">
        <v>6100</v>
      </c>
      <c r="F657" t="s">
        <v>59</v>
      </c>
      <c r="G657">
        <v>6</v>
      </c>
      <c r="H657" t="s">
        <v>133</v>
      </c>
      <c r="I657">
        <v>19</v>
      </c>
      <c r="J657" s="54">
        <f t="shared" si="10"/>
        <v>6</v>
      </c>
    </row>
    <row r="658" spans="1:10">
      <c r="A658" s="43">
        <v>42370</v>
      </c>
      <c r="B658">
        <v>2000</v>
      </c>
      <c r="C658">
        <v>2506</v>
      </c>
      <c r="D658">
        <v>657</v>
      </c>
      <c r="E658">
        <v>6200</v>
      </c>
      <c r="F658" t="s">
        <v>59</v>
      </c>
      <c r="G658">
        <v>13</v>
      </c>
      <c r="H658" t="s">
        <v>133</v>
      </c>
      <c r="I658">
        <v>19</v>
      </c>
      <c r="J658" s="54">
        <f t="shared" si="10"/>
        <v>13</v>
      </c>
    </row>
    <row r="659" spans="1:10">
      <c r="A659" s="43">
        <v>43496</v>
      </c>
      <c r="B659">
        <v>2002</v>
      </c>
      <c r="C659">
        <v>2520</v>
      </c>
      <c r="D659">
        <v>658</v>
      </c>
      <c r="E659">
        <v>9250</v>
      </c>
      <c r="F659" t="s">
        <v>59</v>
      </c>
      <c r="G659">
        <v>7</v>
      </c>
      <c r="H659" t="s">
        <v>133</v>
      </c>
      <c r="I659">
        <v>17</v>
      </c>
      <c r="J659" s="54">
        <f t="shared" si="10"/>
        <v>7</v>
      </c>
    </row>
    <row r="660" spans="1:10">
      <c r="A660" s="43">
        <v>42941</v>
      </c>
      <c r="B660">
        <v>2002</v>
      </c>
      <c r="C660">
        <v>2520</v>
      </c>
      <c r="D660">
        <v>659</v>
      </c>
      <c r="E660">
        <v>9000</v>
      </c>
      <c r="F660" t="s">
        <v>59</v>
      </c>
      <c r="G660">
        <v>7</v>
      </c>
      <c r="H660" t="s">
        <v>133</v>
      </c>
      <c r="I660">
        <v>17</v>
      </c>
      <c r="J660" s="54">
        <f t="shared" si="10"/>
        <v>7</v>
      </c>
    </row>
    <row r="661" spans="1:10">
      <c r="A661" s="43">
        <v>42935</v>
      </c>
      <c r="B661">
        <v>2002</v>
      </c>
      <c r="C661">
        <v>2520</v>
      </c>
      <c r="D661">
        <v>660</v>
      </c>
      <c r="E661">
        <v>9000</v>
      </c>
      <c r="F661" t="s">
        <v>59</v>
      </c>
      <c r="G661">
        <v>12</v>
      </c>
      <c r="H661" t="s">
        <v>133</v>
      </c>
      <c r="I661">
        <v>17</v>
      </c>
      <c r="J661" s="54">
        <f t="shared" si="10"/>
        <v>12</v>
      </c>
    </row>
    <row r="662" spans="1:10">
      <c r="A662" s="43">
        <v>42788</v>
      </c>
      <c r="B662">
        <v>2002</v>
      </c>
      <c r="C662">
        <v>2520</v>
      </c>
      <c r="D662">
        <v>661</v>
      </c>
      <c r="E662">
        <v>9750</v>
      </c>
      <c r="F662" t="s">
        <v>59</v>
      </c>
      <c r="G662">
        <v>3</v>
      </c>
      <c r="H662" t="s">
        <v>133</v>
      </c>
      <c r="I662">
        <v>17</v>
      </c>
      <c r="J662" s="54">
        <f t="shared" si="10"/>
        <v>3</v>
      </c>
    </row>
    <row r="663" spans="1:10">
      <c r="A663" s="43">
        <v>43598</v>
      </c>
      <c r="B663">
        <v>2003</v>
      </c>
      <c r="C663">
        <v>2524</v>
      </c>
      <c r="D663">
        <v>662</v>
      </c>
      <c r="E663">
        <v>9500</v>
      </c>
      <c r="F663" t="s">
        <v>59</v>
      </c>
      <c r="G663">
        <v>6</v>
      </c>
      <c r="H663" t="s">
        <v>133</v>
      </c>
      <c r="I663">
        <v>16</v>
      </c>
      <c r="J663" s="54">
        <f t="shared" si="10"/>
        <v>6</v>
      </c>
    </row>
    <row r="664" spans="1:10">
      <c r="A664" s="43">
        <v>43514</v>
      </c>
      <c r="B664">
        <v>2003</v>
      </c>
      <c r="C664">
        <v>2524</v>
      </c>
      <c r="D664">
        <v>663</v>
      </c>
      <c r="E664">
        <v>8500</v>
      </c>
      <c r="F664" t="s">
        <v>59</v>
      </c>
      <c r="G664">
        <v>6</v>
      </c>
      <c r="H664" t="s">
        <v>133</v>
      </c>
      <c r="I664">
        <v>16</v>
      </c>
      <c r="J664" s="54">
        <f t="shared" si="10"/>
        <v>6</v>
      </c>
    </row>
    <row r="665" spans="1:10">
      <c r="A665" s="43">
        <v>43495</v>
      </c>
      <c r="B665">
        <v>2001</v>
      </c>
      <c r="C665">
        <v>2524</v>
      </c>
      <c r="D665">
        <v>664</v>
      </c>
      <c r="E665">
        <v>9350</v>
      </c>
      <c r="F665" t="s">
        <v>59</v>
      </c>
      <c r="G665">
        <v>6</v>
      </c>
      <c r="H665" t="s">
        <v>133</v>
      </c>
      <c r="I665">
        <v>18</v>
      </c>
      <c r="J665" s="54">
        <f t="shared" si="10"/>
        <v>6</v>
      </c>
    </row>
    <row r="666" spans="1:10">
      <c r="A666" s="43">
        <v>43430</v>
      </c>
      <c r="B666">
        <v>2003</v>
      </c>
      <c r="C666">
        <v>2524</v>
      </c>
      <c r="D666">
        <v>665</v>
      </c>
      <c r="E666">
        <v>9500</v>
      </c>
      <c r="F666" t="s">
        <v>59</v>
      </c>
      <c r="G666">
        <v>3</v>
      </c>
      <c r="H666" t="s">
        <v>133</v>
      </c>
      <c r="I666">
        <v>16</v>
      </c>
      <c r="J666" s="54">
        <f t="shared" si="10"/>
        <v>3</v>
      </c>
    </row>
    <row r="667" spans="1:10">
      <c r="A667" s="43">
        <v>43388</v>
      </c>
      <c r="B667">
        <v>2002</v>
      </c>
      <c r="C667">
        <v>2524</v>
      </c>
      <c r="D667">
        <v>666</v>
      </c>
      <c r="E667">
        <v>10000</v>
      </c>
      <c r="F667" t="s">
        <v>59</v>
      </c>
      <c r="G667">
        <v>7</v>
      </c>
      <c r="H667" t="s">
        <v>133</v>
      </c>
      <c r="I667">
        <v>17</v>
      </c>
      <c r="J667" s="54">
        <f t="shared" si="10"/>
        <v>7</v>
      </c>
    </row>
    <row r="668" spans="1:10">
      <c r="A668" s="43">
        <v>43213</v>
      </c>
      <c r="B668">
        <v>2003</v>
      </c>
      <c r="C668">
        <v>2524</v>
      </c>
      <c r="D668">
        <v>667</v>
      </c>
      <c r="E668">
        <v>11500</v>
      </c>
      <c r="F668" t="s">
        <v>59</v>
      </c>
      <c r="G668">
        <v>8</v>
      </c>
      <c r="H668" t="s">
        <v>133</v>
      </c>
      <c r="I668">
        <v>16</v>
      </c>
      <c r="J668" s="54">
        <f t="shared" si="10"/>
        <v>8</v>
      </c>
    </row>
    <row r="669" spans="1:10">
      <c r="A669" s="43">
        <v>43191</v>
      </c>
      <c r="B669">
        <v>2001</v>
      </c>
      <c r="C669">
        <v>2524</v>
      </c>
      <c r="D669">
        <v>668</v>
      </c>
      <c r="E669">
        <v>10450</v>
      </c>
      <c r="F669" t="s">
        <v>59</v>
      </c>
      <c r="G669">
        <v>12</v>
      </c>
      <c r="H669" t="s">
        <v>133</v>
      </c>
      <c r="I669">
        <v>18</v>
      </c>
      <c r="J669" s="54">
        <f t="shared" si="10"/>
        <v>12</v>
      </c>
    </row>
    <row r="670" spans="1:10">
      <c r="A670" s="43">
        <v>43055</v>
      </c>
      <c r="B670">
        <v>2002</v>
      </c>
      <c r="C670">
        <v>2524</v>
      </c>
      <c r="D670">
        <v>669</v>
      </c>
      <c r="E670">
        <v>8000</v>
      </c>
      <c r="F670" t="s">
        <v>59</v>
      </c>
      <c r="G670">
        <v>6</v>
      </c>
      <c r="H670" t="s">
        <v>133</v>
      </c>
      <c r="I670">
        <v>17</v>
      </c>
      <c r="J670" s="54">
        <f t="shared" si="10"/>
        <v>6</v>
      </c>
    </row>
    <row r="671" spans="1:10">
      <c r="A671" s="43">
        <v>42996</v>
      </c>
      <c r="B671">
        <v>2003</v>
      </c>
      <c r="C671">
        <v>2524</v>
      </c>
      <c r="D671">
        <v>670</v>
      </c>
      <c r="E671">
        <v>9250</v>
      </c>
      <c r="F671" t="s">
        <v>59</v>
      </c>
      <c r="G671">
        <v>8</v>
      </c>
      <c r="H671" t="s">
        <v>133</v>
      </c>
      <c r="I671">
        <v>16</v>
      </c>
      <c r="J671" s="54">
        <f t="shared" si="10"/>
        <v>8</v>
      </c>
    </row>
    <row r="672" spans="1:10">
      <c r="A672" s="43">
        <v>42919</v>
      </c>
      <c r="B672">
        <v>2001</v>
      </c>
      <c r="C672">
        <v>2524</v>
      </c>
      <c r="D672">
        <v>671</v>
      </c>
      <c r="E672">
        <v>9000</v>
      </c>
      <c r="F672" t="s">
        <v>59</v>
      </c>
      <c r="G672">
        <v>10</v>
      </c>
      <c r="H672" t="s">
        <v>133</v>
      </c>
      <c r="I672">
        <v>18</v>
      </c>
      <c r="J672" s="54">
        <f t="shared" si="10"/>
        <v>10</v>
      </c>
    </row>
    <row r="673" spans="1:10">
      <c r="A673" s="43">
        <v>42899</v>
      </c>
      <c r="B673">
        <v>2003</v>
      </c>
      <c r="C673">
        <v>2524</v>
      </c>
      <c r="D673">
        <v>672</v>
      </c>
      <c r="E673">
        <v>10500</v>
      </c>
      <c r="F673" t="s">
        <v>59</v>
      </c>
      <c r="G673">
        <v>9</v>
      </c>
      <c r="H673" t="s">
        <v>133</v>
      </c>
      <c r="I673">
        <v>16</v>
      </c>
      <c r="J673" s="54">
        <f t="shared" si="10"/>
        <v>9</v>
      </c>
    </row>
    <row r="674" spans="1:10">
      <c r="A674" s="43">
        <v>42656</v>
      </c>
      <c r="B674">
        <v>2003</v>
      </c>
      <c r="C674">
        <v>2524</v>
      </c>
      <c r="D674">
        <v>673</v>
      </c>
      <c r="E674">
        <v>6000</v>
      </c>
      <c r="F674" t="s">
        <v>59</v>
      </c>
      <c r="G674">
        <v>6</v>
      </c>
      <c r="H674" t="s">
        <v>133</v>
      </c>
      <c r="I674">
        <v>16</v>
      </c>
      <c r="J674" s="54">
        <f t="shared" si="10"/>
        <v>6</v>
      </c>
    </row>
    <row r="675" spans="1:10">
      <c r="A675" s="43">
        <v>42626</v>
      </c>
      <c r="B675">
        <v>2003</v>
      </c>
      <c r="C675">
        <v>2524</v>
      </c>
      <c r="D675">
        <v>674</v>
      </c>
      <c r="E675">
        <v>5500</v>
      </c>
      <c r="F675" t="s">
        <v>59</v>
      </c>
      <c r="G675">
        <v>12</v>
      </c>
      <c r="H675" t="s">
        <v>133</v>
      </c>
      <c r="I675">
        <v>16</v>
      </c>
      <c r="J675" s="54">
        <f t="shared" si="10"/>
        <v>12</v>
      </c>
    </row>
    <row r="676" spans="1:10">
      <c r="A676" s="43">
        <v>42566</v>
      </c>
      <c r="B676">
        <v>2002</v>
      </c>
      <c r="C676">
        <v>2524</v>
      </c>
      <c r="D676">
        <v>675</v>
      </c>
      <c r="E676">
        <v>6500</v>
      </c>
      <c r="F676" t="s">
        <v>59</v>
      </c>
      <c r="G676">
        <v>7</v>
      </c>
      <c r="H676" t="s">
        <v>133</v>
      </c>
      <c r="I676">
        <v>17</v>
      </c>
      <c r="J676" s="54">
        <f t="shared" si="10"/>
        <v>7</v>
      </c>
    </row>
    <row r="677" spans="1:10">
      <c r="A677" s="43">
        <v>42559</v>
      </c>
      <c r="B677">
        <v>2002</v>
      </c>
      <c r="C677">
        <v>2524</v>
      </c>
      <c r="D677">
        <v>676</v>
      </c>
      <c r="E677">
        <v>6500</v>
      </c>
      <c r="F677" t="s">
        <v>59</v>
      </c>
      <c r="G677">
        <v>7</v>
      </c>
      <c r="H677" t="s">
        <v>133</v>
      </c>
      <c r="I677">
        <v>17</v>
      </c>
      <c r="J677" s="54">
        <f t="shared" si="10"/>
        <v>7</v>
      </c>
    </row>
    <row r="678" spans="1:10">
      <c r="A678" s="43">
        <v>42550</v>
      </c>
      <c r="B678">
        <v>2002</v>
      </c>
      <c r="C678">
        <v>2524</v>
      </c>
      <c r="D678">
        <v>677</v>
      </c>
      <c r="E678">
        <v>6500</v>
      </c>
      <c r="F678" t="s">
        <v>59</v>
      </c>
      <c r="G678">
        <v>120</v>
      </c>
      <c r="H678" t="s">
        <v>60</v>
      </c>
      <c r="I678">
        <v>17</v>
      </c>
      <c r="J678" s="54">
        <f t="shared" si="10"/>
        <v>4</v>
      </c>
    </row>
    <row r="679" spans="1:10">
      <c r="A679" s="43">
        <v>42505</v>
      </c>
      <c r="B679">
        <v>2001</v>
      </c>
      <c r="C679">
        <v>2524</v>
      </c>
      <c r="D679">
        <v>678</v>
      </c>
      <c r="E679">
        <v>6100</v>
      </c>
      <c r="F679" t="s">
        <v>59</v>
      </c>
      <c r="G679">
        <v>6</v>
      </c>
      <c r="H679" t="s">
        <v>133</v>
      </c>
      <c r="I679">
        <v>18</v>
      </c>
      <c r="J679" s="54">
        <f t="shared" si="10"/>
        <v>6</v>
      </c>
    </row>
    <row r="680" spans="1:10">
      <c r="A680" s="43">
        <v>42480</v>
      </c>
      <c r="B680">
        <v>2002</v>
      </c>
      <c r="C680">
        <v>2524</v>
      </c>
      <c r="D680">
        <v>679</v>
      </c>
      <c r="E680">
        <v>6000</v>
      </c>
      <c r="F680" t="s">
        <v>59</v>
      </c>
      <c r="G680">
        <v>12</v>
      </c>
      <c r="H680" t="s">
        <v>133</v>
      </c>
      <c r="I680">
        <v>17</v>
      </c>
      <c r="J680" s="54">
        <f t="shared" si="10"/>
        <v>12</v>
      </c>
    </row>
    <row r="681" spans="1:10">
      <c r="A681" s="43">
        <v>42468</v>
      </c>
      <c r="B681">
        <v>2002</v>
      </c>
      <c r="C681">
        <v>2524</v>
      </c>
      <c r="D681">
        <v>680</v>
      </c>
      <c r="E681">
        <v>6100</v>
      </c>
      <c r="F681" t="s">
        <v>59</v>
      </c>
      <c r="G681">
        <v>70</v>
      </c>
      <c r="H681" t="s">
        <v>60</v>
      </c>
      <c r="I681">
        <v>17</v>
      </c>
      <c r="J681" s="54">
        <f t="shared" si="10"/>
        <v>2</v>
      </c>
    </row>
    <row r="682" spans="1:10">
      <c r="A682" s="43">
        <v>42440</v>
      </c>
      <c r="B682">
        <v>2001</v>
      </c>
      <c r="C682">
        <v>2524</v>
      </c>
      <c r="D682">
        <v>681</v>
      </c>
      <c r="E682">
        <v>6000</v>
      </c>
      <c r="F682" t="s">
        <v>59</v>
      </c>
      <c r="G682">
        <v>6</v>
      </c>
      <c r="H682" t="s">
        <v>133</v>
      </c>
      <c r="I682">
        <v>18</v>
      </c>
      <c r="J682" s="54">
        <f t="shared" si="10"/>
        <v>6</v>
      </c>
    </row>
    <row r="683" spans="1:10">
      <c r="A683" s="43">
        <v>42430</v>
      </c>
      <c r="B683">
        <v>2002</v>
      </c>
      <c r="C683">
        <v>2524</v>
      </c>
      <c r="D683">
        <v>682</v>
      </c>
      <c r="E683">
        <v>6400</v>
      </c>
      <c r="F683" t="s">
        <v>59</v>
      </c>
      <c r="G683">
        <v>13</v>
      </c>
      <c r="H683" t="s">
        <v>133</v>
      </c>
      <c r="I683">
        <v>17</v>
      </c>
      <c r="J683" s="54">
        <f t="shared" si="10"/>
        <v>13</v>
      </c>
    </row>
    <row r="684" spans="1:10">
      <c r="A684" s="43">
        <v>42411</v>
      </c>
      <c r="B684">
        <v>2001</v>
      </c>
      <c r="C684">
        <v>2524</v>
      </c>
      <c r="D684">
        <v>683</v>
      </c>
      <c r="E684">
        <v>6000</v>
      </c>
      <c r="F684" t="s">
        <v>59</v>
      </c>
      <c r="G684">
        <v>6</v>
      </c>
      <c r="H684" t="s">
        <v>133</v>
      </c>
      <c r="I684">
        <v>18</v>
      </c>
      <c r="J684" s="54">
        <f t="shared" si="10"/>
        <v>6</v>
      </c>
    </row>
    <row r="685" spans="1:10">
      <c r="A685" s="43">
        <v>42410</v>
      </c>
      <c r="B685">
        <v>2003</v>
      </c>
      <c r="C685">
        <v>2524</v>
      </c>
      <c r="D685">
        <v>684</v>
      </c>
      <c r="E685">
        <v>6000</v>
      </c>
      <c r="F685" t="s">
        <v>59</v>
      </c>
      <c r="G685">
        <v>8</v>
      </c>
      <c r="H685" t="s">
        <v>133</v>
      </c>
      <c r="I685">
        <v>16</v>
      </c>
      <c r="J685" s="54">
        <f t="shared" si="10"/>
        <v>8</v>
      </c>
    </row>
    <row r="686" spans="1:10">
      <c r="A686" s="43">
        <v>42404</v>
      </c>
      <c r="B686">
        <v>2002</v>
      </c>
      <c r="C686">
        <v>2524</v>
      </c>
      <c r="D686">
        <v>685</v>
      </c>
      <c r="E686">
        <v>6000</v>
      </c>
      <c r="F686" t="s">
        <v>59</v>
      </c>
      <c r="G686">
        <v>5</v>
      </c>
      <c r="H686" t="s">
        <v>133</v>
      </c>
      <c r="I686">
        <v>17</v>
      </c>
      <c r="J686" s="54">
        <f t="shared" si="10"/>
        <v>5</v>
      </c>
    </row>
    <row r="687" spans="1:10">
      <c r="A687" s="43">
        <v>42948</v>
      </c>
      <c r="B687">
        <v>2001</v>
      </c>
      <c r="C687">
        <v>2526</v>
      </c>
      <c r="D687">
        <v>686</v>
      </c>
      <c r="E687">
        <v>9000</v>
      </c>
      <c r="F687" t="s">
        <v>59</v>
      </c>
      <c r="G687">
        <v>36</v>
      </c>
      <c r="H687" t="s">
        <v>133</v>
      </c>
      <c r="I687">
        <v>18</v>
      </c>
      <c r="J687" s="54">
        <f t="shared" si="10"/>
        <v>36</v>
      </c>
    </row>
    <row r="688" spans="1:10">
      <c r="A688" s="43">
        <v>42719</v>
      </c>
      <c r="B688">
        <v>2001</v>
      </c>
      <c r="C688">
        <v>2526</v>
      </c>
      <c r="D688">
        <v>687</v>
      </c>
      <c r="E688">
        <v>5300</v>
      </c>
      <c r="F688" t="s">
        <v>59</v>
      </c>
      <c r="G688">
        <v>12</v>
      </c>
      <c r="H688" t="s">
        <v>133</v>
      </c>
      <c r="I688">
        <v>18</v>
      </c>
      <c r="J688" s="54">
        <f t="shared" si="10"/>
        <v>12</v>
      </c>
    </row>
    <row r="689" spans="1:10">
      <c r="A689" s="43">
        <v>42593</v>
      </c>
      <c r="B689">
        <v>2001</v>
      </c>
      <c r="C689">
        <v>2526</v>
      </c>
      <c r="D689">
        <v>688</v>
      </c>
      <c r="E689">
        <v>6000</v>
      </c>
      <c r="F689" t="s">
        <v>59</v>
      </c>
      <c r="G689">
        <v>12</v>
      </c>
      <c r="H689" t="s">
        <v>133</v>
      </c>
      <c r="I689">
        <v>18</v>
      </c>
      <c r="J689" s="54">
        <f t="shared" si="10"/>
        <v>12</v>
      </c>
    </row>
    <row r="690" spans="1:10">
      <c r="A690" s="43">
        <v>43521</v>
      </c>
      <c r="B690">
        <v>2001</v>
      </c>
      <c r="C690">
        <v>2530</v>
      </c>
      <c r="D690">
        <v>689</v>
      </c>
      <c r="E690">
        <v>10750</v>
      </c>
      <c r="F690" t="s">
        <v>59</v>
      </c>
      <c r="G690">
        <v>6</v>
      </c>
      <c r="H690" t="s">
        <v>133</v>
      </c>
      <c r="I690">
        <v>18</v>
      </c>
      <c r="J690" s="54">
        <f t="shared" si="10"/>
        <v>6</v>
      </c>
    </row>
    <row r="691" spans="1:10">
      <c r="A691" s="43">
        <v>43255</v>
      </c>
      <c r="B691">
        <v>2001</v>
      </c>
      <c r="C691">
        <v>2530</v>
      </c>
      <c r="D691">
        <v>690</v>
      </c>
      <c r="E691">
        <v>12125</v>
      </c>
      <c r="F691" t="s">
        <v>59</v>
      </c>
      <c r="G691">
        <v>10</v>
      </c>
      <c r="H691" t="s">
        <v>133</v>
      </c>
      <c r="I691">
        <v>18</v>
      </c>
      <c r="J691" s="54">
        <f t="shared" si="10"/>
        <v>10</v>
      </c>
    </row>
    <row r="692" spans="1:10">
      <c r="A692" s="43">
        <v>43200</v>
      </c>
      <c r="B692">
        <v>2001</v>
      </c>
      <c r="C692">
        <v>2530</v>
      </c>
      <c r="D692">
        <v>691</v>
      </c>
      <c r="E692">
        <v>12000</v>
      </c>
      <c r="F692" t="s">
        <v>59</v>
      </c>
      <c r="G692">
        <v>45</v>
      </c>
      <c r="H692" t="s">
        <v>60</v>
      </c>
      <c r="I692">
        <v>18</v>
      </c>
      <c r="J692" s="54">
        <f t="shared" si="10"/>
        <v>2</v>
      </c>
    </row>
    <row r="693" spans="1:10">
      <c r="A693" s="43">
        <v>42795</v>
      </c>
      <c r="B693">
        <v>2001</v>
      </c>
      <c r="C693">
        <v>2530</v>
      </c>
      <c r="D693">
        <v>692</v>
      </c>
      <c r="E693">
        <v>9000</v>
      </c>
      <c r="F693" t="s">
        <v>59</v>
      </c>
      <c r="G693">
        <v>12</v>
      </c>
      <c r="H693" t="s">
        <v>133</v>
      </c>
      <c r="I693">
        <v>18</v>
      </c>
      <c r="J693" s="54">
        <f t="shared" si="10"/>
        <v>12</v>
      </c>
    </row>
    <row r="694" spans="1:10">
      <c r="A694" s="43">
        <v>42404</v>
      </c>
      <c r="B694">
        <v>2001</v>
      </c>
      <c r="C694">
        <v>2530</v>
      </c>
      <c r="D694">
        <v>693</v>
      </c>
      <c r="E694">
        <v>10800</v>
      </c>
      <c r="F694" t="s">
        <v>59</v>
      </c>
      <c r="G694">
        <v>14</v>
      </c>
      <c r="H694" t="s">
        <v>133</v>
      </c>
      <c r="I694">
        <v>18</v>
      </c>
      <c r="J694" s="54">
        <f t="shared" si="10"/>
        <v>14</v>
      </c>
    </row>
    <row r="695" spans="1:10">
      <c r="A695" s="43">
        <v>42709</v>
      </c>
      <c r="B695">
        <v>2003</v>
      </c>
      <c r="C695">
        <v>2532</v>
      </c>
      <c r="D695">
        <v>694</v>
      </c>
      <c r="E695">
        <v>5500</v>
      </c>
      <c r="F695" t="s">
        <v>59</v>
      </c>
      <c r="G695">
        <v>2</v>
      </c>
      <c r="H695" t="s">
        <v>133</v>
      </c>
      <c r="I695">
        <v>16</v>
      </c>
      <c r="J695" s="54">
        <f t="shared" si="10"/>
        <v>2</v>
      </c>
    </row>
    <row r="696" spans="1:10">
      <c r="A696" s="43">
        <v>42578</v>
      </c>
      <c r="B696">
        <v>2002</v>
      </c>
      <c r="C696">
        <v>2546</v>
      </c>
      <c r="D696">
        <v>695</v>
      </c>
      <c r="E696">
        <v>5500</v>
      </c>
      <c r="F696" t="s">
        <v>59</v>
      </c>
      <c r="G696">
        <v>12</v>
      </c>
      <c r="H696" t="s">
        <v>133</v>
      </c>
      <c r="I696">
        <v>17</v>
      </c>
      <c r="J696" s="54">
        <f t="shared" si="10"/>
        <v>12</v>
      </c>
    </row>
    <row r="697" spans="1:10">
      <c r="A697" s="43">
        <v>42536</v>
      </c>
      <c r="B697">
        <v>2002</v>
      </c>
      <c r="C697">
        <v>2546</v>
      </c>
      <c r="D697">
        <v>696</v>
      </c>
      <c r="E697">
        <v>5500</v>
      </c>
      <c r="F697" t="s">
        <v>59</v>
      </c>
      <c r="G697">
        <v>8</v>
      </c>
      <c r="H697" t="s">
        <v>133</v>
      </c>
      <c r="I697">
        <v>17</v>
      </c>
      <c r="J697" s="54">
        <f t="shared" si="10"/>
        <v>8</v>
      </c>
    </row>
    <row r="698" spans="1:10">
      <c r="A698" s="43">
        <v>43480</v>
      </c>
      <c r="B698">
        <v>2001</v>
      </c>
      <c r="C698">
        <v>2550</v>
      </c>
      <c r="D698">
        <v>697</v>
      </c>
      <c r="E698">
        <v>11900</v>
      </c>
      <c r="F698" t="s">
        <v>59</v>
      </c>
      <c r="G698">
        <v>12</v>
      </c>
      <c r="H698" t="s">
        <v>133</v>
      </c>
      <c r="I698">
        <v>18</v>
      </c>
      <c r="J698" s="54">
        <f t="shared" si="10"/>
        <v>12</v>
      </c>
    </row>
    <row r="699" spans="1:10">
      <c r="A699" s="43">
        <v>43171</v>
      </c>
      <c r="B699">
        <v>2001</v>
      </c>
      <c r="C699">
        <v>2550</v>
      </c>
      <c r="D699">
        <v>698</v>
      </c>
      <c r="E699">
        <v>10800</v>
      </c>
      <c r="F699" t="s">
        <v>59</v>
      </c>
      <c r="G699">
        <v>12</v>
      </c>
      <c r="H699" t="s">
        <v>133</v>
      </c>
      <c r="I699">
        <v>18</v>
      </c>
      <c r="J699" s="54">
        <f t="shared" si="10"/>
        <v>12</v>
      </c>
    </row>
    <row r="700" spans="1:10" s="155" customFormat="1">
      <c r="A700" s="154">
        <v>43112</v>
      </c>
      <c r="B700" s="155">
        <v>2001</v>
      </c>
      <c r="C700" s="155">
        <v>2550</v>
      </c>
      <c r="D700" s="155">
        <v>699</v>
      </c>
      <c r="E700" s="155">
        <v>9950</v>
      </c>
      <c r="F700" s="155" t="s">
        <v>59</v>
      </c>
      <c r="G700" s="155">
        <v>12</v>
      </c>
      <c r="H700" s="155" t="s">
        <v>133</v>
      </c>
      <c r="I700" s="155">
        <v>18</v>
      </c>
      <c r="J700" s="156">
        <f t="shared" si="10"/>
        <v>12</v>
      </c>
    </row>
    <row r="701" spans="1:10">
      <c r="A701" s="43">
        <v>43105</v>
      </c>
      <c r="B701">
        <v>2001</v>
      </c>
      <c r="C701">
        <v>2550</v>
      </c>
      <c r="D701">
        <v>700</v>
      </c>
      <c r="E701">
        <v>9950</v>
      </c>
      <c r="F701" t="s">
        <v>59</v>
      </c>
      <c r="G701">
        <v>12</v>
      </c>
      <c r="H701" t="s">
        <v>133</v>
      </c>
      <c r="I701">
        <v>18</v>
      </c>
      <c r="J701" s="54">
        <f t="shared" si="10"/>
        <v>12</v>
      </c>
    </row>
    <row r="702" spans="1:10">
      <c r="A702" s="43">
        <v>43044</v>
      </c>
      <c r="B702">
        <v>2001</v>
      </c>
      <c r="C702">
        <v>2550</v>
      </c>
      <c r="D702">
        <v>701</v>
      </c>
      <c r="E702">
        <v>9600</v>
      </c>
      <c r="F702" t="s">
        <v>59</v>
      </c>
      <c r="G702">
        <v>6</v>
      </c>
      <c r="H702" t="s">
        <v>133</v>
      </c>
      <c r="I702">
        <v>18</v>
      </c>
      <c r="J702" s="54">
        <f t="shared" si="10"/>
        <v>6</v>
      </c>
    </row>
    <row r="703" spans="1:10">
      <c r="A703" s="43">
        <v>42694</v>
      </c>
      <c r="B703">
        <v>2001</v>
      </c>
      <c r="C703">
        <v>2550</v>
      </c>
      <c r="D703">
        <v>702</v>
      </c>
      <c r="E703">
        <v>7500</v>
      </c>
      <c r="F703" t="s">
        <v>59</v>
      </c>
      <c r="G703">
        <v>11</v>
      </c>
      <c r="H703" t="s">
        <v>133</v>
      </c>
      <c r="I703">
        <v>18</v>
      </c>
      <c r="J703" s="54">
        <f t="shared" si="10"/>
        <v>11</v>
      </c>
    </row>
    <row r="704" spans="1:10">
      <c r="A704" s="43">
        <v>42436</v>
      </c>
      <c r="B704">
        <v>2001</v>
      </c>
      <c r="C704">
        <v>2550</v>
      </c>
      <c r="D704">
        <v>703</v>
      </c>
      <c r="E704">
        <v>11000</v>
      </c>
      <c r="F704" t="s">
        <v>59</v>
      </c>
      <c r="G704">
        <v>24</v>
      </c>
      <c r="H704" t="s">
        <v>133</v>
      </c>
      <c r="I704">
        <v>18</v>
      </c>
      <c r="J704" s="54">
        <f t="shared" si="10"/>
        <v>24</v>
      </c>
    </row>
    <row r="705" spans="1:10">
      <c r="A705" s="43">
        <v>43539</v>
      </c>
      <c r="B705">
        <v>2005</v>
      </c>
      <c r="C705">
        <v>2556</v>
      </c>
      <c r="D705">
        <v>704</v>
      </c>
      <c r="E705">
        <v>10500</v>
      </c>
      <c r="F705" t="s">
        <v>59</v>
      </c>
      <c r="G705">
        <v>90</v>
      </c>
      <c r="H705" t="s">
        <v>60</v>
      </c>
      <c r="I705">
        <v>14</v>
      </c>
      <c r="J705" s="54">
        <f t="shared" si="10"/>
        <v>3</v>
      </c>
    </row>
    <row r="706" spans="1:10">
      <c r="A706" s="43">
        <v>43535</v>
      </c>
      <c r="B706">
        <v>2005</v>
      </c>
      <c r="C706">
        <v>2556</v>
      </c>
      <c r="D706">
        <v>705</v>
      </c>
      <c r="E706">
        <v>10500</v>
      </c>
      <c r="F706" t="s">
        <v>59</v>
      </c>
      <c r="G706">
        <v>6</v>
      </c>
      <c r="H706" t="s">
        <v>133</v>
      </c>
      <c r="I706">
        <v>14</v>
      </c>
      <c r="J706" s="54">
        <f t="shared" ref="J706:J769" si="11">IF(H706="days",ROUND(G706/30,0),IF(H706="years",G706*12,G706))</f>
        <v>6</v>
      </c>
    </row>
    <row r="707" spans="1:10">
      <c r="A707" s="43">
        <v>43525</v>
      </c>
      <c r="B707">
        <v>2005</v>
      </c>
      <c r="C707">
        <v>2556</v>
      </c>
      <c r="D707">
        <v>706</v>
      </c>
      <c r="E707">
        <v>10750</v>
      </c>
      <c r="F707" t="s">
        <v>59</v>
      </c>
      <c r="G707">
        <v>7</v>
      </c>
      <c r="H707" t="s">
        <v>133</v>
      </c>
      <c r="I707">
        <v>14</v>
      </c>
      <c r="J707" s="54">
        <f t="shared" si="11"/>
        <v>7</v>
      </c>
    </row>
    <row r="708" spans="1:10">
      <c r="A708" s="43">
        <v>43502</v>
      </c>
      <c r="B708">
        <v>2004</v>
      </c>
      <c r="C708">
        <v>2556</v>
      </c>
      <c r="D708">
        <v>707</v>
      </c>
      <c r="E708">
        <v>10950</v>
      </c>
      <c r="F708" t="s">
        <v>59</v>
      </c>
      <c r="G708">
        <v>6</v>
      </c>
      <c r="H708" t="s">
        <v>133</v>
      </c>
      <c r="I708">
        <v>15</v>
      </c>
      <c r="J708" s="54">
        <f t="shared" si="11"/>
        <v>6</v>
      </c>
    </row>
    <row r="709" spans="1:10">
      <c r="A709" s="43">
        <v>43444</v>
      </c>
      <c r="B709">
        <v>2004</v>
      </c>
      <c r="C709">
        <v>2556</v>
      </c>
      <c r="D709">
        <v>708</v>
      </c>
      <c r="E709">
        <v>10900</v>
      </c>
      <c r="F709" t="s">
        <v>59</v>
      </c>
      <c r="G709">
        <v>6</v>
      </c>
      <c r="H709" t="s">
        <v>133</v>
      </c>
      <c r="I709">
        <v>15</v>
      </c>
      <c r="J709" s="54">
        <f t="shared" si="11"/>
        <v>6</v>
      </c>
    </row>
    <row r="710" spans="1:10">
      <c r="A710" s="43">
        <v>43304</v>
      </c>
      <c r="B710">
        <v>2003</v>
      </c>
      <c r="C710">
        <v>2556</v>
      </c>
      <c r="D710">
        <v>709</v>
      </c>
      <c r="E710">
        <v>12500</v>
      </c>
      <c r="F710" t="s">
        <v>59</v>
      </c>
      <c r="G710">
        <v>15</v>
      </c>
      <c r="H710" t="s">
        <v>133</v>
      </c>
      <c r="I710">
        <v>16</v>
      </c>
      <c r="J710" s="54">
        <f t="shared" si="11"/>
        <v>15</v>
      </c>
    </row>
    <row r="711" spans="1:10">
      <c r="A711" s="43">
        <v>43292</v>
      </c>
      <c r="B711">
        <v>2004</v>
      </c>
      <c r="C711">
        <v>2556</v>
      </c>
      <c r="D711">
        <v>710</v>
      </c>
      <c r="E711">
        <v>12350</v>
      </c>
      <c r="F711" t="s">
        <v>59</v>
      </c>
      <c r="G711">
        <v>9</v>
      </c>
      <c r="H711" t="s">
        <v>133</v>
      </c>
      <c r="I711">
        <v>15</v>
      </c>
      <c r="J711" s="54">
        <f t="shared" si="11"/>
        <v>9</v>
      </c>
    </row>
    <row r="712" spans="1:10">
      <c r="A712" s="43">
        <v>43241</v>
      </c>
      <c r="B712">
        <v>2005</v>
      </c>
      <c r="C712">
        <v>2556</v>
      </c>
      <c r="D712">
        <v>711</v>
      </c>
      <c r="E712">
        <v>12200</v>
      </c>
      <c r="F712" t="s">
        <v>59</v>
      </c>
      <c r="G712">
        <v>11</v>
      </c>
      <c r="H712" t="s">
        <v>133</v>
      </c>
      <c r="I712">
        <v>14</v>
      </c>
      <c r="J712" s="54">
        <f t="shared" si="11"/>
        <v>11</v>
      </c>
    </row>
    <row r="713" spans="1:10">
      <c r="A713" s="43">
        <v>43225</v>
      </c>
      <c r="B713">
        <v>2004</v>
      </c>
      <c r="C713">
        <v>2556</v>
      </c>
      <c r="D713">
        <v>712</v>
      </c>
      <c r="E713">
        <v>12250</v>
      </c>
      <c r="F713" t="s">
        <v>59</v>
      </c>
      <c r="G713">
        <v>9</v>
      </c>
      <c r="H713" t="s">
        <v>133</v>
      </c>
      <c r="I713">
        <v>15</v>
      </c>
      <c r="J713" s="54">
        <f t="shared" si="11"/>
        <v>9</v>
      </c>
    </row>
    <row r="714" spans="1:10">
      <c r="A714" s="43">
        <v>43159</v>
      </c>
      <c r="B714">
        <v>2005</v>
      </c>
      <c r="C714">
        <v>2556</v>
      </c>
      <c r="D714">
        <v>713</v>
      </c>
      <c r="E714">
        <v>11000</v>
      </c>
      <c r="F714" t="s">
        <v>59</v>
      </c>
      <c r="G714">
        <v>12</v>
      </c>
      <c r="H714" t="s">
        <v>133</v>
      </c>
      <c r="I714">
        <v>14</v>
      </c>
      <c r="J714" s="54">
        <f t="shared" si="11"/>
        <v>12</v>
      </c>
    </row>
    <row r="715" spans="1:10">
      <c r="A715" s="43">
        <v>43117</v>
      </c>
      <c r="B715">
        <v>2004</v>
      </c>
      <c r="C715">
        <v>2556</v>
      </c>
      <c r="D715">
        <v>714</v>
      </c>
      <c r="E715">
        <v>9950</v>
      </c>
      <c r="F715" t="s">
        <v>59</v>
      </c>
      <c r="G715">
        <v>12</v>
      </c>
      <c r="H715" t="s">
        <v>133</v>
      </c>
      <c r="I715">
        <v>15</v>
      </c>
      <c r="J715" s="54">
        <f t="shared" si="11"/>
        <v>12</v>
      </c>
    </row>
    <row r="716" spans="1:10">
      <c r="A716" s="43">
        <v>43084</v>
      </c>
      <c r="B716">
        <v>2005</v>
      </c>
      <c r="C716">
        <v>2556</v>
      </c>
      <c r="D716">
        <v>715</v>
      </c>
      <c r="E716">
        <v>9800</v>
      </c>
      <c r="F716" t="s">
        <v>59</v>
      </c>
      <c r="G716">
        <v>12</v>
      </c>
      <c r="H716" t="s">
        <v>133</v>
      </c>
      <c r="I716">
        <v>14</v>
      </c>
      <c r="J716" s="54">
        <f t="shared" si="11"/>
        <v>12</v>
      </c>
    </row>
    <row r="717" spans="1:10">
      <c r="A717" s="43">
        <v>42972</v>
      </c>
      <c r="B717">
        <v>2004</v>
      </c>
      <c r="C717">
        <v>2556</v>
      </c>
      <c r="D717">
        <v>716</v>
      </c>
      <c r="E717">
        <v>9750</v>
      </c>
      <c r="F717" t="s">
        <v>59</v>
      </c>
      <c r="G717">
        <v>12</v>
      </c>
      <c r="H717" t="s">
        <v>133</v>
      </c>
      <c r="I717">
        <v>15</v>
      </c>
      <c r="J717" s="54">
        <f t="shared" si="11"/>
        <v>12</v>
      </c>
    </row>
    <row r="718" spans="1:10">
      <c r="A718" s="43">
        <v>42933</v>
      </c>
      <c r="B718">
        <v>2004</v>
      </c>
      <c r="C718">
        <v>2556</v>
      </c>
      <c r="D718">
        <v>717</v>
      </c>
      <c r="E718">
        <v>9000</v>
      </c>
      <c r="F718" t="s">
        <v>59</v>
      </c>
      <c r="G718">
        <v>11</v>
      </c>
      <c r="H718" t="s">
        <v>133</v>
      </c>
      <c r="I718">
        <v>15</v>
      </c>
      <c r="J718" s="54">
        <f t="shared" si="11"/>
        <v>11</v>
      </c>
    </row>
    <row r="719" spans="1:10">
      <c r="A719" s="43">
        <v>42914</v>
      </c>
      <c r="B719">
        <v>2004</v>
      </c>
      <c r="C719">
        <v>2556</v>
      </c>
      <c r="D719">
        <v>718</v>
      </c>
      <c r="E719">
        <v>9150</v>
      </c>
      <c r="F719" t="s">
        <v>59</v>
      </c>
      <c r="G719">
        <v>11</v>
      </c>
      <c r="H719" t="s">
        <v>133</v>
      </c>
      <c r="I719">
        <v>15</v>
      </c>
      <c r="J719" s="54">
        <f t="shared" si="11"/>
        <v>11</v>
      </c>
    </row>
    <row r="720" spans="1:10">
      <c r="A720" s="43">
        <v>42885</v>
      </c>
      <c r="B720">
        <v>2005</v>
      </c>
      <c r="C720">
        <v>2556</v>
      </c>
      <c r="D720">
        <v>719</v>
      </c>
      <c r="E720">
        <v>10250</v>
      </c>
      <c r="F720" t="s">
        <v>59</v>
      </c>
      <c r="G720">
        <v>12</v>
      </c>
      <c r="H720" t="s">
        <v>133</v>
      </c>
      <c r="I720">
        <v>14</v>
      </c>
      <c r="J720" s="54">
        <f t="shared" si="11"/>
        <v>12</v>
      </c>
    </row>
    <row r="721" spans="1:10">
      <c r="A721" s="43">
        <v>42788</v>
      </c>
      <c r="B721">
        <v>2003</v>
      </c>
      <c r="C721">
        <v>2556</v>
      </c>
      <c r="D721">
        <v>720</v>
      </c>
      <c r="E721">
        <v>9500</v>
      </c>
      <c r="F721" t="s">
        <v>59</v>
      </c>
      <c r="G721">
        <v>15</v>
      </c>
      <c r="H721" t="s">
        <v>133</v>
      </c>
      <c r="I721">
        <v>16</v>
      </c>
      <c r="J721" s="54">
        <f t="shared" si="11"/>
        <v>15</v>
      </c>
    </row>
    <row r="722" spans="1:10">
      <c r="A722" s="43">
        <v>42786</v>
      </c>
      <c r="B722">
        <v>2003</v>
      </c>
      <c r="C722">
        <v>2556</v>
      </c>
      <c r="D722">
        <v>721</v>
      </c>
      <c r="E722">
        <v>8500</v>
      </c>
      <c r="F722" t="s">
        <v>59</v>
      </c>
      <c r="G722">
        <v>9</v>
      </c>
      <c r="H722" t="s">
        <v>133</v>
      </c>
      <c r="I722">
        <v>16</v>
      </c>
      <c r="J722" s="54">
        <f t="shared" si="11"/>
        <v>9</v>
      </c>
    </row>
    <row r="723" spans="1:10">
      <c r="A723" s="43">
        <v>42765</v>
      </c>
      <c r="B723">
        <v>2005</v>
      </c>
      <c r="C723">
        <v>2556</v>
      </c>
      <c r="D723">
        <v>722</v>
      </c>
      <c r="E723">
        <v>8000</v>
      </c>
      <c r="F723" t="s">
        <v>59</v>
      </c>
      <c r="G723">
        <v>12</v>
      </c>
      <c r="H723" t="s">
        <v>133</v>
      </c>
      <c r="I723">
        <v>14</v>
      </c>
      <c r="J723" s="54">
        <f t="shared" si="11"/>
        <v>12</v>
      </c>
    </row>
    <row r="724" spans="1:10">
      <c r="A724" s="43">
        <v>42726</v>
      </c>
      <c r="B724">
        <v>2003</v>
      </c>
      <c r="C724">
        <v>2556</v>
      </c>
      <c r="D724">
        <v>723</v>
      </c>
      <c r="E724">
        <v>8500</v>
      </c>
      <c r="F724" t="s">
        <v>59</v>
      </c>
      <c r="G724">
        <v>6</v>
      </c>
      <c r="H724" t="s">
        <v>133</v>
      </c>
      <c r="I724">
        <v>16</v>
      </c>
      <c r="J724" s="54">
        <f t="shared" si="11"/>
        <v>6</v>
      </c>
    </row>
    <row r="725" spans="1:10">
      <c r="A725" s="43">
        <v>42633</v>
      </c>
      <c r="B725">
        <v>2004</v>
      </c>
      <c r="C725">
        <v>2556</v>
      </c>
      <c r="D725">
        <v>724</v>
      </c>
      <c r="E725">
        <v>9800</v>
      </c>
      <c r="F725" t="s">
        <v>59</v>
      </c>
      <c r="G725">
        <v>12</v>
      </c>
      <c r="H725" t="s">
        <v>133</v>
      </c>
      <c r="I725">
        <v>15</v>
      </c>
      <c r="J725" s="54">
        <f t="shared" si="11"/>
        <v>12</v>
      </c>
    </row>
    <row r="726" spans="1:10">
      <c r="A726" s="43">
        <v>42370</v>
      </c>
      <c r="B726">
        <v>2004</v>
      </c>
      <c r="C726">
        <v>2556</v>
      </c>
      <c r="D726">
        <v>725</v>
      </c>
      <c r="E726">
        <v>11800</v>
      </c>
      <c r="F726" t="s">
        <v>59</v>
      </c>
      <c r="G726">
        <v>24</v>
      </c>
      <c r="H726" t="s">
        <v>133</v>
      </c>
      <c r="I726">
        <v>15</v>
      </c>
      <c r="J726" s="54">
        <f t="shared" si="11"/>
        <v>24</v>
      </c>
    </row>
    <row r="727" spans="1:10">
      <c r="A727" s="43">
        <v>43579</v>
      </c>
      <c r="B727">
        <v>2005</v>
      </c>
      <c r="C727">
        <v>2577</v>
      </c>
      <c r="D727">
        <v>726</v>
      </c>
      <c r="E727">
        <v>8000</v>
      </c>
      <c r="F727" t="s">
        <v>59</v>
      </c>
      <c r="G727">
        <v>11</v>
      </c>
      <c r="H727" t="s">
        <v>133</v>
      </c>
      <c r="I727">
        <v>14</v>
      </c>
      <c r="J727" s="54">
        <f t="shared" si="11"/>
        <v>11</v>
      </c>
    </row>
    <row r="728" spans="1:10">
      <c r="A728" s="43">
        <v>43578</v>
      </c>
      <c r="B728">
        <v>2005</v>
      </c>
      <c r="C728">
        <v>2577</v>
      </c>
      <c r="D728">
        <v>727</v>
      </c>
      <c r="E728">
        <v>8000</v>
      </c>
      <c r="F728" t="s">
        <v>59</v>
      </c>
      <c r="G728">
        <v>11</v>
      </c>
      <c r="H728" t="s">
        <v>133</v>
      </c>
      <c r="I728">
        <v>14</v>
      </c>
      <c r="J728" s="54">
        <f t="shared" si="11"/>
        <v>11</v>
      </c>
    </row>
    <row r="729" spans="1:10">
      <c r="A729" s="43">
        <v>43549</v>
      </c>
      <c r="B729">
        <v>2005</v>
      </c>
      <c r="C729">
        <v>2577</v>
      </c>
      <c r="D729">
        <v>728</v>
      </c>
      <c r="E729">
        <v>7500</v>
      </c>
      <c r="F729" t="s">
        <v>59</v>
      </c>
      <c r="G729">
        <v>6</v>
      </c>
      <c r="H729" t="s">
        <v>133</v>
      </c>
      <c r="I729">
        <v>14</v>
      </c>
      <c r="J729" s="54">
        <f t="shared" si="11"/>
        <v>6</v>
      </c>
    </row>
    <row r="730" spans="1:10">
      <c r="A730" s="43">
        <v>43451</v>
      </c>
      <c r="B730">
        <v>2005</v>
      </c>
      <c r="C730">
        <v>2577</v>
      </c>
      <c r="D730">
        <v>729</v>
      </c>
      <c r="E730">
        <v>8350</v>
      </c>
      <c r="F730" t="s">
        <v>59</v>
      </c>
      <c r="G730">
        <v>50</v>
      </c>
      <c r="H730" t="s">
        <v>60</v>
      </c>
      <c r="I730">
        <v>14</v>
      </c>
      <c r="J730" s="54">
        <f t="shared" si="11"/>
        <v>2</v>
      </c>
    </row>
    <row r="731" spans="1:10">
      <c r="A731" s="43">
        <v>43168</v>
      </c>
      <c r="B731">
        <v>2005</v>
      </c>
      <c r="C731">
        <v>2577</v>
      </c>
      <c r="D731">
        <v>730</v>
      </c>
      <c r="E731">
        <v>9000</v>
      </c>
      <c r="F731" t="s">
        <v>59</v>
      </c>
      <c r="G731">
        <v>8</v>
      </c>
      <c r="H731" t="s">
        <v>133</v>
      </c>
      <c r="I731">
        <v>14</v>
      </c>
      <c r="J731" s="54">
        <f t="shared" si="11"/>
        <v>8</v>
      </c>
    </row>
    <row r="732" spans="1:10">
      <c r="A732" s="43">
        <v>43039</v>
      </c>
      <c r="B732">
        <v>2005</v>
      </c>
      <c r="C732">
        <v>2577</v>
      </c>
      <c r="D732">
        <v>731</v>
      </c>
      <c r="E732">
        <v>8400</v>
      </c>
      <c r="F732" t="s">
        <v>59</v>
      </c>
      <c r="G732">
        <v>8</v>
      </c>
      <c r="H732" t="s">
        <v>133</v>
      </c>
      <c r="I732">
        <v>14</v>
      </c>
      <c r="J732" s="54">
        <f t="shared" si="11"/>
        <v>8</v>
      </c>
    </row>
    <row r="733" spans="1:10">
      <c r="A733" s="43">
        <v>42968</v>
      </c>
      <c r="B733">
        <v>2005</v>
      </c>
      <c r="C733">
        <v>2577</v>
      </c>
      <c r="D733">
        <v>732</v>
      </c>
      <c r="E733">
        <v>8500</v>
      </c>
      <c r="F733" t="s">
        <v>59</v>
      </c>
      <c r="G733">
        <v>7</v>
      </c>
      <c r="H733" t="s">
        <v>133</v>
      </c>
      <c r="I733">
        <v>14</v>
      </c>
      <c r="J733" s="54">
        <f t="shared" si="11"/>
        <v>7</v>
      </c>
    </row>
    <row r="734" spans="1:10">
      <c r="A734" s="43">
        <v>42688</v>
      </c>
      <c r="B734">
        <v>2005</v>
      </c>
      <c r="C734">
        <v>2577</v>
      </c>
      <c r="D734">
        <v>733</v>
      </c>
      <c r="E734">
        <v>5500</v>
      </c>
      <c r="F734" t="s">
        <v>59</v>
      </c>
      <c r="G734">
        <v>10</v>
      </c>
      <c r="H734" t="s">
        <v>133</v>
      </c>
      <c r="I734">
        <v>14</v>
      </c>
      <c r="J734" s="54">
        <f t="shared" si="11"/>
        <v>10</v>
      </c>
    </row>
    <row r="735" spans="1:10">
      <c r="A735" s="43">
        <v>42662</v>
      </c>
      <c r="B735">
        <v>2005</v>
      </c>
      <c r="C735">
        <v>2577</v>
      </c>
      <c r="D735">
        <v>734</v>
      </c>
      <c r="E735">
        <v>5300</v>
      </c>
      <c r="F735" t="s">
        <v>59</v>
      </c>
      <c r="G735">
        <v>12</v>
      </c>
      <c r="H735" t="s">
        <v>133</v>
      </c>
      <c r="I735">
        <v>14</v>
      </c>
      <c r="J735" s="54">
        <f t="shared" si="11"/>
        <v>12</v>
      </c>
    </row>
    <row r="736" spans="1:10">
      <c r="A736" s="43">
        <v>42394</v>
      </c>
      <c r="B736">
        <v>2005</v>
      </c>
      <c r="C736">
        <v>2577</v>
      </c>
      <c r="D736">
        <v>735</v>
      </c>
      <c r="E736">
        <v>6000</v>
      </c>
      <c r="F736" t="s">
        <v>59</v>
      </c>
      <c r="G736">
        <v>10</v>
      </c>
      <c r="H736" t="s">
        <v>133</v>
      </c>
      <c r="I736">
        <v>14</v>
      </c>
      <c r="J736" s="54">
        <f t="shared" si="11"/>
        <v>10</v>
      </c>
    </row>
    <row r="737" spans="1:10">
      <c r="A737" s="43">
        <v>43023</v>
      </c>
      <c r="B737">
        <v>2004</v>
      </c>
      <c r="C737">
        <v>2586</v>
      </c>
      <c r="D737">
        <v>736</v>
      </c>
      <c r="E737">
        <v>8700</v>
      </c>
      <c r="F737" t="s">
        <v>59</v>
      </c>
      <c r="G737">
        <v>8</v>
      </c>
      <c r="H737" t="s">
        <v>133</v>
      </c>
      <c r="I737">
        <v>15</v>
      </c>
      <c r="J737" s="54">
        <f t="shared" si="11"/>
        <v>8</v>
      </c>
    </row>
    <row r="738" spans="1:10">
      <c r="A738" s="43">
        <v>42619</v>
      </c>
      <c r="B738">
        <v>2003</v>
      </c>
      <c r="C738">
        <v>2586</v>
      </c>
      <c r="D738">
        <v>737</v>
      </c>
      <c r="E738">
        <v>6200</v>
      </c>
      <c r="F738" t="s">
        <v>59</v>
      </c>
      <c r="G738">
        <v>40</v>
      </c>
      <c r="H738" t="s">
        <v>60</v>
      </c>
      <c r="I738">
        <v>16</v>
      </c>
      <c r="J738" s="54">
        <f t="shared" si="11"/>
        <v>1</v>
      </c>
    </row>
    <row r="739" spans="1:10">
      <c r="A739" s="43">
        <v>42571</v>
      </c>
      <c r="B739">
        <v>2003</v>
      </c>
      <c r="C739">
        <v>2586</v>
      </c>
      <c r="D739">
        <v>738</v>
      </c>
      <c r="E739">
        <v>5500</v>
      </c>
      <c r="F739" t="s">
        <v>59</v>
      </c>
      <c r="G739">
        <v>12</v>
      </c>
      <c r="H739" t="s">
        <v>133</v>
      </c>
      <c r="I739">
        <v>16</v>
      </c>
      <c r="J739" s="54">
        <f t="shared" si="11"/>
        <v>12</v>
      </c>
    </row>
    <row r="740" spans="1:10">
      <c r="A740" s="43">
        <v>42459</v>
      </c>
      <c r="B740">
        <v>2003</v>
      </c>
      <c r="C740">
        <v>2586</v>
      </c>
      <c r="D740">
        <v>739</v>
      </c>
      <c r="E740">
        <v>6150</v>
      </c>
      <c r="F740" t="s">
        <v>59</v>
      </c>
      <c r="G740">
        <v>7</v>
      </c>
      <c r="H740" t="s">
        <v>133</v>
      </c>
      <c r="I740">
        <v>16</v>
      </c>
      <c r="J740" s="54">
        <f t="shared" si="11"/>
        <v>7</v>
      </c>
    </row>
    <row r="741" spans="1:10">
      <c r="A741" s="43">
        <v>43473</v>
      </c>
      <c r="B741">
        <v>2005</v>
      </c>
      <c r="C741">
        <v>2602</v>
      </c>
      <c r="D741">
        <v>740</v>
      </c>
      <c r="E741">
        <v>8300</v>
      </c>
      <c r="F741" t="s">
        <v>59</v>
      </c>
      <c r="G741">
        <v>56</v>
      </c>
      <c r="H741" t="s">
        <v>60</v>
      </c>
      <c r="I741">
        <v>14</v>
      </c>
      <c r="J741" s="54">
        <f t="shared" si="11"/>
        <v>2</v>
      </c>
    </row>
    <row r="742" spans="1:10">
      <c r="A742" s="43">
        <v>43426</v>
      </c>
      <c r="B742">
        <v>2005</v>
      </c>
      <c r="C742">
        <v>2602</v>
      </c>
      <c r="D742">
        <v>741</v>
      </c>
      <c r="E742">
        <v>9200</v>
      </c>
      <c r="F742" t="s">
        <v>59</v>
      </c>
      <c r="G742">
        <v>42</v>
      </c>
      <c r="H742" t="s">
        <v>60</v>
      </c>
      <c r="I742">
        <v>14</v>
      </c>
      <c r="J742" s="54">
        <f t="shared" si="11"/>
        <v>1</v>
      </c>
    </row>
    <row r="743" spans="1:10">
      <c r="A743" s="43">
        <v>43292</v>
      </c>
      <c r="B743">
        <v>2005</v>
      </c>
      <c r="C743">
        <v>2602</v>
      </c>
      <c r="D743">
        <v>742</v>
      </c>
      <c r="E743">
        <v>11250</v>
      </c>
      <c r="F743" t="s">
        <v>59</v>
      </c>
      <c r="G743">
        <v>4</v>
      </c>
      <c r="H743" t="s">
        <v>133</v>
      </c>
      <c r="I743">
        <v>14</v>
      </c>
      <c r="J743" s="54">
        <f t="shared" si="11"/>
        <v>4</v>
      </c>
    </row>
    <row r="744" spans="1:10">
      <c r="A744" s="43">
        <v>42936</v>
      </c>
      <c r="B744">
        <v>2005</v>
      </c>
      <c r="C744">
        <v>2602</v>
      </c>
      <c r="D744">
        <v>743</v>
      </c>
      <c r="E744">
        <v>8500</v>
      </c>
      <c r="F744" t="s">
        <v>59</v>
      </c>
      <c r="G744">
        <v>120</v>
      </c>
      <c r="H744" t="s">
        <v>60</v>
      </c>
      <c r="I744">
        <v>14</v>
      </c>
      <c r="J744" s="54">
        <f t="shared" si="11"/>
        <v>4</v>
      </c>
    </row>
    <row r="745" spans="1:10">
      <c r="A745" s="43">
        <v>42758</v>
      </c>
      <c r="B745">
        <v>2005</v>
      </c>
      <c r="C745">
        <v>2602</v>
      </c>
      <c r="D745">
        <v>744</v>
      </c>
      <c r="E745">
        <v>6250</v>
      </c>
      <c r="F745" t="s">
        <v>59</v>
      </c>
      <c r="G745">
        <v>6</v>
      </c>
      <c r="H745" t="s">
        <v>133</v>
      </c>
      <c r="I745">
        <v>14</v>
      </c>
      <c r="J745" s="54">
        <f t="shared" si="11"/>
        <v>6</v>
      </c>
    </row>
    <row r="746" spans="1:10">
      <c r="A746" s="43">
        <v>42716</v>
      </c>
      <c r="B746">
        <v>2005</v>
      </c>
      <c r="C746">
        <v>2602</v>
      </c>
      <c r="D746">
        <v>745</v>
      </c>
      <c r="E746">
        <v>6450</v>
      </c>
      <c r="F746" t="s">
        <v>59</v>
      </c>
      <c r="G746">
        <v>56</v>
      </c>
      <c r="H746" t="s">
        <v>60</v>
      </c>
      <c r="I746">
        <v>14</v>
      </c>
      <c r="J746" s="54">
        <f t="shared" si="11"/>
        <v>2</v>
      </c>
    </row>
    <row r="747" spans="1:10">
      <c r="A747" s="43">
        <v>42612</v>
      </c>
      <c r="B747">
        <v>2005</v>
      </c>
      <c r="C747">
        <v>2602</v>
      </c>
      <c r="D747">
        <v>746</v>
      </c>
      <c r="E747">
        <v>5950</v>
      </c>
      <c r="F747" t="s">
        <v>59</v>
      </c>
      <c r="G747">
        <v>6</v>
      </c>
      <c r="H747" t="s">
        <v>133</v>
      </c>
      <c r="I747">
        <v>14</v>
      </c>
      <c r="J747" s="54">
        <f t="shared" si="11"/>
        <v>6</v>
      </c>
    </row>
    <row r="748" spans="1:10">
      <c r="A748" s="43">
        <v>42401</v>
      </c>
      <c r="B748">
        <v>2002</v>
      </c>
      <c r="C748">
        <v>2602</v>
      </c>
      <c r="D748">
        <v>747</v>
      </c>
      <c r="E748">
        <v>6000</v>
      </c>
      <c r="F748" t="s">
        <v>59</v>
      </c>
      <c r="G748">
        <v>9</v>
      </c>
      <c r="H748" t="s">
        <v>133</v>
      </c>
      <c r="I748">
        <v>17</v>
      </c>
      <c r="J748" s="54">
        <f t="shared" si="11"/>
        <v>9</v>
      </c>
    </row>
    <row r="749" spans="1:10">
      <c r="A749" s="43">
        <v>42941</v>
      </c>
      <c r="B749">
        <v>2001</v>
      </c>
      <c r="C749">
        <v>2670</v>
      </c>
      <c r="D749">
        <v>748</v>
      </c>
      <c r="E749">
        <v>8000</v>
      </c>
      <c r="F749" t="s">
        <v>59</v>
      </c>
      <c r="G749">
        <v>7</v>
      </c>
      <c r="H749" t="s">
        <v>133</v>
      </c>
      <c r="I749">
        <v>18</v>
      </c>
      <c r="J749" s="54">
        <f t="shared" si="11"/>
        <v>7</v>
      </c>
    </row>
    <row r="750" spans="1:10">
      <c r="A750" s="43">
        <v>42683</v>
      </c>
      <c r="B750">
        <v>2001</v>
      </c>
      <c r="C750">
        <v>2670</v>
      </c>
      <c r="D750">
        <v>749</v>
      </c>
      <c r="E750">
        <v>5700</v>
      </c>
      <c r="F750" t="s">
        <v>59</v>
      </c>
      <c r="G750">
        <v>9</v>
      </c>
      <c r="H750" t="s">
        <v>133</v>
      </c>
      <c r="I750">
        <v>18</v>
      </c>
      <c r="J750" s="54">
        <f t="shared" si="11"/>
        <v>9</v>
      </c>
    </row>
    <row r="751" spans="1:10">
      <c r="A751" s="43">
        <v>42618</v>
      </c>
      <c r="B751">
        <v>2001</v>
      </c>
      <c r="C751">
        <v>2670</v>
      </c>
      <c r="D751">
        <v>750</v>
      </c>
      <c r="E751">
        <v>6000</v>
      </c>
      <c r="F751" t="s">
        <v>59</v>
      </c>
      <c r="G751">
        <v>6</v>
      </c>
      <c r="H751" t="s">
        <v>133</v>
      </c>
      <c r="I751">
        <v>18</v>
      </c>
      <c r="J751" s="54">
        <f t="shared" si="11"/>
        <v>6</v>
      </c>
    </row>
    <row r="752" spans="1:10">
      <c r="A752" s="43">
        <v>42438</v>
      </c>
      <c r="B752">
        <v>2002</v>
      </c>
      <c r="C752">
        <v>2670</v>
      </c>
      <c r="D752">
        <v>751</v>
      </c>
      <c r="E752">
        <v>6200</v>
      </c>
      <c r="F752" t="s">
        <v>59</v>
      </c>
      <c r="G752">
        <v>10</v>
      </c>
      <c r="H752" t="s">
        <v>133</v>
      </c>
      <c r="I752">
        <v>17</v>
      </c>
      <c r="J752" s="54">
        <f t="shared" si="11"/>
        <v>10</v>
      </c>
    </row>
    <row r="753" spans="1:10">
      <c r="A753" s="43">
        <v>43419</v>
      </c>
      <c r="B753">
        <v>2004</v>
      </c>
      <c r="C753">
        <v>2672</v>
      </c>
      <c r="D753">
        <v>752</v>
      </c>
      <c r="E753">
        <v>9800</v>
      </c>
      <c r="F753" t="s">
        <v>59</v>
      </c>
      <c r="G753">
        <v>13</v>
      </c>
      <c r="H753" t="s">
        <v>133</v>
      </c>
      <c r="I753">
        <v>15</v>
      </c>
      <c r="J753" s="54">
        <f t="shared" si="11"/>
        <v>13</v>
      </c>
    </row>
    <row r="754" spans="1:10">
      <c r="A754" s="43">
        <v>42695</v>
      </c>
      <c r="B754">
        <v>2004</v>
      </c>
      <c r="C754">
        <v>2672</v>
      </c>
      <c r="D754">
        <v>753</v>
      </c>
      <c r="E754">
        <v>5700</v>
      </c>
      <c r="F754" t="s">
        <v>59</v>
      </c>
      <c r="G754">
        <v>6</v>
      </c>
      <c r="H754" t="s">
        <v>133</v>
      </c>
      <c r="I754">
        <v>15</v>
      </c>
      <c r="J754" s="54">
        <f t="shared" si="11"/>
        <v>6</v>
      </c>
    </row>
    <row r="755" spans="1:10">
      <c r="A755" s="43">
        <v>42633</v>
      </c>
      <c r="B755">
        <v>2004</v>
      </c>
      <c r="C755">
        <v>2672</v>
      </c>
      <c r="D755">
        <v>754</v>
      </c>
      <c r="E755">
        <v>6000</v>
      </c>
      <c r="F755" t="s">
        <v>59</v>
      </c>
      <c r="G755">
        <v>3</v>
      </c>
      <c r="H755" t="s">
        <v>133</v>
      </c>
      <c r="I755">
        <v>15</v>
      </c>
      <c r="J755" s="54">
        <f t="shared" si="11"/>
        <v>3</v>
      </c>
    </row>
    <row r="756" spans="1:10">
      <c r="A756" s="43">
        <v>42506</v>
      </c>
      <c r="B756">
        <v>2001</v>
      </c>
      <c r="C756">
        <v>2672</v>
      </c>
      <c r="D756">
        <v>755</v>
      </c>
      <c r="E756">
        <v>6000</v>
      </c>
      <c r="F756" t="s">
        <v>59</v>
      </c>
      <c r="G756">
        <v>30</v>
      </c>
      <c r="H756" t="s">
        <v>60</v>
      </c>
      <c r="I756">
        <v>18</v>
      </c>
      <c r="J756" s="54">
        <f t="shared" si="11"/>
        <v>1</v>
      </c>
    </row>
    <row r="757" spans="1:10">
      <c r="A757" s="43">
        <v>42491</v>
      </c>
      <c r="B757">
        <v>2001</v>
      </c>
      <c r="C757">
        <v>2681</v>
      </c>
      <c r="D757">
        <v>756</v>
      </c>
      <c r="E757">
        <v>6000</v>
      </c>
      <c r="F757" t="s">
        <v>59</v>
      </c>
      <c r="G757">
        <v>10</v>
      </c>
      <c r="H757" t="s">
        <v>133</v>
      </c>
      <c r="I757">
        <v>18</v>
      </c>
      <c r="J757" s="54">
        <f t="shared" si="11"/>
        <v>10</v>
      </c>
    </row>
    <row r="758" spans="1:10">
      <c r="A758" s="43">
        <v>42650</v>
      </c>
      <c r="B758">
        <v>2005</v>
      </c>
      <c r="C758">
        <v>2700</v>
      </c>
      <c r="D758">
        <v>757</v>
      </c>
      <c r="E758">
        <v>6500</v>
      </c>
      <c r="F758" t="s">
        <v>59</v>
      </c>
      <c r="G758">
        <v>12</v>
      </c>
      <c r="H758" t="s">
        <v>133</v>
      </c>
      <c r="I758">
        <v>14</v>
      </c>
      <c r="J758" s="54">
        <f t="shared" si="11"/>
        <v>12</v>
      </c>
    </row>
    <row r="759" spans="1:10">
      <c r="A759" s="43">
        <v>43587</v>
      </c>
      <c r="B759">
        <v>2005</v>
      </c>
      <c r="C759">
        <v>2702</v>
      </c>
      <c r="D759">
        <v>758</v>
      </c>
      <c r="E759">
        <v>9000</v>
      </c>
      <c r="F759" t="s">
        <v>59</v>
      </c>
      <c r="G759">
        <v>42</v>
      </c>
      <c r="H759" t="s">
        <v>60</v>
      </c>
      <c r="I759">
        <v>14</v>
      </c>
      <c r="J759" s="54">
        <f t="shared" si="11"/>
        <v>1</v>
      </c>
    </row>
    <row r="760" spans="1:10">
      <c r="A760" s="43">
        <v>43563</v>
      </c>
      <c r="B760">
        <v>2004</v>
      </c>
      <c r="C760">
        <v>2702</v>
      </c>
      <c r="D760">
        <v>759</v>
      </c>
      <c r="E760">
        <v>9000</v>
      </c>
      <c r="F760" t="s">
        <v>59</v>
      </c>
      <c r="G760">
        <v>7</v>
      </c>
      <c r="H760" t="s">
        <v>133</v>
      </c>
      <c r="I760">
        <v>15</v>
      </c>
      <c r="J760" s="54">
        <f t="shared" si="11"/>
        <v>7</v>
      </c>
    </row>
    <row r="761" spans="1:10">
      <c r="A761" s="43">
        <v>43489</v>
      </c>
      <c r="B761">
        <v>2004</v>
      </c>
      <c r="C761">
        <v>2702</v>
      </c>
      <c r="D761">
        <v>760</v>
      </c>
      <c r="E761">
        <v>8500</v>
      </c>
      <c r="F761" t="s">
        <v>59</v>
      </c>
      <c r="G761">
        <v>6</v>
      </c>
      <c r="H761" t="s">
        <v>133</v>
      </c>
      <c r="I761">
        <v>15</v>
      </c>
      <c r="J761" s="54">
        <f t="shared" si="11"/>
        <v>6</v>
      </c>
    </row>
    <row r="762" spans="1:10">
      <c r="A762" s="43">
        <v>43412</v>
      </c>
      <c r="B762">
        <v>2004</v>
      </c>
      <c r="C762">
        <v>2702</v>
      </c>
      <c r="D762">
        <v>761</v>
      </c>
      <c r="E762">
        <v>10000</v>
      </c>
      <c r="F762" t="s">
        <v>59</v>
      </c>
      <c r="G762">
        <v>6</v>
      </c>
      <c r="H762" t="s">
        <v>133</v>
      </c>
      <c r="I762">
        <v>15</v>
      </c>
      <c r="J762" s="54">
        <f t="shared" si="11"/>
        <v>6</v>
      </c>
    </row>
    <row r="763" spans="1:10">
      <c r="A763" s="43">
        <v>43370</v>
      </c>
      <c r="B763">
        <v>2004</v>
      </c>
      <c r="C763">
        <v>2702</v>
      </c>
      <c r="D763">
        <v>762</v>
      </c>
      <c r="E763">
        <v>11350</v>
      </c>
      <c r="F763" t="s">
        <v>59</v>
      </c>
      <c r="G763">
        <v>12</v>
      </c>
      <c r="H763" t="s">
        <v>133</v>
      </c>
      <c r="I763">
        <v>15</v>
      </c>
      <c r="J763" s="54">
        <f t="shared" si="11"/>
        <v>12</v>
      </c>
    </row>
    <row r="764" spans="1:10">
      <c r="A764" s="43">
        <v>43234</v>
      </c>
      <c r="B764">
        <v>2005</v>
      </c>
      <c r="C764">
        <v>2702</v>
      </c>
      <c r="D764">
        <v>763</v>
      </c>
      <c r="E764">
        <v>12000</v>
      </c>
      <c r="F764" t="s">
        <v>59</v>
      </c>
      <c r="G764">
        <v>13</v>
      </c>
      <c r="H764" t="s">
        <v>133</v>
      </c>
      <c r="I764">
        <v>14</v>
      </c>
      <c r="J764" s="54">
        <f t="shared" si="11"/>
        <v>13</v>
      </c>
    </row>
    <row r="765" spans="1:10">
      <c r="A765" s="43">
        <v>43195</v>
      </c>
      <c r="B765">
        <v>2004</v>
      </c>
      <c r="C765">
        <v>2702</v>
      </c>
      <c r="D765">
        <v>764</v>
      </c>
      <c r="E765">
        <v>11000</v>
      </c>
      <c r="F765" t="s">
        <v>59</v>
      </c>
      <c r="G765">
        <v>6</v>
      </c>
      <c r="H765" t="s">
        <v>133</v>
      </c>
      <c r="I765">
        <v>15</v>
      </c>
      <c r="J765" s="54">
        <f t="shared" si="11"/>
        <v>6</v>
      </c>
    </row>
    <row r="766" spans="1:10">
      <c r="A766" s="43">
        <v>43193</v>
      </c>
      <c r="B766">
        <v>2005</v>
      </c>
      <c r="C766">
        <v>2702</v>
      </c>
      <c r="D766">
        <v>765</v>
      </c>
      <c r="E766">
        <v>10950</v>
      </c>
      <c r="F766" t="s">
        <v>59</v>
      </c>
      <c r="G766">
        <v>7</v>
      </c>
      <c r="H766" t="s">
        <v>133</v>
      </c>
      <c r="I766">
        <v>14</v>
      </c>
      <c r="J766" s="54">
        <f t="shared" si="11"/>
        <v>7</v>
      </c>
    </row>
    <row r="767" spans="1:10">
      <c r="A767" s="43">
        <v>43034</v>
      </c>
      <c r="B767">
        <v>2004</v>
      </c>
      <c r="C767">
        <v>2702</v>
      </c>
      <c r="D767">
        <v>766</v>
      </c>
      <c r="E767">
        <v>9500</v>
      </c>
      <c r="F767" t="s">
        <v>59</v>
      </c>
      <c r="G767">
        <v>6</v>
      </c>
      <c r="H767" t="s">
        <v>133</v>
      </c>
      <c r="I767">
        <v>15</v>
      </c>
      <c r="J767" s="54">
        <f t="shared" si="11"/>
        <v>6</v>
      </c>
    </row>
    <row r="768" spans="1:10">
      <c r="A768" s="43">
        <v>42850</v>
      </c>
      <c r="B768">
        <v>2005</v>
      </c>
      <c r="C768">
        <v>2702</v>
      </c>
      <c r="D768">
        <v>767</v>
      </c>
      <c r="E768">
        <v>9300</v>
      </c>
      <c r="F768" t="s">
        <v>59</v>
      </c>
      <c r="G768">
        <v>12</v>
      </c>
      <c r="H768" t="s">
        <v>133</v>
      </c>
      <c r="I768">
        <v>14</v>
      </c>
      <c r="J768" s="54">
        <f t="shared" si="11"/>
        <v>12</v>
      </c>
    </row>
    <row r="769" spans="1:10">
      <c r="A769" s="43">
        <v>42811</v>
      </c>
      <c r="B769">
        <v>2004</v>
      </c>
      <c r="C769">
        <v>2702</v>
      </c>
      <c r="D769">
        <v>768</v>
      </c>
      <c r="E769">
        <v>6600</v>
      </c>
      <c r="F769" t="s">
        <v>59</v>
      </c>
      <c r="G769">
        <v>7</v>
      </c>
      <c r="H769" t="s">
        <v>133</v>
      </c>
      <c r="I769">
        <v>15</v>
      </c>
      <c r="J769" s="54">
        <f t="shared" si="11"/>
        <v>7</v>
      </c>
    </row>
    <row r="770" spans="1:10">
      <c r="A770" s="43">
        <v>42629</v>
      </c>
      <c r="B770">
        <v>2004</v>
      </c>
      <c r="C770">
        <v>2702</v>
      </c>
      <c r="D770">
        <v>769</v>
      </c>
      <c r="E770">
        <v>6250</v>
      </c>
      <c r="F770" t="s">
        <v>59</v>
      </c>
      <c r="G770">
        <v>7</v>
      </c>
      <c r="H770" t="s">
        <v>133</v>
      </c>
      <c r="I770">
        <v>15</v>
      </c>
      <c r="J770" s="54">
        <f t="shared" ref="J770:J833" si="12">IF(H770="days",ROUND(G770/30,0),IF(H770="years",G770*12,G770))</f>
        <v>7</v>
      </c>
    </row>
    <row r="771" spans="1:10">
      <c r="A771" s="43">
        <v>42610</v>
      </c>
      <c r="B771">
        <v>2005</v>
      </c>
      <c r="C771">
        <v>2702</v>
      </c>
      <c r="D771">
        <v>770</v>
      </c>
      <c r="E771">
        <v>6100</v>
      </c>
      <c r="F771" t="s">
        <v>59</v>
      </c>
      <c r="G771">
        <v>7</v>
      </c>
      <c r="H771" t="s">
        <v>133</v>
      </c>
      <c r="I771">
        <v>14</v>
      </c>
      <c r="J771" s="54">
        <f t="shared" si="12"/>
        <v>7</v>
      </c>
    </row>
    <row r="772" spans="1:10">
      <c r="A772" s="43">
        <v>42523</v>
      </c>
      <c r="B772">
        <v>2005</v>
      </c>
      <c r="C772">
        <v>2702</v>
      </c>
      <c r="D772">
        <v>771</v>
      </c>
      <c r="E772">
        <v>6500</v>
      </c>
      <c r="F772" t="s">
        <v>59</v>
      </c>
      <c r="G772">
        <v>5</v>
      </c>
      <c r="H772" t="s">
        <v>133</v>
      </c>
      <c r="I772">
        <v>14</v>
      </c>
      <c r="J772" s="54">
        <f t="shared" si="12"/>
        <v>5</v>
      </c>
    </row>
    <row r="773" spans="1:10">
      <c r="A773" s="43">
        <v>42438</v>
      </c>
      <c r="B773">
        <v>2005</v>
      </c>
      <c r="C773">
        <v>2702</v>
      </c>
      <c r="D773">
        <v>772</v>
      </c>
      <c r="E773">
        <v>6100</v>
      </c>
      <c r="F773" t="s">
        <v>59</v>
      </c>
      <c r="G773">
        <v>7</v>
      </c>
      <c r="H773" t="s">
        <v>133</v>
      </c>
      <c r="I773">
        <v>14</v>
      </c>
      <c r="J773" s="54">
        <f t="shared" si="12"/>
        <v>7</v>
      </c>
    </row>
    <row r="774" spans="1:10">
      <c r="A774" s="43">
        <v>42415</v>
      </c>
      <c r="B774">
        <v>2005</v>
      </c>
      <c r="C774">
        <v>2702</v>
      </c>
      <c r="D774">
        <v>773</v>
      </c>
      <c r="E774">
        <v>6500</v>
      </c>
      <c r="F774" t="s">
        <v>59</v>
      </c>
      <c r="G774">
        <v>7</v>
      </c>
      <c r="H774" t="s">
        <v>133</v>
      </c>
      <c r="I774">
        <v>14</v>
      </c>
      <c r="J774" s="54">
        <f t="shared" si="12"/>
        <v>7</v>
      </c>
    </row>
    <row r="775" spans="1:10">
      <c r="A775" s="43">
        <v>42401</v>
      </c>
      <c r="B775">
        <v>2005</v>
      </c>
      <c r="C775">
        <v>2702</v>
      </c>
      <c r="D775">
        <v>774</v>
      </c>
      <c r="E775">
        <v>6600</v>
      </c>
      <c r="F775" t="s">
        <v>59</v>
      </c>
      <c r="G775">
        <v>7</v>
      </c>
      <c r="H775" t="s">
        <v>133</v>
      </c>
      <c r="I775">
        <v>14</v>
      </c>
      <c r="J775" s="54">
        <f t="shared" si="12"/>
        <v>7</v>
      </c>
    </row>
    <row r="776" spans="1:10">
      <c r="A776" s="43">
        <v>42401</v>
      </c>
      <c r="B776">
        <v>2004</v>
      </c>
      <c r="C776">
        <v>2702</v>
      </c>
      <c r="D776">
        <v>775</v>
      </c>
      <c r="E776">
        <v>6500</v>
      </c>
      <c r="F776" t="s">
        <v>59</v>
      </c>
      <c r="G776">
        <v>7</v>
      </c>
      <c r="H776" t="s">
        <v>133</v>
      </c>
      <c r="I776">
        <v>15</v>
      </c>
      <c r="J776" s="54">
        <f t="shared" si="12"/>
        <v>7</v>
      </c>
    </row>
    <row r="777" spans="1:10">
      <c r="A777" s="43">
        <v>43570</v>
      </c>
      <c r="B777">
        <v>2002</v>
      </c>
      <c r="C777">
        <v>2732</v>
      </c>
      <c r="D777">
        <v>776</v>
      </c>
      <c r="E777">
        <v>8250</v>
      </c>
      <c r="F777" t="s">
        <v>59</v>
      </c>
      <c r="G777">
        <v>5</v>
      </c>
      <c r="H777" t="s">
        <v>133</v>
      </c>
      <c r="I777">
        <v>17</v>
      </c>
      <c r="J777" s="54">
        <f t="shared" si="12"/>
        <v>5</v>
      </c>
    </row>
    <row r="778" spans="1:10">
      <c r="A778" s="43">
        <v>43228</v>
      </c>
      <c r="B778">
        <v>2002</v>
      </c>
      <c r="C778">
        <v>2732</v>
      </c>
      <c r="D778">
        <v>777</v>
      </c>
      <c r="E778">
        <v>11600</v>
      </c>
      <c r="F778" t="s">
        <v>59</v>
      </c>
      <c r="G778">
        <v>6</v>
      </c>
      <c r="H778" t="s">
        <v>133</v>
      </c>
      <c r="I778">
        <v>17</v>
      </c>
      <c r="J778" s="54">
        <f t="shared" si="12"/>
        <v>6</v>
      </c>
    </row>
    <row r="779" spans="1:10">
      <c r="A779" s="43">
        <v>42962</v>
      </c>
      <c r="B779">
        <v>2002</v>
      </c>
      <c r="C779">
        <v>2732</v>
      </c>
      <c r="D779">
        <v>778</v>
      </c>
      <c r="E779">
        <v>8450</v>
      </c>
      <c r="F779" t="s">
        <v>59</v>
      </c>
      <c r="G779">
        <v>7</v>
      </c>
      <c r="H779" t="s">
        <v>133</v>
      </c>
      <c r="I779">
        <v>17</v>
      </c>
      <c r="J779" s="54">
        <f t="shared" si="12"/>
        <v>7</v>
      </c>
    </row>
    <row r="780" spans="1:10">
      <c r="A780" s="43">
        <v>42754</v>
      </c>
      <c r="B780">
        <v>2002</v>
      </c>
      <c r="C780">
        <v>2732</v>
      </c>
      <c r="D780">
        <v>779</v>
      </c>
      <c r="E780">
        <v>6250</v>
      </c>
      <c r="F780" t="s">
        <v>59</v>
      </c>
      <c r="G780">
        <v>6</v>
      </c>
      <c r="H780" t="s">
        <v>133</v>
      </c>
      <c r="I780">
        <v>17</v>
      </c>
      <c r="J780" s="54">
        <f t="shared" si="12"/>
        <v>6</v>
      </c>
    </row>
    <row r="781" spans="1:10">
      <c r="A781" s="43">
        <v>42674</v>
      </c>
      <c r="B781">
        <v>2002</v>
      </c>
      <c r="C781">
        <v>2732</v>
      </c>
      <c r="D781">
        <v>780</v>
      </c>
      <c r="E781">
        <v>6000</v>
      </c>
      <c r="F781" t="s">
        <v>59</v>
      </c>
      <c r="G781">
        <v>30</v>
      </c>
      <c r="H781" t="s">
        <v>60</v>
      </c>
      <c r="I781">
        <v>17</v>
      </c>
      <c r="J781" s="54">
        <f t="shared" si="12"/>
        <v>1</v>
      </c>
    </row>
    <row r="782" spans="1:10">
      <c r="A782" s="43">
        <v>42571</v>
      </c>
      <c r="B782">
        <v>2002</v>
      </c>
      <c r="C782">
        <v>2732</v>
      </c>
      <c r="D782">
        <v>781</v>
      </c>
      <c r="E782">
        <v>5800</v>
      </c>
      <c r="F782" t="s">
        <v>59</v>
      </c>
      <c r="G782">
        <v>6</v>
      </c>
      <c r="H782" t="s">
        <v>133</v>
      </c>
      <c r="I782">
        <v>17</v>
      </c>
      <c r="J782" s="54">
        <f t="shared" si="12"/>
        <v>6</v>
      </c>
    </row>
    <row r="783" spans="1:10">
      <c r="A783" s="43">
        <v>42442</v>
      </c>
      <c r="B783">
        <v>2002</v>
      </c>
      <c r="C783">
        <v>2732</v>
      </c>
      <c r="D783">
        <v>782</v>
      </c>
      <c r="E783">
        <v>6500</v>
      </c>
      <c r="F783" t="s">
        <v>59</v>
      </c>
      <c r="G783">
        <v>70</v>
      </c>
      <c r="H783" t="s">
        <v>60</v>
      </c>
      <c r="I783">
        <v>17</v>
      </c>
      <c r="J783" s="54">
        <f t="shared" si="12"/>
        <v>2</v>
      </c>
    </row>
    <row r="784" spans="1:10">
      <c r="A784" s="43">
        <v>43503</v>
      </c>
      <c r="B784">
        <v>2005</v>
      </c>
      <c r="C784">
        <v>2741</v>
      </c>
      <c r="D784">
        <v>783</v>
      </c>
      <c r="E784">
        <v>8500</v>
      </c>
      <c r="F784" t="s">
        <v>59</v>
      </c>
      <c r="G784">
        <v>8</v>
      </c>
      <c r="H784" t="s">
        <v>133</v>
      </c>
      <c r="I784">
        <v>14</v>
      </c>
      <c r="J784" s="54">
        <f t="shared" si="12"/>
        <v>8</v>
      </c>
    </row>
    <row r="785" spans="1:10">
      <c r="A785" s="43">
        <v>43600</v>
      </c>
      <c r="B785">
        <v>2005</v>
      </c>
      <c r="C785">
        <v>2742</v>
      </c>
      <c r="D785">
        <v>784</v>
      </c>
      <c r="E785">
        <v>9200</v>
      </c>
      <c r="F785" t="s">
        <v>59</v>
      </c>
      <c r="G785">
        <v>6</v>
      </c>
      <c r="H785" t="s">
        <v>133</v>
      </c>
      <c r="I785">
        <v>14</v>
      </c>
      <c r="J785" s="54">
        <f t="shared" si="12"/>
        <v>6</v>
      </c>
    </row>
    <row r="786" spans="1:10">
      <c r="A786" s="43">
        <v>43592</v>
      </c>
      <c r="B786">
        <v>2005</v>
      </c>
      <c r="C786">
        <v>2742</v>
      </c>
      <c r="D786">
        <v>785</v>
      </c>
      <c r="E786">
        <v>9200</v>
      </c>
      <c r="F786" t="s">
        <v>59</v>
      </c>
      <c r="G786">
        <v>13</v>
      </c>
      <c r="H786" t="s">
        <v>133</v>
      </c>
      <c r="I786">
        <v>14</v>
      </c>
      <c r="J786" s="54">
        <f t="shared" si="12"/>
        <v>13</v>
      </c>
    </row>
    <row r="787" spans="1:10">
      <c r="A787" s="43">
        <v>43584</v>
      </c>
      <c r="B787">
        <v>2005</v>
      </c>
      <c r="C787">
        <v>2742</v>
      </c>
      <c r="D787">
        <v>786</v>
      </c>
      <c r="E787">
        <v>9000</v>
      </c>
      <c r="F787" t="s">
        <v>59</v>
      </c>
      <c r="G787">
        <v>5</v>
      </c>
      <c r="H787" t="s">
        <v>133</v>
      </c>
      <c r="I787">
        <v>14</v>
      </c>
      <c r="J787" s="54">
        <f t="shared" si="12"/>
        <v>5</v>
      </c>
    </row>
    <row r="788" spans="1:10">
      <c r="A788" s="43">
        <v>43535</v>
      </c>
      <c r="B788">
        <v>2005</v>
      </c>
      <c r="C788">
        <v>2742</v>
      </c>
      <c r="D788">
        <v>787</v>
      </c>
      <c r="E788">
        <v>8500</v>
      </c>
      <c r="F788" t="s">
        <v>59</v>
      </c>
      <c r="G788">
        <v>7</v>
      </c>
      <c r="H788" t="s">
        <v>133</v>
      </c>
      <c r="I788">
        <v>14</v>
      </c>
      <c r="J788" s="54">
        <f t="shared" si="12"/>
        <v>7</v>
      </c>
    </row>
    <row r="789" spans="1:10">
      <c r="A789" s="43">
        <v>43501</v>
      </c>
      <c r="B789">
        <v>2005</v>
      </c>
      <c r="C789">
        <v>2742</v>
      </c>
      <c r="D789">
        <v>788</v>
      </c>
      <c r="E789">
        <v>8500</v>
      </c>
      <c r="F789" t="s">
        <v>59</v>
      </c>
      <c r="G789">
        <v>6</v>
      </c>
      <c r="H789" t="s">
        <v>133</v>
      </c>
      <c r="I789">
        <v>14</v>
      </c>
      <c r="J789" s="54">
        <f t="shared" si="12"/>
        <v>6</v>
      </c>
    </row>
    <row r="790" spans="1:10">
      <c r="A790" s="43">
        <v>43489</v>
      </c>
      <c r="B790">
        <v>2005</v>
      </c>
      <c r="C790">
        <v>2742</v>
      </c>
      <c r="D790">
        <v>789</v>
      </c>
      <c r="E790">
        <v>8500</v>
      </c>
      <c r="F790" t="s">
        <v>59</v>
      </c>
      <c r="G790">
        <v>120</v>
      </c>
      <c r="H790" t="s">
        <v>60</v>
      </c>
      <c r="I790">
        <v>14</v>
      </c>
      <c r="J790" s="54">
        <f t="shared" si="12"/>
        <v>4</v>
      </c>
    </row>
    <row r="791" spans="1:10">
      <c r="A791" s="43">
        <v>43420</v>
      </c>
      <c r="B791">
        <v>2005</v>
      </c>
      <c r="C791">
        <v>2742</v>
      </c>
      <c r="D791">
        <v>790</v>
      </c>
      <c r="E791">
        <v>10000</v>
      </c>
      <c r="F791" t="s">
        <v>59</v>
      </c>
      <c r="G791">
        <v>7</v>
      </c>
      <c r="H791" t="s">
        <v>133</v>
      </c>
      <c r="I791">
        <v>14</v>
      </c>
      <c r="J791" s="54">
        <f t="shared" si="12"/>
        <v>7</v>
      </c>
    </row>
    <row r="792" spans="1:10">
      <c r="A792" s="43">
        <v>43397</v>
      </c>
      <c r="B792">
        <v>2005</v>
      </c>
      <c r="C792">
        <v>2742</v>
      </c>
      <c r="D792">
        <v>791</v>
      </c>
      <c r="E792">
        <v>10800</v>
      </c>
      <c r="F792" t="s">
        <v>59</v>
      </c>
      <c r="G792">
        <v>9</v>
      </c>
      <c r="H792" t="s">
        <v>133</v>
      </c>
      <c r="I792">
        <v>14</v>
      </c>
      <c r="J792" s="54">
        <f t="shared" si="12"/>
        <v>9</v>
      </c>
    </row>
    <row r="793" spans="1:10">
      <c r="A793" s="43">
        <v>43290</v>
      </c>
      <c r="B793">
        <v>2005</v>
      </c>
      <c r="C793">
        <v>2742</v>
      </c>
      <c r="D793">
        <v>792</v>
      </c>
      <c r="E793">
        <v>12500</v>
      </c>
      <c r="F793" t="s">
        <v>59</v>
      </c>
      <c r="G793">
        <v>12</v>
      </c>
      <c r="H793" t="s">
        <v>133</v>
      </c>
      <c r="I793">
        <v>14</v>
      </c>
      <c r="J793" s="54">
        <f t="shared" si="12"/>
        <v>12</v>
      </c>
    </row>
    <row r="794" spans="1:10">
      <c r="A794" s="43">
        <v>43231</v>
      </c>
      <c r="B794">
        <v>2005</v>
      </c>
      <c r="C794">
        <v>2742</v>
      </c>
      <c r="D794">
        <v>793</v>
      </c>
      <c r="E794">
        <v>12400</v>
      </c>
      <c r="F794" t="s">
        <v>59</v>
      </c>
      <c r="G794">
        <v>12</v>
      </c>
      <c r="H794" t="s">
        <v>133</v>
      </c>
      <c r="I794">
        <v>14</v>
      </c>
      <c r="J794" s="54">
        <f t="shared" si="12"/>
        <v>12</v>
      </c>
    </row>
    <row r="795" spans="1:10">
      <c r="A795" s="43">
        <v>43223</v>
      </c>
      <c r="B795">
        <v>2005</v>
      </c>
      <c r="C795">
        <v>2742</v>
      </c>
      <c r="D795">
        <v>794</v>
      </c>
      <c r="E795">
        <v>11700</v>
      </c>
      <c r="F795" t="s">
        <v>59</v>
      </c>
      <c r="G795">
        <v>9</v>
      </c>
      <c r="H795" t="s">
        <v>133</v>
      </c>
      <c r="I795">
        <v>14</v>
      </c>
      <c r="J795" s="54">
        <f t="shared" si="12"/>
        <v>9</v>
      </c>
    </row>
    <row r="796" spans="1:10">
      <c r="A796" s="43">
        <v>43209</v>
      </c>
      <c r="B796">
        <v>2005</v>
      </c>
      <c r="C796">
        <v>2742</v>
      </c>
      <c r="D796">
        <v>795</v>
      </c>
      <c r="E796">
        <v>11675</v>
      </c>
      <c r="F796" t="s">
        <v>59</v>
      </c>
      <c r="G796">
        <v>12</v>
      </c>
      <c r="H796" t="s">
        <v>133</v>
      </c>
      <c r="I796">
        <v>14</v>
      </c>
      <c r="J796" s="54">
        <f t="shared" si="12"/>
        <v>12</v>
      </c>
    </row>
    <row r="797" spans="1:10">
      <c r="A797" s="43">
        <v>43158</v>
      </c>
      <c r="B797">
        <v>2005</v>
      </c>
      <c r="C797">
        <v>2742</v>
      </c>
      <c r="D797">
        <v>796</v>
      </c>
      <c r="E797">
        <v>9850</v>
      </c>
      <c r="F797" t="s">
        <v>59</v>
      </c>
      <c r="G797">
        <v>8</v>
      </c>
      <c r="H797" t="s">
        <v>133</v>
      </c>
      <c r="I797">
        <v>14</v>
      </c>
      <c r="J797" s="54">
        <f t="shared" si="12"/>
        <v>8</v>
      </c>
    </row>
    <row r="798" spans="1:10">
      <c r="A798" s="43">
        <v>43158</v>
      </c>
      <c r="B798">
        <v>2005</v>
      </c>
      <c r="C798">
        <v>2742</v>
      </c>
      <c r="D798">
        <v>797</v>
      </c>
      <c r="E798">
        <v>9700</v>
      </c>
      <c r="F798" t="s">
        <v>59</v>
      </c>
      <c r="G798">
        <v>5</v>
      </c>
      <c r="H798" t="s">
        <v>133</v>
      </c>
      <c r="I798">
        <v>14</v>
      </c>
      <c r="J798" s="54">
        <f t="shared" si="12"/>
        <v>5</v>
      </c>
    </row>
    <row r="799" spans="1:10">
      <c r="A799" s="43">
        <v>43096</v>
      </c>
      <c r="B799">
        <v>2005</v>
      </c>
      <c r="C799">
        <v>2742</v>
      </c>
      <c r="D799">
        <v>798</v>
      </c>
      <c r="E799">
        <v>9250</v>
      </c>
      <c r="F799" t="s">
        <v>59</v>
      </c>
      <c r="G799">
        <v>15</v>
      </c>
      <c r="H799" t="s">
        <v>133</v>
      </c>
      <c r="I799">
        <v>14</v>
      </c>
      <c r="J799" s="54">
        <f t="shared" si="12"/>
        <v>15</v>
      </c>
    </row>
    <row r="800" spans="1:10">
      <c r="A800" s="43">
        <v>42996</v>
      </c>
      <c r="B800">
        <v>2005</v>
      </c>
      <c r="C800">
        <v>2742</v>
      </c>
      <c r="D800">
        <v>799</v>
      </c>
      <c r="E800">
        <v>9500</v>
      </c>
      <c r="F800" t="s">
        <v>59</v>
      </c>
      <c r="G800">
        <v>8</v>
      </c>
      <c r="H800" t="s">
        <v>133</v>
      </c>
      <c r="I800">
        <v>14</v>
      </c>
      <c r="J800" s="54">
        <f t="shared" si="12"/>
        <v>8</v>
      </c>
    </row>
    <row r="801" spans="1:10">
      <c r="A801" s="43">
        <v>42983</v>
      </c>
      <c r="B801">
        <v>2005</v>
      </c>
      <c r="C801">
        <v>2742</v>
      </c>
      <c r="D801">
        <v>800</v>
      </c>
      <c r="E801">
        <v>9550</v>
      </c>
      <c r="F801" t="s">
        <v>59</v>
      </c>
      <c r="G801">
        <v>3</v>
      </c>
      <c r="H801" t="s">
        <v>133</v>
      </c>
      <c r="I801">
        <v>14</v>
      </c>
      <c r="J801" s="54">
        <f t="shared" si="12"/>
        <v>3</v>
      </c>
    </row>
    <row r="802" spans="1:10">
      <c r="A802" s="43">
        <v>42957</v>
      </c>
      <c r="B802">
        <v>2005</v>
      </c>
      <c r="C802">
        <v>2742</v>
      </c>
      <c r="D802">
        <v>801</v>
      </c>
      <c r="E802">
        <v>9450</v>
      </c>
      <c r="F802" t="s">
        <v>59</v>
      </c>
      <c r="G802">
        <v>7</v>
      </c>
      <c r="H802" t="s">
        <v>133</v>
      </c>
      <c r="I802">
        <v>14</v>
      </c>
      <c r="J802" s="54">
        <f t="shared" si="12"/>
        <v>7</v>
      </c>
    </row>
    <row r="803" spans="1:10">
      <c r="A803" s="43">
        <v>42933</v>
      </c>
      <c r="B803">
        <v>2005</v>
      </c>
      <c r="C803">
        <v>2742</v>
      </c>
      <c r="D803">
        <v>802</v>
      </c>
      <c r="E803">
        <v>9000</v>
      </c>
      <c r="F803" t="s">
        <v>59</v>
      </c>
      <c r="G803">
        <v>6</v>
      </c>
      <c r="H803" t="s">
        <v>133</v>
      </c>
      <c r="I803">
        <v>14</v>
      </c>
      <c r="J803" s="54">
        <f t="shared" si="12"/>
        <v>6</v>
      </c>
    </row>
    <row r="804" spans="1:10">
      <c r="A804" s="43">
        <v>42887</v>
      </c>
      <c r="B804">
        <v>2005</v>
      </c>
      <c r="C804">
        <v>2742</v>
      </c>
      <c r="D804">
        <v>803</v>
      </c>
      <c r="E804">
        <v>10000</v>
      </c>
      <c r="F804" t="s">
        <v>59</v>
      </c>
      <c r="G804">
        <v>10</v>
      </c>
      <c r="H804" t="s">
        <v>133</v>
      </c>
      <c r="I804">
        <v>14</v>
      </c>
      <c r="J804" s="54">
        <f t="shared" si="12"/>
        <v>10</v>
      </c>
    </row>
    <row r="805" spans="1:10">
      <c r="A805" s="43">
        <v>42887</v>
      </c>
      <c r="B805">
        <v>2005</v>
      </c>
      <c r="C805">
        <v>2742</v>
      </c>
      <c r="D805">
        <v>804</v>
      </c>
      <c r="E805">
        <v>10000</v>
      </c>
      <c r="F805" t="s">
        <v>59</v>
      </c>
      <c r="G805">
        <v>10</v>
      </c>
      <c r="H805" t="s">
        <v>133</v>
      </c>
      <c r="I805">
        <v>14</v>
      </c>
      <c r="J805" s="54">
        <f t="shared" si="12"/>
        <v>10</v>
      </c>
    </row>
    <row r="806" spans="1:10">
      <c r="A806" s="43">
        <v>42787</v>
      </c>
      <c r="B806">
        <v>2005</v>
      </c>
      <c r="C806">
        <v>2742</v>
      </c>
      <c r="D806">
        <v>805</v>
      </c>
      <c r="E806">
        <v>6400</v>
      </c>
      <c r="F806" t="s">
        <v>59</v>
      </c>
      <c r="G806">
        <v>6</v>
      </c>
      <c r="H806" t="s">
        <v>133</v>
      </c>
      <c r="I806">
        <v>14</v>
      </c>
      <c r="J806" s="54">
        <f t="shared" si="12"/>
        <v>6</v>
      </c>
    </row>
    <row r="807" spans="1:10">
      <c r="A807" s="43">
        <v>42736</v>
      </c>
      <c r="B807">
        <v>2005</v>
      </c>
      <c r="C807">
        <v>2742</v>
      </c>
      <c r="D807">
        <v>806</v>
      </c>
      <c r="E807">
        <v>6400</v>
      </c>
      <c r="F807" t="s">
        <v>59</v>
      </c>
      <c r="G807">
        <v>7</v>
      </c>
      <c r="H807" t="s">
        <v>133</v>
      </c>
      <c r="I807">
        <v>14</v>
      </c>
      <c r="J807" s="54">
        <f t="shared" si="12"/>
        <v>7</v>
      </c>
    </row>
    <row r="808" spans="1:10">
      <c r="A808" s="43">
        <v>42736</v>
      </c>
      <c r="B808">
        <v>2005</v>
      </c>
      <c r="C808">
        <v>2742</v>
      </c>
      <c r="D808">
        <v>807</v>
      </c>
      <c r="E808">
        <v>6450</v>
      </c>
      <c r="F808" t="s">
        <v>59</v>
      </c>
      <c r="G808">
        <v>7</v>
      </c>
      <c r="H808" t="s">
        <v>133</v>
      </c>
      <c r="I808">
        <v>14</v>
      </c>
      <c r="J808" s="54">
        <f t="shared" si="12"/>
        <v>7</v>
      </c>
    </row>
    <row r="809" spans="1:10">
      <c r="A809" s="43">
        <v>42658</v>
      </c>
      <c r="B809">
        <v>2005</v>
      </c>
      <c r="C809">
        <v>2742</v>
      </c>
      <c r="D809">
        <v>808</v>
      </c>
      <c r="E809">
        <v>6000</v>
      </c>
      <c r="F809" t="s">
        <v>59</v>
      </c>
      <c r="G809">
        <v>7</v>
      </c>
      <c r="H809" t="s">
        <v>133</v>
      </c>
      <c r="I809">
        <v>14</v>
      </c>
      <c r="J809" s="54">
        <f t="shared" si="12"/>
        <v>7</v>
      </c>
    </row>
    <row r="810" spans="1:10">
      <c r="A810" s="43">
        <v>42625</v>
      </c>
      <c r="B810">
        <v>2005</v>
      </c>
      <c r="C810">
        <v>2742</v>
      </c>
      <c r="D810">
        <v>809</v>
      </c>
      <c r="E810">
        <v>6200</v>
      </c>
      <c r="F810" t="s">
        <v>59</v>
      </c>
      <c r="G810">
        <v>6</v>
      </c>
      <c r="H810" t="s">
        <v>133</v>
      </c>
      <c r="I810">
        <v>14</v>
      </c>
      <c r="J810" s="54">
        <f t="shared" si="12"/>
        <v>6</v>
      </c>
    </row>
    <row r="811" spans="1:10">
      <c r="A811" s="43">
        <v>42615</v>
      </c>
      <c r="B811">
        <v>2005</v>
      </c>
      <c r="C811">
        <v>2742</v>
      </c>
      <c r="D811">
        <v>810</v>
      </c>
      <c r="E811">
        <v>6150</v>
      </c>
      <c r="F811" t="s">
        <v>59</v>
      </c>
      <c r="G811">
        <v>50</v>
      </c>
      <c r="H811" t="s">
        <v>60</v>
      </c>
      <c r="I811">
        <v>14</v>
      </c>
      <c r="J811" s="54">
        <f t="shared" si="12"/>
        <v>2</v>
      </c>
    </row>
    <row r="812" spans="1:10">
      <c r="A812" s="43">
        <v>42598</v>
      </c>
      <c r="B812">
        <v>2005</v>
      </c>
      <c r="C812">
        <v>2742</v>
      </c>
      <c r="D812">
        <v>811</v>
      </c>
      <c r="E812">
        <v>6000</v>
      </c>
      <c r="F812" t="s">
        <v>59</v>
      </c>
      <c r="G812">
        <v>7</v>
      </c>
      <c r="H812" t="s">
        <v>133</v>
      </c>
      <c r="I812">
        <v>14</v>
      </c>
      <c r="J812" s="54">
        <f t="shared" si="12"/>
        <v>7</v>
      </c>
    </row>
    <row r="813" spans="1:10">
      <c r="A813" s="43">
        <v>42592</v>
      </c>
      <c r="B813">
        <v>2005</v>
      </c>
      <c r="C813">
        <v>2742</v>
      </c>
      <c r="D813">
        <v>812</v>
      </c>
      <c r="E813">
        <v>6200</v>
      </c>
      <c r="F813" t="s">
        <v>59</v>
      </c>
      <c r="G813">
        <v>6</v>
      </c>
      <c r="H813" t="s">
        <v>133</v>
      </c>
      <c r="I813">
        <v>14</v>
      </c>
      <c r="J813" s="54">
        <f t="shared" si="12"/>
        <v>6</v>
      </c>
    </row>
    <row r="814" spans="1:10">
      <c r="A814" s="43">
        <v>42592</v>
      </c>
      <c r="B814">
        <v>2005</v>
      </c>
      <c r="C814">
        <v>2742</v>
      </c>
      <c r="D814">
        <v>813</v>
      </c>
      <c r="E814">
        <v>6200</v>
      </c>
      <c r="F814" t="s">
        <v>59</v>
      </c>
      <c r="G814">
        <v>35</v>
      </c>
      <c r="H814" t="s">
        <v>60</v>
      </c>
      <c r="I814">
        <v>14</v>
      </c>
      <c r="J814" s="54">
        <f t="shared" si="12"/>
        <v>1</v>
      </c>
    </row>
    <row r="815" spans="1:10">
      <c r="A815" s="43">
        <v>42563</v>
      </c>
      <c r="B815">
        <v>2005</v>
      </c>
      <c r="C815">
        <v>2742</v>
      </c>
      <c r="D815">
        <v>814</v>
      </c>
      <c r="E815">
        <v>6300</v>
      </c>
      <c r="F815" t="s">
        <v>59</v>
      </c>
      <c r="G815">
        <v>5</v>
      </c>
      <c r="H815" t="s">
        <v>133</v>
      </c>
      <c r="I815">
        <v>14</v>
      </c>
      <c r="J815" s="54">
        <f t="shared" si="12"/>
        <v>5</v>
      </c>
    </row>
    <row r="816" spans="1:10">
      <c r="A816" s="43">
        <v>42491</v>
      </c>
      <c r="B816">
        <v>2005</v>
      </c>
      <c r="C816">
        <v>2742</v>
      </c>
      <c r="D816">
        <v>815</v>
      </c>
      <c r="E816">
        <v>6400</v>
      </c>
      <c r="F816" t="s">
        <v>59</v>
      </c>
      <c r="G816">
        <v>6</v>
      </c>
      <c r="H816" t="s">
        <v>133</v>
      </c>
      <c r="I816">
        <v>14</v>
      </c>
      <c r="J816" s="54">
        <f t="shared" si="12"/>
        <v>6</v>
      </c>
    </row>
    <row r="817" spans="1:10">
      <c r="A817" s="43">
        <v>42382</v>
      </c>
      <c r="B817">
        <v>2005</v>
      </c>
      <c r="C817">
        <v>2742</v>
      </c>
      <c r="D817">
        <v>816</v>
      </c>
      <c r="E817">
        <v>6500</v>
      </c>
      <c r="F817" t="s">
        <v>59</v>
      </c>
      <c r="G817">
        <v>7</v>
      </c>
      <c r="H817" t="s">
        <v>133</v>
      </c>
      <c r="I817">
        <v>14</v>
      </c>
      <c r="J817" s="54">
        <f t="shared" si="12"/>
        <v>7</v>
      </c>
    </row>
    <row r="818" spans="1:10">
      <c r="A818" s="43">
        <v>43528</v>
      </c>
      <c r="B818">
        <v>2002</v>
      </c>
      <c r="C818">
        <v>2750</v>
      </c>
      <c r="D818">
        <v>817</v>
      </c>
      <c r="E818">
        <v>7500</v>
      </c>
      <c r="F818" t="s">
        <v>59</v>
      </c>
      <c r="G818">
        <v>12</v>
      </c>
      <c r="H818" t="s">
        <v>133</v>
      </c>
      <c r="I818">
        <v>17</v>
      </c>
      <c r="J818" s="54">
        <f t="shared" si="12"/>
        <v>12</v>
      </c>
    </row>
    <row r="819" spans="1:10">
      <c r="A819" s="43">
        <v>43453</v>
      </c>
      <c r="B819">
        <v>2002</v>
      </c>
      <c r="C819">
        <v>2750</v>
      </c>
      <c r="D819">
        <v>818</v>
      </c>
      <c r="E819">
        <v>8000</v>
      </c>
      <c r="F819" t="s">
        <v>59</v>
      </c>
      <c r="G819">
        <v>60</v>
      </c>
      <c r="H819" t="s">
        <v>60</v>
      </c>
      <c r="I819">
        <v>17</v>
      </c>
      <c r="J819" s="54">
        <f t="shared" si="12"/>
        <v>2</v>
      </c>
    </row>
    <row r="820" spans="1:10">
      <c r="A820" s="43">
        <v>43073</v>
      </c>
      <c r="B820">
        <v>2002</v>
      </c>
      <c r="C820">
        <v>2750</v>
      </c>
      <c r="D820">
        <v>819</v>
      </c>
      <c r="E820">
        <v>8250</v>
      </c>
      <c r="F820" t="s">
        <v>59</v>
      </c>
      <c r="G820">
        <v>12</v>
      </c>
      <c r="H820" t="s">
        <v>133</v>
      </c>
      <c r="I820">
        <v>17</v>
      </c>
      <c r="J820" s="54">
        <f t="shared" si="12"/>
        <v>12</v>
      </c>
    </row>
    <row r="821" spans="1:10">
      <c r="A821" s="43">
        <v>42948</v>
      </c>
      <c r="B821">
        <v>2002</v>
      </c>
      <c r="C821">
        <v>2750</v>
      </c>
      <c r="D821">
        <v>820</v>
      </c>
      <c r="E821">
        <v>8450</v>
      </c>
      <c r="F821" t="s">
        <v>59</v>
      </c>
      <c r="G821">
        <v>6</v>
      </c>
      <c r="H821" t="s">
        <v>133</v>
      </c>
      <c r="I821">
        <v>17</v>
      </c>
      <c r="J821" s="54">
        <f t="shared" si="12"/>
        <v>6</v>
      </c>
    </row>
    <row r="822" spans="1:10">
      <c r="A822" s="43">
        <v>42838</v>
      </c>
      <c r="B822">
        <v>2002</v>
      </c>
      <c r="C822">
        <v>2750</v>
      </c>
      <c r="D822">
        <v>821</v>
      </c>
      <c r="E822">
        <v>9300</v>
      </c>
      <c r="F822" t="s">
        <v>59</v>
      </c>
      <c r="G822">
        <v>42</v>
      </c>
      <c r="H822" t="s">
        <v>60</v>
      </c>
      <c r="I822">
        <v>17</v>
      </c>
      <c r="J822" s="54">
        <f t="shared" si="12"/>
        <v>1</v>
      </c>
    </row>
    <row r="823" spans="1:10">
      <c r="A823" s="43">
        <v>43509</v>
      </c>
      <c r="B823">
        <v>2003</v>
      </c>
      <c r="C823">
        <v>2755</v>
      </c>
      <c r="D823">
        <v>822</v>
      </c>
      <c r="E823">
        <v>9000</v>
      </c>
      <c r="F823" t="s">
        <v>59</v>
      </c>
      <c r="G823">
        <v>6</v>
      </c>
      <c r="H823" t="s">
        <v>133</v>
      </c>
      <c r="I823">
        <v>16</v>
      </c>
      <c r="J823" s="54">
        <f t="shared" si="12"/>
        <v>6</v>
      </c>
    </row>
    <row r="824" spans="1:10">
      <c r="A824" s="43">
        <v>43241</v>
      </c>
      <c r="B824">
        <v>2004</v>
      </c>
      <c r="C824">
        <v>2755</v>
      </c>
      <c r="D824">
        <v>823</v>
      </c>
      <c r="E824">
        <v>11500</v>
      </c>
      <c r="F824" t="s">
        <v>59</v>
      </c>
      <c r="G824">
        <v>12</v>
      </c>
      <c r="H824" t="s">
        <v>133</v>
      </c>
      <c r="I824">
        <v>15</v>
      </c>
      <c r="J824" s="54">
        <f t="shared" si="12"/>
        <v>12</v>
      </c>
    </row>
    <row r="825" spans="1:10">
      <c r="A825" s="43">
        <v>43006</v>
      </c>
      <c r="B825">
        <v>2004</v>
      </c>
      <c r="C825">
        <v>2755</v>
      </c>
      <c r="D825">
        <v>824</v>
      </c>
      <c r="E825">
        <v>8400</v>
      </c>
      <c r="F825" t="s">
        <v>59</v>
      </c>
      <c r="G825">
        <v>7</v>
      </c>
      <c r="H825" t="s">
        <v>133</v>
      </c>
      <c r="I825">
        <v>15</v>
      </c>
      <c r="J825" s="54">
        <f t="shared" si="12"/>
        <v>7</v>
      </c>
    </row>
    <row r="826" spans="1:10">
      <c r="A826" s="43">
        <v>42977</v>
      </c>
      <c r="B826">
        <v>2004</v>
      </c>
      <c r="C826">
        <v>2755</v>
      </c>
      <c r="D826">
        <v>825</v>
      </c>
      <c r="E826">
        <v>8500</v>
      </c>
      <c r="F826" t="s">
        <v>59</v>
      </c>
      <c r="G826">
        <v>58</v>
      </c>
      <c r="H826" t="s">
        <v>60</v>
      </c>
      <c r="I826">
        <v>15</v>
      </c>
      <c r="J826" s="54">
        <f t="shared" si="12"/>
        <v>2</v>
      </c>
    </row>
    <row r="827" spans="1:10">
      <c r="A827" s="43">
        <v>42743</v>
      </c>
      <c r="B827">
        <v>2004</v>
      </c>
      <c r="C827">
        <v>2755</v>
      </c>
      <c r="D827">
        <v>826</v>
      </c>
      <c r="E827">
        <v>6000</v>
      </c>
      <c r="F827" t="s">
        <v>59</v>
      </c>
      <c r="G827">
        <v>8</v>
      </c>
      <c r="H827" t="s">
        <v>133</v>
      </c>
      <c r="I827">
        <v>15</v>
      </c>
      <c r="J827" s="54">
        <f t="shared" si="12"/>
        <v>8</v>
      </c>
    </row>
    <row r="828" spans="1:10">
      <c r="A828" s="43">
        <v>42641</v>
      </c>
      <c r="B828">
        <v>2004</v>
      </c>
      <c r="C828">
        <v>2755</v>
      </c>
      <c r="D828">
        <v>827</v>
      </c>
      <c r="E828">
        <v>6000</v>
      </c>
      <c r="F828" t="s">
        <v>59</v>
      </c>
      <c r="G828">
        <v>12</v>
      </c>
      <c r="H828" t="s">
        <v>133</v>
      </c>
      <c r="I828">
        <v>15</v>
      </c>
      <c r="J828" s="54">
        <f t="shared" si="12"/>
        <v>12</v>
      </c>
    </row>
    <row r="829" spans="1:10">
      <c r="A829" s="43">
        <v>42478</v>
      </c>
      <c r="B829">
        <v>2004</v>
      </c>
      <c r="C829">
        <v>2755</v>
      </c>
      <c r="D829">
        <v>828</v>
      </c>
      <c r="E829">
        <v>6000</v>
      </c>
      <c r="F829" t="s">
        <v>59</v>
      </c>
      <c r="G829">
        <v>3</v>
      </c>
      <c r="H829" t="s">
        <v>133</v>
      </c>
      <c r="I829">
        <v>15</v>
      </c>
      <c r="J829" s="54">
        <f t="shared" si="12"/>
        <v>3</v>
      </c>
    </row>
    <row r="830" spans="1:10">
      <c r="A830" s="43">
        <v>43537</v>
      </c>
      <c r="B830">
        <v>2003</v>
      </c>
      <c r="C830">
        <v>2762</v>
      </c>
      <c r="D830">
        <v>829</v>
      </c>
      <c r="E830">
        <v>9000</v>
      </c>
      <c r="F830" t="s">
        <v>59</v>
      </c>
      <c r="G830">
        <v>13</v>
      </c>
      <c r="H830" t="s">
        <v>133</v>
      </c>
      <c r="I830">
        <v>16</v>
      </c>
      <c r="J830" s="54">
        <f t="shared" si="12"/>
        <v>13</v>
      </c>
    </row>
    <row r="831" spans="1:10">
      <c r="A831" s="43">
        <v>43493</v>
      </c>
      <c r="B831">
        <v>2003</v>
      </c>
      <c r="C831">
        <v>2762</v>
      </c>
      <c r="D831">
        <v>830</v>
      </c>
      <c r="E831">
        <v>8000</v>
      </c>
      <c r="F831" t="s">
        <v>59</v>
      </c>
      <c r="G831">
        <v>100</v>
      </c>
      <c r="H831" t="s">
        <v>60</v>
      </c>
      <c r="I831">
        <v>16</v>
      </c>
      <c r="J831" s="54">
        <f t="shared" si="12"/>
        <v>3</v>
      </c>
    </row>
    <row r="832" spans="1:10">
      <c r="A832" s="43">
        <v>43479</v>
      </c>
      <c r="B832">
        <v>2003</v>
      </c>
      <c r="C832">
        <v>2762</v>
      </c>
      <c r="D832">
        <v>831</v>
      </c>
      <c r="E832">
        <v>9100</v>
      </c>
      <c r="F832" t="s">
        <v>59</v>
      </c>
      <c r="G832">
        <v>8</v>
      </c>
      <c r="H832" t="s">
        <v>133</v>
      </c>
      <c r="I832">
        <v>16</v>
      </c>
      <c r="J832" s="54">
        <f t="shared" si="12"/>
        <v>8</v>
      </c>
    </row>
    <row r="833" spans="1:10">
      <c r="A833" s="43">
        <v>43201</v>
      </c>
      <c r="B833">
        <v>2003</v>
      </c>
      <c r="C833">
        <v>2762</v>
      </c>
      <c r="D833">
        <v>832</v>
      </c>
      <c r="E833">
        <v>10720</v>
      </c>
      <c r="F833" t="s">
        <v>59</v>
      </c>
      <c r="G833">
        <v>12</v>
      </c>
      <c r="H833" t="s">
        <v>133</v>
      </c>
      <c r="I833">
        <v>16</v>
      </c>
      <c r="J833" s="54">
        <f t="shared" si="12"/>
        <v>12</v>
      </c>
    </row>
    <row r="834" spans="1:10">
      <c r="A834" s="43">
        <v>43182</v>
      </c>
      <c r="B834">
        <v>2003</v>
      </c>
      <c r="C834">
        <v>2762</v>
      </c>
      <c r="D834">
        <v>833</v>
      </c>
      <c r="E834">
        <v>10500</v>
      </c>
      <c r="F834" t="s">
        <v>59</v>
      </c>
      <c r="G834">
        <v>6</v>
      </c>
      <c r="H834" t="s">
        <v>133</v>
      </c>
      <c r="I834">
        <v>16</v>
      </c>
      <c r="J834" s="54">
        <f t="shared" ref="J834:J897" si="13">IF(H834="days",ROUND(G834/30,0),IF(H834="years",G834*12,G834))</f>
        <v>6</v>
      </c>
    </row>
    <row r="835" spans="1:10">
      <c r="A835" s="43">
        <v>42750</v>
      </c>
      <c r="B835">
        <v>2003</v>
      </c>
      <c r="C835">
        <v>2762</v>
      </c>
      <c r="D835">
        <v>834</v>
      </c>
      <c r="E835">
        <v>6300</v>
      </c>
      <c r="F835" t="s">
        <v>59</v>
      </c>
      <c r="G835">
        <v>12</v>
      </c>
      <c r="H835" t="s">
        <v>133</v>
      </c>
      <c r="I835">
        <v>16</v>
      </c>
      <c r="J835" s="54">
        <f t="shared" si="13"/>
        <v>12</v>
      </c>
    </row>
    <row r="836" spans="1:10">
      <c r="A836" s="43">
        <v>42689</v>
      </c>
      <c r="B836">
        <v>2003</v>
      </c>
      <c r="C836">
        <v>2762</v>
      </c>
      <c r="D836">
        <v>835</v>
      </c>
      <c r="E836">
        <v>5500</v>
      </c>
      <c r="F836" t="s">
        <v>59</v>
      </c>
      <c r="G836">
        <v>9</v>
      </c>
      <c r="H836" t="s">
        <v>133</v>
      </c>
      <c r="I836">
        <v>16</v>
      </c>
      <c r="J836" s="54">
        <f t="shared" si="13"/>
        <v>9</v>
      </c>
    </row>
    <row r="837" spans="1:10">
      <c r="A837" s="43">
        <v>42460</v>
      </c>
      <c r="B837">
        <v>2003</v>
      </c>
      <c r="C837">
        <v>2762</v>
      </c>
      <c r="D837">
        <v>836</v>
      </c>
      <c r="E837">
        <v>5500</v>
      </c>
      <c r="F837" t="s">
        <v>59</v>
      </c>
      <c r="G837">
        <v>8</v>
      </c>
      <c r="H837" t="s">
        <v>133</v>
      </c>
      <c r="I837">
        <v>16</v>
      </c>
      <c r="J837" s="54">
        <f t="shared" si="13"/>
        <v>8</v>
      </c>
    </row>
    <row r="838" spans="1:10">
      <c r="A838" s="43">
        <v>42415</v>
      </c>
      <c r="B838">
        <v>2003</v>
      </c>
      <c r="C838">
        <v>2762</v>
      </c>
      <c r="D838">
        <v>837</v>
      </c>
      <c r="E838">
        <v>6500</v>
      </c>
      <c r="F838" t="s">
        <v>59</v>
      </c>
      <c r="G838">
        <v>11</v>
      </c>
      <c r="H838" t="s">
        <v>133</v>
      </c>
      <c r="I838">
        <v>16</v>
      </c>
      <c r="J838" s="54">
        <f t="shared" si="13"/>
        <v>11</v>
      </c>
    </row>
    <row r="839" spans="1:10">
      <c r="A839" s="43">
        <v>43514</v>
      </c>
      <c r="B839">
        <v>2002</v>
      </c>
      <c r="C839">
        <v>2764</v>
      </c>
      <c r="D839">
        <v>838</v>
      </c>
      <c r="E839">
        <v>8900</v>
      </c>
      <c r="F839" t="s">
        <v>59</v>
      </c>
      <c r="G839">
        <v>12</v>
      </c>
      <c r="H839" t="s">
        <v>133</v>
      </c>
      <c r="I839">
        <v>17</v>
      </c>
      <c r="J839" s="54">
        <f t="shared" si="13"/>
        <v>12</v>
      </c>
    </row>
    <row r="840" spans="1:10">
      <c r="A840" s="43">
        <v>43510</v>
      </c>
      <c r="B840">
        <v>2001</v>
      </c>
      <c r="C840">
        <v>2764</v>
      </c>
      <c r="D840">
        <v>839</v>
      </c>
      <c r="E840">
        <v>9250</v>
      </c>
      <c r="F840" t="s">
        <v>59</v>
      </c>
      <c r="G840">
        <v>6</v>
      </c>
      <c r="H840" t="s">
        <v>133</v>
      </c>
      <c r="I840">
        <v>18</v>
      </c>
      <c r="J840" s="54">
        <f t="shared" si="13"/>
        <v>6</v>
      </c>
    </row>
    <row r="841" spans="1:10">
      <c r="A841" s="43">
        <v>43493</v>
      </c>
      <c r="B841">
        <v>2004</v>
      </c>
      <c r="C841">
        <v>2764</v>
      </c>
      <c r="D841">
        <v>840</v>
      </c>
      <c r="E841">
        <v>9000</v>
      </c>
      <c r="F841" t="s">
        <v>59</v>
      </c>
      <c r="G841">
        <v>9</v>
      </c>
      <c r="H841" t="s">
        <v>133</v>
      </c>
      <c r="I841">
        <v>15</v>
      </c>
      <c r="J841" s="54">
        <f t="shared" si="13"/>
        <v>9</v>
      </c>
    </row>
    <row r="842" spans="1:10">
      <c r="A842" s="43">
        <v>43361</v>
      </c>
      <c r="B842">
        <v>2001</v>
      </c>
      <c r="C842">
        <v>2764</v>
      </c>
      <c r="D842">
        <v>841</v>
      </c>
      <c r="E842">
        <v>11500</v>
      </c>
      <c r="F842" t="s">
        <v>59</v>
      </c>
      <c r="G842">
        <v>7</v>
      </c>
      <c r="H842" t="s">
        <v>133</v>
      </c>
      <c r="I842">
        <v>18</v>
      </c>
      <c r="J842" s="54">
        <f t="shared" si="13"/>
        <v>7</v>
      </c>
    </row>
    <row r="843" spans="1:10">
      <c r="A843" s="43">
        <v>43195</v>
      </c>
      <c r="B843">
        <v>2001</v>
      </c>
      <c r="C843">
        <v>2764</v>
      </c>
      <c r="D843">
        <v>842</v>
      </c>
      <c r="E843">
        <v>10500</v>
      </c>
      <c r="F843" t="s">
        <v>59</v>
      </c>
      <c r="G843">
        <v>6</v>
      </c>
      <c r="H843" t="s">
        <v>133</v>
      </c>
      <c r="I843">
        <v>18</v>
      </c>
      <c r="J843" s="54">
        <f t="shared" si="13"/>
        <v>6</v>
      </c>
    </row>
    <row r="844" spans="1:10">
      <c r="A844" s="43">
        <v>43115</v>
      </c>
      <c r="B844">
        <v>2002</v>
      </c>
      <c r="C844">
        <v>2764</v>
      </c>
      <c r="D844">
        <v>843</v>
      </c>
      <c r="E844">
        <v>9500</v>
      </c>
      <c r="F844" t="s">
        <v>59</v>
      </c>
      <c r="G844">
        <v>12</v>
      </c>
      <c r="H844" t="s">
        <v>133</v>
      </c>
      <c r="I844">
        <v>17</v>
      </c>
      <c r="J844" s="54">
        <f t="shared" si="13"/>
        <v>12</v>
      </c>
    </row>
    <row r="845" spans="1:10">
      <c r="A845" s="43">
        <v>43076</v>
      </c>
      <c r="B845">
        <v>2002</v>
      </c>
      <c r="C845">
        <v>2764</v>
      </c>
      <c r="D845">
        <v>844</v>
      </c>
      <c r="E845">
        <v>8750</v>
      </c>
      <c r="F845" t="s">
        <v>59</v>
      </c>
      <c r="G845">
        <v>70</v>
      </c>
      <c r="H845" t="s">
        <v>60</v>
      </c>
      <c r="I845">
        <v>17</v>
      </c>
      <c r="J845" s="54">
        <f t="shared" si="13"/>
        <v>2</v>
      </c>
    </row>
    <row r="846" spans="1:10">
      <c r="A846" s="43">
        <v>43055</v>
      </c>
      <c r="B846">
        <v>2001</v>
      </c>
      <c r="C846">
        <v>2764</v>
      </c>
      <c r="D846">
        <v>845</v>
      </c>
      <c r="E846">
        <v>8500</v>
      </c>
      <c r="F846" t="s">
        <v>59</v>
      </c>
      <c r="G846">
        <v>5</v>
      </c>
      <c r="H846" t="s">
        <v>133</v>
      </c>
      <c r="I846">
        <v>18</v>
      </c>
      <c r="J846" s="54">
        <f t="shared" si="13"/>
        <v>5</v>
      </c>
    </row>
    <row r="847" spans="1:10">
      <c r="A847" s="43">
        <v>42822</v>
      </c>
      <c r="B847">
        <v>2002</v>
      </c>
      <c r="C847">
        <v>2764</v>
      </c>
      <c r="D847">
        <v>846</v>
      </c>
      <c r="E847">
        <v>9000</v>
      </c>
      <c r="F847" t="s">
        <v>59</v>
      </c>
      <c r="G847">
        <v>9</v>
      </c>
      <c r="H847" t="s">
        <v>133</v>
      </c>
      <c r="I847">
        <v>17</v>
      </c>
      <c r="J847" s="54">
        <f t="shared" si="13"/>
        <v>9</v>
      </c>
    </row>
    <row r="848" spans="1:10">
      <c r="A848" s="43">
        <v>42803</v>
      </c>
      <c r="B848">
        <v>2001</v>
      </c>
      <c r="C848">
        <v>2764</v>
      </c>
      <c r="D848">
        <v>847</v>
      </c>
      <c r="E848">
        <v>6400</v>
      </c>
      <c r="F848" t="s">
        <v>59</v>
      </c>
      <c r="G848">
        <v>6</v>
      </c>
      <c r="H848" t="s">
        <v>133</v>
      </c>
      <c r="I848">
        <v>18</v>
      </c>
      <c r="J848" s="54">
        <f t="shared" si="13"/>
        <v>6</v>
      </c>
    </row>
    <row r="849" spans="1:10">
      <c r="A849" s="43">
        <v>42760</v>
      </c>
      <c r="B849">
        <v>2001</v>
      </c>
      <c r="C849">
        <v>2764</v>
      </c>
      <c r="D849">
        <v>848</v>
      </c>
      <c r="E849">
        <v>6000</v>
      </c>
      <c r="F849" t="s">
        <v>59</v>
      </c>
      <c r="G849">
        <v>2</v>
      </c>
      <c r="H849" t="s">
        <v>133</v>
      </c>
      <c r="I849">
        <v>18</v>
      </c>
      <c r="J849" s="54">
        <f t="shared" si="13"/>
        <v>2</v>
      </c>
    </row>
    <row r="850" spans="1:10">
      <c r="A850" s="43">
        <v>42585</v>
      </c>
      <c r="B850">
        <v>2002</v>
      </c>
      <c r="C850">
        <v>2764</v>
      </c>
      <c r="D850">
        <v>849</v>
      </c>
      <c r="E850">
        <v>6000</v>
      </c>
      <c r="F850" t="s">
        <v>59</v>
      </c>
      <c r="G850">
        <v>9</v>
      </c>
      <c r="H850" t="s">
        <v>133</v>
      </c>
      <c r="I850">
        <v>17</v>
      </c>
      <c r="J850" s="54">
        <f t="shared" si="13"/>
        <v>9</v>
      </c>
    </row>
    <row r="851" spans="1:10">
      <c r="A851" s="43">
        <v>42375</v>
      </c>
      <c r="B851">
        <v>2001</v>
      </c>
      <c r="C851">
        <v>2764</v>
      </c>
      <c r="D851">
        <v>850</v>
      </c>
      <c r="E851">
        <v>6100</v>
      </c>
      <c r="F851" t="s">
        <v>59</v>
      </c>
      <c r="G851">
        <v>8</v>
      </c>
      <c r="H851" t="s">
        <v>133</v>
      </c>
      <c r="I851">
        <v>18</v>
      </c>
      <c r="J851" s="54">
        <f t="shared" si="13"/>
        <v>8</v>
      </c>
    </row>
    <row r="852" spans="1:10">
      <c r="A852" s="43">
        <v>42587</v>
      </c>
      <c r="B852">
        <v>2005</v>
      </c>
      <c r="C852">
        <v>2775</v>
      </c>
      <c r="D852">
        <v>851</v>
      </c>
      <c r="E852">
        <v>6750</v>
      </c>
      <c r="F852" t="s">
        <v>59</v>
      </c>
      <c r="G852">
        <v>7</v>
      </c>
      <c r="H852" t="s">
        <v>133</v>
      </c>
      <c r="I852">
        <v>14</v>
      </c>
      <c r="J852" s="54">
        <f t="shared" si="13"/>
        <v>7</v>
      </c>
    </row>
    <row r="853" spans="1:10">
      <c r="A853" s="43">
        <v>43587</v>
      </c>
      <c r="B853">
        <v>2003</v>
      </c>
      <c r="C853">
        <v>2824</v>
      </c>
      <c r="D853">
        <v>852</v>
      </c>
      <c r="E853">
        <v>8500</v>
      </c>
      <c r="F853" t="s">
        <v>59</v>
      </c>
      <c r="G853">
        <v>6</v>
      </c>
      <c r="H853" t="s">
        <v>133</v>
      </c>
      <c r="I853">
        <v>16</v>
      </c>
      <c r="J853" s="54">
        <f t="shared" si="13"/>
        <v>6</v>
      </c>
    </row>
    <row r="854" spans="1:10">
      <c r="A854" s="43">
        <v>43551</v>
      </c>
      <c r="B854">
        <v>2003</v>
      </c>
      <c r="C854">
        <v>2824</v>
      </c>
      <c r="D854">
        <v>853</v>
      </c>
      <c r="E854">
        <v>8150</v>
      </c>
      <c r="F854" t="s">
        <v>59</v>
      </c>
      <c r="G854">
        <v>7</v>
      </c>
      <c r="H854" t="s">
        <v>133</v>
      </c>
      <c r="I854">
        <v>16</v>
      </c>
      <c r="J854" s="54">
        <f t="shared" si="13"/>
        <v>7</v>
      </c>
    </row>
    <row r="855" spans="1:10">
      <c r="A855" s="43">
        <v>43549</v>
      </c>
      <c r="B855">
        <v>2003</v>
      </c>
      <c r="C855">
        <v>2824</v>
      </c>
      <c r="D855">
        <v>854</v>
      </c>
      <c r="E855">
        <v>9600</v>
      </c>
      <c r="F855" t="s">
        <v>59</v>
      </c>
      <c r="G855">
        <v>12</v>
      </c>
      <c r="H855" t="s">
        <v>133</v>
      </c>
      <c r="I855">
        <v>16</v>
      </c>
      <c r="J855" s="54">
        <f t="shared" si="13"/>
        <v>12</v>
      </c>
    </row>
    <row r="856" spans="1:10">
      <c r="A856" s="43">
        <v>43549</v>
      </c>
      <c r="B856">
        <v>2003</v>
      </c>
      <c r="C856">
        <v>2824</v>
      </c>
      <c r="D856">
        <v>855</v>
      </c>
      <c r="E856">
        <v>8500</v>
      </c>
      <c r="F856" t="s">
        <v>59</v>
      </c>
      <c r="G856">
        <v>6</v>
      </c>
      <c r="H856" t="s">
        <v>133</v>
      </c>
      <c r="I856">
        <v>16</v>
      </c>
      <c r="J856" s="54">
        <f t="shared" si="13"/>
        <v>6</v>
      </c>
    </row>
    <row r="857" spans="1:10">
      <c r="A857" s="43">
        <v>43497</v>
      </c>
      <c r="B857">
        <v>2005</v>
      </c>
      <c r="C857">
        <v>2824</v>
      </c>
      <c r="D857">
        <v>856</v>
      </c>
      <c r="E857">
        <v>9000</v>
      </c>
      <c r="F857" t="s">
        <v>59</v>
      </c>
      <c r="G857">
        <v>100</v>
      </c>
      <c r="H857" t="s">
        <v>60</v>
      </c>
      <c r="I857">
        <v>14</v>
      </c>
      <c r="J857" s="54">
        <f t="shared" si="13"/>
        <v>3</v>
      </c>
    </row>
    <row r="858" spans="1:10">
      <c r="A858" s="43">
        <v>43495</v>
      </c>
      <c r="B858">
        <v>2002</v>
      </c>
      <c r="C858">
        <v>2824</v>
      </c>
      <c r="D858">
        <v>857</v>
      </c>
      <c r="E858">
        <v>8000</v>
      </c>
      <c r="F858" t="s">
        <v>59</v>
      </c>
      <c r="G858">
        <v>8</v>
      </c>
      <c r="H858" t="s">
        <v>133</v>
      </c>
      <c r="I858">
        <v>17</v>
      </c>
      <c r="J858" s="54">
        <f t="shared" si="13"/>
        <v>8</v>
      </c>
    </row>
    <row r="859" spans="1:10">
      <c r="A859" s="43">
        <v>43480</v>
      </c>
      <c r="B859">
        <v>2003</v>
      </c>
      <c r="C859">
        <v>2824</v>
      </c>
      <c r="D859">
        <v>858</v>
      </c>
      <c r="E859">
        <v>8000</v>
      </c>
      <c r="F859" t="s">
        <v>59</v>
      </c>
      <c r="G859">
        <v>12</v>
      </c>
      <c r="H859" t="s">
        <v>133</v>
      </c>
      <c r="I859">
        <v>16</v>
      </c>
      <c r="J859" s="54">
        <f t="shared" si="13"/>
        <v>12</v>
      </c>
    </row>
    <row r="860" spans="1:10">
      <c r="A860" s="43">
        <v>43468</v>
      </c>
      <c r="B860">
        <v>2003</v>
      </c>
      <c r="C860">
        <v>2824</v>
      </c>
      <c r="D860">
        <v>859</v>
      </c>
      <c r="E860">
        <v>8500</v>
      </c>
      <c r="F860" t="s">
        <v>59</v>
      </c>
      <c r="G860">
        <v>50</v>
      </c>
      <c r="H860" t="s">
        <v>60</v>
      </c>
      <c r="I860">
        <v>16</v>
      </c>
      <c r="J860" s="54">
        <f t="shared" si="13"/>
        <v>2</v>
      </c>
    </row>
    <row r="861" spans="1:10">
      <c r="A861" s="43">
        <v>43458</v>
      </c>
      <c r="B861">
        <v>2003</v>
      </c>
      <c r="C861">
        <v>2824</v>
      </c>
      <c r="D861">
        <v>860</v>
      </c>
      <c r="E861">
        <v>8500</v>
      </c>
      <c r="F861" t="s">
        <v>59</v>
      </c>
      <c r="G861">
        <v>50</v>
      </c>
      <c r="H861" t="s">
        <v>60</v>
      </c>
      <c r="I861">
        <v>16</v>
      </c>
      <c r="J861" s="54">
        <f t="shared" si="13"/>
        <v>2</v>
      </c>
    </row>
    <row r="862" spans="1:10">
      <c r="A862" s="43">
        <v>43425</v>
      </c>
      <c r="B862">
        <v>2003</v>
      </c>
      <c r="C862">
        <v>2824</v>
      </c>
      <c r="D862">
        <v>861</v>
      </c>
      <c r="E862">
        <v>9500</v>
      </c>
      <c r="F862" t="s">
        <v>59</v>
      </c>
      <c r="G862">
        <v>50</v>
      </c>
      <c r="H862" t="s">
        <v>60</v>
      </c>
      <c r="I862">
        <v>16</v>
      </c>
      <c r="J862" s="54">
        <f t="shared" si="13"/>
        <v>2</v>
      </c>
    </row>
    <row r="863" spans="1:10">
      <c r="A863" s="43">
        <v>43418</v>
      </c>
      <c r="B863">
        <v>2005</v>
      </c>
      <c r="C863">
        <v>2824</v>
      </c>
      <c r="D863">
        <v>862</v>
      </c>
      <c r="E863">
        <v>10000</v>
      </c>
      <c r="F863" t="s">
        <v>59</v>
      </c>
      <c r="G863">
        <v>4</v>
      </c>
      <c r="H863" t="s">
        <v>133</v>
      </c>
      <c r="I863">
        <v>14</v>
      </c>
      <c r="J863" s="54">
        <f t="shared" si="13"/>
        <v>4</v>
      </c>
    </row>
    <row r="864" spans="1:10">
      <c r="A864" s="43">
        <v>43410</v>
      </c>
      <c r="B864">
        <v>2002</v>
      </c>
      <c r="C864">
        <v>2824</v>
      </c>
      <c r="D864">
        <v>863</v>
      </c>
      <c r="E864">
        <v>9100</v>
      </c>
      <c r="F864" t="s">
        <v>59</v>
      </c>
      <c r="G864">
        <v>7</v>
      </c>
      <c r="H864" t="s">
        <v>133</v>
      </c>
      <c r="I864">
        <v>17</v>
      </c>
      <c r="J864" s="54">
        <f t="shared" si="13"/>
        <v>7</v>
      </c>
    </row>
    <row r="865" spans="1:10">
      <c r="A865" s="43">
        <v>43395</v>
      </c>
      <c r="B865">
        <v>2003</v>
      </c>
      <c r="C865">
        <v>2824</v>
      </c>
      <c r="D865">
        <v>864</v>
      </c>
      <c r="E865">
        <v>10550</v>
      </c>
      <c r="F865" t="s">
        <v>59</v>
      </c>
      <c r="G865">
        <v>6</v>
      </c>
      <c r="H865" t="s">
        <v>133</v>
      </c>
      <c r="I865">
        <v>16</v>
      </c>
      <c r="J865" s="54">
        <f t="shared" si="13"/>
        <v>6</v>
      </c>
    </row>
    <row r="866" spans="1:10">
      <c r="A866" s="43">
        <v>43327</v>
      </c>
      <c r="B866">
        <v>2003</v>
      </c>
      <c r="C866">
        <v>2824</v>
      </c>
      <c r="D866">
        <v>865</v>
      </c>
      <c r="E866">
        <v>10750</v>
      </c>
      <c r="F866" t="s">
        <v>59</v>
      </c>
      <c r="G866">
        <v>9</v>
      </c>
      <c r="H866" t="s">
        <v>133</v>
      </c>
      <c r="I866">
        <v>16</v>
      </c>
      <c r="J866" s="54">
        <f t="shared" si="13"/>
        <v>9</v>
      </c>
    </row>
    <row r="867" spans="1:10">
      <c r="A867" s="43">
        <v>43321</v>
      </c>
      <c r="B867">
        <v>2003</v>
      </c>
      <c r="C867">
        <v>2824</v>
      </c>
      <c r="D867">
        <v>866</v>
      </c>
      <c r="E867">
        <v>10150</v>
      </c>
      <c r="F867" t="s">
        <v>59</v>
      </c>
      <c r="G867">
        <v>4</v>
      </c>
      <c r="H867" t="s">
        <v>133</v>
      </c>
      <c r="I867">
        <v>16</v>
      </c>
      <c r="J867" s="54">
        <f t="shared" si="13"/>
        <v>4</v>
      </c>
    </row>
    <row r="868" spans="1:10">
      <c r="A868" s="43">
        <v>43318</v>
      </c>
      <c r="B868">
        <v>2005</v>
      </c>
      <c r="C868">
        <v>2824</v>
      </c>
      <c r="D868">
        <v>867</v>
      </c>
      <c r="E868">
        <v>11400</v>
      </c>
      <c r="F868" t="s">
        <v>59</v>
      </c>
      <c r="G868">
        <v>6</v>
      </c>
      <c r="H868" t="s">
        <v>133</v>
      </c>
      <c r="I868">
        <v>14</v>
      </c>
      <c r="J868" s="54">
        <f t="shared" si="13"/>
        <v>6</v>
      </c>
    </row>
    <row r="869" spans="1:10">
      <c r="A869" s="43">
        <v>43308</v>
      </c>
      <c r="B869">
        <v>2005</v>
      </c>
      <c r="C869">
        <v>2824</v>
      </c>
      <c r="D869">
        <v>868</v>
      </c>
      <c r="E869">
        <v>10900</v>
      </c>
      <c r="F869" t="s">
        <v>59</v>
      </c>
      <c r="G869">
        <v>6</v>
      </c>
      <c r="H869" t="s">
        <v>133</v>
      </c>
      <c r="I869">
        <v>14</v>
      </c>
      <c r="J869" s="54">
        <f t="shared" si="13"/>
        <v>6</v>
      </c>
    </row>
    <row r="870" spans="1:10">
      <c r="A870" s="43">
        <v>43301</v>
      </c>
      <c r="B870">
        <v>2005</v>
      </c>
      <c r="C870">
        <v>2824</v>
      </c>
      <c r="D870">
        <v>869</v>
      </c>
      <c r="E870">
        <v>11400</v>
      </c>
      <c r="F870" t="s">
        <v>59</v>
      </c>
      <c r="G870">
        <v>8</v>
      </c>
      <c r="H870" t="s">
        <v>133</v>
      </c>
      <c r="I870">
        <v>14</v>
      </c>
      <c r="J870" s="54">
        <f t="shared" si="13"/>
        <v>8</v>
      </c>
    </row>
    <row r="871" spans="1:10">
      <c r="A871" s="43">
        <v>43293</v>
      </c>
      <c r="B871">
        <v>2005</v>
      </c>
      <c r="C871">
        <v>2824</v>
      </c>
      <c r="D871">
        <v>870</v>
      </c>
      <c r="E871">
        <v>11750</v>
      </c>
      <c r="F871" t="s">
        <v>59</v>
      </c>
      <c r="G871">
        <v>40</v>
      </c>
      <c r="H871" t="s">
        <v>60</v>
      </c>
      <c r="I871">
        <v>14</v>
      </c>
      <c r="J871" s="54">
        <f t="shared" si="13"/>
        <v>1</v>
      </c>
    </row>
    <row r="872" spans="1:10">
      <c r="A872" s="43">
        <v>43191</v>
      </c>
      <c r="B872">
        <v>2005</v>
      </c>
      <c r="C872">
        <v>2824</v>
      </c>
      <c r="D872">
        <v>871</v>
      </c>
      <c r="E872">
        <v>10400</v>
      </c>
      <c r="F872" t="s">
        <v>59</v>
      </c>
      <c r="G872">
        <v>7</v>
      </c>
      <c r="H872" t="s">
        <v>133</v>
      </c>
      <c r="I872">
        <v>14</v>
      </c>
      <c r="J872" s="54">
        <f t="shared" si="13"/>
        <v>7</v>
      </c>
    </row>
    <row r="873" spans="1:10">
      <c r="A873" s="43">
        <v>43187</v>
      </c>
      <c r="B873">
        <v>2003</v>
      </c>
      <c r="C873">
        <v>2824</v>
      </c>
      <c r="D873">
        <v>872</v>
      </c>
      <c r="E873">
        <v>10500</v>
      </c>
      <c r="F873" t="s">
        <v>59</v>
      </c>
      <c r="G873">
        <v>12</v>
      </c>
      <c r="H873" t="s">
        <v>133</v>
      </c>
      <c r="I873">
        <v>16</v>
      </c>
      <c r="J873" s="54">
        <f t="shared" si="13"/>
        <v>12</v>
      </c>
    </row>
    <row r="874" spans="1:10">
      <c r="A874" s="43">
        <v>43172</v>
      </c>
      <c r="B874">
        <v>2003</v>
      </c>
      <c r="C874">
        <v>2824</v>
      </c>
      <c r="D874">
        <v>873</v>
      </c>
      <c r="E874">
        <v>9250</v>
      </c>
      <c r="F874" t="s">
        <v>59</v>
      </c>
      <c r="G874">
        <v>5</v>
      </c>
      <c r="H874" t="s">
        <v>133</v>
      </c>
      <c r="I874">
        <v>16</v>
      </c>
      <c r="J874" s="54">
        <f t="shared" si="13"/>
        <v>5</v>
      </c>
    </row>
    <row r="875" spans="1:10">
      <c r="A875" s="43">
        <v>43160</v>
      </c>
      <c r="B875">
        <v>2005</v>
      </c>
      <c r="C875">
        <v>2824</v>
      </c>
      <c r="D875">
        <v>874</v>
      </c>
      <c r="E875">
        <v>9000</v>
      </c>
      <c r="F875" t="s">
        <v>59</v>
      </c>
      <c r="G875">
        <v>13</v>
      </c>
      <c r="H875" t="s">
        <v>133</v>
      </c>
      <c r="I875">
        <v>14</v>
      </c>
      <c r="J875" s="54">
        <f t="shared" si="13"/>
        <v>13</v>
      </c>
    </row>
    <row r="876" spans="1:10">
      <c r="A876" s="43">
        <v>43151</v>
      </c>
      <c r="B876">
        <v>2002</v>
      </c>
      <c r="C876">
        <v>2824</v>
      </c>
      <c r="D876">
        <v>875</v>
      </c>
      <c r="E876">
        <v>9100</v>
      </c>
      <c r="F876" t="s">
        <v>59</v>
      </c>
      <c r="G876">
        <v>8</v>
      </c>
      <c r="H876" t="s">
        <v>133</v>
      </c>
      <c r="I876">
        <v>17</v>
      </c>
      <c r="J876" s="54">
        <f t="shared" si="13"/>
        <v>8</v>
      </c>
    </row>
    <row r="877" spans="1:10">
      <c r="A877" s="43">
        <v>43130</v>
      </c>
      <c r="B877">
        <v>2005</v>
      </c>
      <c r="C877">
        <v>2824</v>
      </c>
      <c r="D877">
        <v>876</v>
      </c>
      <c r="E877">
        <v>9000</v>
      </c>
      <c r="F877" t="s">
        <v>59</v>
      </c>
      <c r="G877">
        <v>120</v>
      </c>
      <c r="H877" t="s">
        <v>60</v>
      </c>
      <c r="I877">
        <v>14</v>
      </c>
      <c r="J877" s="54">
        <f t="shared" si="13"/>
        <v>4</v>
      </c>
    </row>
    <row r="878" spans="1:10">
      <c r="A878" s="43">
        <v>43115</v>
      </c>
      <c r="B878">
        <v>2005</v>
      </c>
      <c r="C878">
        <v>2824</v>
      </c>
      <c r="D878">
        <v>877</v>
      </c>
      <c r="E878">
        <v>9000</v>
      </c>
      <c r="F878" t="s">
        <v>59</v>
      </c>
      <c r="G878">
        <v>6</v>
      </c>
      <c r="H878" t="s">
        <v>133</v>
      </c>
      <c r="I878">
        <v>14</v>
      </c>
      <c r="J878" s="54">
        <f t="shared" si="13"/>
        <v>6</v>
      </c>
    </row>
    <row r="879" spans="1:10">
      <c r="A879" s="43">
        <v>43115</v>
      </c>
      <c r="B879">
        <v>2003</v>
      </c>
      <c r="C879">
        <v>2824</v>
      </c>
      <c r="D879">
        <v>878</v>
      </c>
      <c r="E879">
        <v>9100</v>
      </c>
      <c r="F879" t="s">
        <v>59</v>
      </c>
      <c r="G879">
        <v>70</v>
      </c>
      <c r="H879" t="s">
        <v>60</v>
      </c>
      <c r="I879">
        <v>16</v>
      </c>
      <c r="J879" s="54">
        <f t="shared" si="13"/>
        <v>2</v>
      </c>
    </row>
    <row r="880" spans="1:10">
      <c r="A880" s="43">
        <v>43109</v>
      </c>
      <c r="B880">
        <v>2003</v>
      </c>
      <c r="C880">
        <v>2824</v>
      </c>
      <c r="D880">
        <v>879</v>
      </c>
      <c r="E880">
        <v>9000</v>
      </c>
      <c r="F880" t="s">
        <v>59</v>
      </c>
      <c r="G880">
        <v>35</v>
      </c>
      <c r="H880" t="s">
        <v>60</v>
      </c>
      <c r="I880">
        <v>16</v>
      </c>
      <c r="J880" s="54">
        <f t="shared" si="13"/>
        <v>1</v>
      </c>
    </row>
    <row r="881" spans="1:10">
      <c r="A881" s="43">
        <v>43109</v>
      </c>
      <c r="B881">
        <v>2003</v>
      </c>
      <c r="C881">
        <v>2824</v>
      </c>
      <c r="D881">
        <v>880</v>
      </c>
      <c r="E881">
        <v>9000</v>
      </c>
      <c r="F881" t="s">
        <v>59</v>
      </c>
      <c r="G881">
        <v>35</v>
      </c>
      <c r="H881" t="s">
        <v>60</v>
      </c>
      <c r="I881">
        <v>16</v>
      </c>
      <c r="J881" s="54">
        <f t="shared" si="13"/>
        <v>1</v>
      </c>
    </row>
    <row r="882" spans="1:10">
      <c r="A882" s="43">
        <v>43074</v>
      </c>
      <c r="B882">
        <v>2002</v>
      </c>
      <c r="C882">
        <v>2824</v>
      </c>
      <c r="D882">
        <v>881</v>
      </c>
      <c r="E882">
        <v>9200</v>
      </c>
      <c r="F882" t="s">
        <v>59</v>
      </c>
      <c r="G882">
        <v>56</v>
      </c>
      <c r="H882" t="s">
        <v>60</v>
      </c>
      <c r="I882">
        <v>17</v>
      </c>
      <c r="J882" s="54">
        <f t="shared" si="13"/>
        <v>2</v>
      </c>
    </row>
    <row r="883" spans="1:10">
      <c r="A883" s="43">
        <v>43073</v>
      </c>
      <c r="B883">
        <v>2003</v>
      </c>
      <c r="C883">
        <v>2824</v>
      </c>
      <c r="D883">
        <v>882</v>
      </c>
      <c r="E883">
        <v>9200</v>
      </c>
      <c r="F883" t="s">
        <v>59</v>
      </c>
      <c r="G883">
        <v>1</v>
      </c>
      <c r="H883" t="s">
        <v>133</v>
      </c>
      <c r="I883">
        <v>16</v>
      </c>
      <c r="J883" s="54">
        <f t="shared" si="13"/>
        <v>1</v>
      </c>
    </row>
    <row r="884" spans="1:10">
      <c r="A884" s="43">
        <v>43073</v>
      </c>
      <c r="B884">
        <v>2005</v>
      </c>
      <c r="C884">
        <v>2824</v>
      </c>
      <c r="D884">
        <v>883</v>
      </c>
      <c r="E884">
        <v>8650</v>
      </c>
      <c r="F884" t="s">
        <v>59</v>
      </c>
      <c r="G884">
        <v>8</v>
      </c>
      <c r="H884" t="s">
        <v>133</v>
      </c>
      <c r="I884">
        <v>14</v>
      </c>
      <c r="J884" s="54">
        <f t="shared" si="13"/>
        <v>8</v>
      </c>
    </row>
    <row r="885" spans="1:10">
      <c r="A885" s="43">
        <v>43054</v>
      </c>
      <c r="B885">
        <v>2003</v>
      </c>
      <c r="C885">
        <v>2824</v>
      </c>
      <c r="D885">
        <v>884</v>
      </c>
      <c r="E885">
        <v>9300</v>
      </c>
      <c r="F885" t="s">
        <v>59</v>
      </c>
      <c r="G885">
        <v>30</v>
      </c>
      <c r="H885" t="s">
        <v>60</v>
      </c>
      <c r="I885">
        <v>16</v>
      </c>
      <c r="J885" s="54">
        <f t="shared" si="13"/>
        <v>1</v>
      </c>
    </row>
    <row r="886" spans="1:10">
      <c r="A886" s="43">
        <v>43040</v>
      </c>
      <c r="B886">
        <v>2003</v>
      </c>
      <c r="C886">
        <v>2824</v>
      </c>
      <c r="D886">
        <v>885</v>
      </c>
      <c r="E886">
        <v>9250</v>
      </c>
      <c r="F886" t="s">
        <v>59</v>
      </c>
      <c r="G886">
        <v>7</v>
      </c>
      <c r="H886" t="s">
        <v>133</v>
      </c>
      <c r="I886">
        <v>16</v>
      </c>
      <c r="J886" s="54">
        <f t="shared" si="13"/>
        <v>7</v>
      </c>
    </row>
    <row r="887" spans="1:10">
      <c r="A887" s="43">
        <v>43028</v>
      </c>
      <c r="B887">
        <v>2003</v>
      </c>
      <c r="C887">
        <v>2824</v>
      </c>
      <c r="D887">
        <v>886</v>
      </c>
      <c r="E887">
        <v>9300</v>
      </c>
      <c r="F887" t="s">
        <v>59</v>
      </c>
      <c r="G887">
        <v>1</v>
      </c>
      <c r="H887" t="s">
        <v>133</v>
      </c>
      <c r="I887">
        <v>16</v>
      </c>
      <c r="J887" s="54">
        <f t="shared" si="13"/>
        <v>1</v>
      </c>
    </row>
    <row r="888" spans="1:10">
      <c r="A888" s="43">
        <v>43009</v>
      </c>
      <c r="B888">
        <v>2003</v>
      </c>
      <c r="C888">
        <v>2824</v>
      </c>
      <c r="D888">
        <v>887</v>
      </c>
      <c r="E888">
        <v>9100</v>
      </c>
      <c r="F888" t="s">
        <v>59</v>
      </c>
      <c r="G888">
        <v>5.5</v>
      </c>
      <c r="H888" t="s">
        <v>133</v>
      </c>
      <c r="I888">
        <v>16</v>
      </c>
      <c r="J888" s="54">
        <f t="shared" si="13"/>
        <v>5.5</v>
      </c>
    </row>
    <row r="889" spans="1:10">
      <c r="A889" s="43">
        <v>43005</v>
      </c>
      <c r="B889">
        <v>2005</v>
      </c>
      <c r="C889">
        <v>2824</v>
      </c>
      <c r="D889">
        <v>888</v>
      </c>
      <c r="E889">
        <v>9350</v>
      </c>
      <c r="F889" t="s">
        <v>59</v>
      </c>
      <c r="G889">
        <v>6</v>
      </c>
      <c r="H889" t="s">
        <v>133</v>
      </c>
      <c r="I889">
        <v>14</v>
      </c>
      <c r="J889" s="54">
        <f t="shared" si="13"/>
        <v>6</v>
      </c>
    </row>
    <row r="890" spans="1:10">
      <c r="A890" s="43">
        <v>42936</v>
      </c>
      <c r="B890">
        <v>2005</v>
      </c>
      <c r="C890">
        <v>2824</v>
      </c>
      <c r="D890">
        <v>889</v>
      </c>
      <c r="E890">
        <v>8500</v>
      </c>
      <c r="F890" t="s">
        <v>59</v>
      </c>
      <c r="G890">
        <v>12</v>
      </c>
      <c r="H890" t="s">
        <v>133</v>
      </c>
      <c r="I890">
        <v>14</v>
      </c>
      <c r="J890" s="54">
        <f t="shared" si="13"/>
        <v>12</v>
      </c>
    </row>
    <row r="891" spans="1:10">
      <c r="A891" s="43">
        <v>42887</v>
      </c>
      <c r="B891">
        <v>2003</v>
      </c>
      <c r="C891">
        <v>2824</v>
      </c>
      <c r="D891">
        <v>890</v>
      </c>
      <c r="E891">
        <v>9600</v>
      </c>
      <c r="F891" t="s">
        <v>59</v>
      </c>
      <c r="G891">
        <v>8</v>
      </c>
      <c r="H891" t="s">
        <v>133</v>
      </c>
      <c r="I891">
        <v>16</v>
      </c>
      <c r="J891" s="54">
        <f t="shared" si="13"/>
        <v>8</v>
      </c>
    </row>
    <row r="892" spans="1:10">
      <c r="A892" s="43">
        <v>42870</v>
      </c>
      <c r="B892">
        <v>2003</v>
      </c>
      <c r="C892">
        <v>2824</v>
      </c>
      <c r="D892">
        <v>891</v>
      </c>
      <c r="E892">
        <v>9800</v>
      </c>
      <c r="F892" t="s">
        <v>59</v>
      </c>
      <c r="G892">
        <v>5</v>
      </c>
      <c r="H892" t="s">
        <v>133</v>
      </c>
      <c r="I892">
        <v>16</v>
      </c>
      <c r="J892" s="54">
        <f t="shared" si="13"/>
        <v>5</v>
      </c>
    </row>
    <row r="893" spans="1:10">
      <c r="A893" s="43">
        <v>42846</v>
      </c>
      <c r="B893">
        <v>2003</v>
      </c>
      <c r="C893">
        <v>2824</v>
      </c>
      <c r="D893">
        <v>892</v>
      </c>
      <c r="E893">
        <v>9500</v>
      </c>
      <c r="F893" t="s">
        <v>59</v>
      </c>
      <c r="G893">
        <v>8</v>
      </c>
      <c r="H893" t="s">
        <v>133</v>
      </c>
      <c r="I893">
        <v>16</v>
      </c>
      <c r="J893" s="54">
        <f t="shared" si="13"/>
        <v>8</v>
      </c>
    </row>
    <row r="894" spans="1:10">
      <c r="A894" s="43">
        <v>42831</v>
      </c>
      <c r="B894">
        <v>2005</v>
      </c>
      <c r="C894">
        <v>2824</v>
      </c>
      <c r="D894">
        <v>893</v>
      </c>
      <c r="E894">
        <v>8750</v>
      </c>
      <c r="F894" t="s">
        <v>59</v>
      </c>
      <c r="G894">
        <v>6</v>
      </c>
      <c r="H894" t="s">
        <v>133</v>
      </c>
      <c r="I894">
        <v>14</v>
      </c>
      <c r="J894" s="54">
        <f t="shared" si="13"/>
        <v>6</v>
      </c>
    </row>
    <row r="895" spans="1:10">
      <c r="A895" s="43">
        <v>42830</v>
      </c>
      <c r="B895">
        <v>2003</v>
      </c>
      <c r="C895">
        <v>2824</v>
      </c>
      <c r="D895">
        <v>894</v>
      </c>
      <c r="E895">
        <v>9500</v>
      </c>
      <c r="F895" t="s">
        <v>59</v>
      </c>
      <c r="G895">
        <v>7</v>
      </c>
      <c r="H895" t="s">
        <v>133</v>
      </c>
      <c r="I895">
        <v>16</v>
      </c>
      <c r="J895" s="54">
        <f t="shared" si="13"/>
        <v>7</v>
      </c>
    </row>
    <row r="896" spans="1:10">
      <c r="A896" s="43">
        <v>42830</v>
      </c>
      <c r="B896">
        <v>2003</v>
      </c>
      <c r="C896">
        <v>2824</v>
      </c>
      <c r="D896">
        <v>895</v>
      </c>
      <c r="E896">
        <v>9500</v>
      </c>
      <c r="F896" t="s">
        <v>59</v>
      </c>
      <c r="G896">
        <v>7</v>
      </c>
      <c r="H896" t="s">
        <v>133</v>
      </c>
      <c r="I896">
        <v>16</v>
      </c>
      <c r="J896" s="54">
        <f t="shared" si="13"/>
        <v>7</v>
      </c>
    </row>
    <row r="897" spans="1:10">
      <c r="A897" s="43">
        <v>42814</v>
      </c>
      <c r="B897">
        <v>2005</v>
      </c>
      <c r="C897">
        <v>2824</v>
      </c>
      <c r="D897">
        <v>896</v>
      </c>
      <c r="E897">
        <v>6750</v>
      </c>
      <c r="F897" t="s">
        <v>59</v>
      </c>
      <c r="G897">
        <v>6</v>
      </c>
      <c r="H897" t="s">
        <v>133</v>
      </c>
      <c r="I897">
        <v>14</v>
      </c>
      <c r="J897" s="54">
        <f t="shared" si="13"/>
        <v>6</v>
      </c>
    </row>
    <row r="898" spans="1:10">
      <c r="A898" s="43">
        <v>42807</v>
      </c>
      <c r="B898">
        <v>2003</v>
      </c>
      <c r="C898">
        <v>2824</v>
      </c>
      <c r="D898">
        <v>897</v>
      </c>
      <c r="E898">
        <v>6500</v>
      </c>
      <c r="F898" t="s">
        <v>59</v>
      </c>
      <c r="G898">
        <v>6</v>
      </c>
      <c r="H898" t="s">
        <v>133</v>
      </c>
      <c r="I898">
        <v>16</v>
      </c>
      <c r="J898" s="54">
        <f t="shared" ref="J898:J931" si="14">IF(H898="days",ROUND(G898/30,0),IF(H898="years",G898*12,G898))</f>
        <v>6</v>
      </c>
    </row>
    <row r="899" spans="1:10">
      <c r="A899" s="43">
        <v>42795</v>
      </c>
      <c r="B899">
        <v>2003</v>
      </c>
      <c r="C899">
        <v>2824</v>
      </c>
      <c r="D899">
        <v>898</v>
      </c>
      <c r="E899">
        <v>6500</v>
      </c>
      <c r="F899" t="s">
        <v>59</v>
      </c>
      <c r="G899">
        <v>8</v>
      </c>
      <c r="H899" t="s">
        <v>133</v>
      </c>
      <c r="I899">
        <v>16</v>
      </c>
      <c r="J899" s="54">
        <f t="shared" si="14"/>
        <v>8</v>
      </c>
    </row>
    <row r="900" spans="1:10">
      <c r="A900" s="43">
        <v>42794</v>
      </c>
      <c r="B900">
        <v>2002</v>
      </c>
      <c r="C900">
        <v>2824</v>
      </c>
      <c r="D900">
        <v>899</v>
      </c>
      <c r="E900">
        <v>6300</v>
      </c>
      <c r="F900" t="s">
        <v>59</v>
      </c>
      <c r="G900">
        <v>5</v>
      </c>
      <c r="H900" t="s">
        <v>133</v>
      </c>
      <c r="I900">
        <v>17</v>
      </c>
      <c r="J900" s="54">
        <f t="shared" si="14"/>
        <v>5</v>
      </c>
    </row>
    <row r="901" spans="1:10">
      <c r="A901" s="43">
        <v>42758</v>
      </c>
      <c r="B901">
        <v>2005</v>
      </c>
      <c r="C901">
        <v>2824</v>
      </c>
      <c r="D901">
        <v>900</v>
      </c>
      <c r="E901">
        <v>6000</v>
      </c>
      <c r="F901" t="s">
        <v>59</v>
      </c>
      <c r="G901">
        <v>12</v>
      </c>
      <c r="H901" t="s">
        <v>133</v>
      </c>
      <c r="I901">
        <v>14</v>
      </c>
      <c r="J901" s="54">
        <f t="shared" si="14"/>
        <v>12</v>
      </c>
    </row>
    <row r="902" spans="1:10">
      <c r="A902" s="43">
        <v>42702</v>
      </c>
      <c r="B902">
        <v>2005</v>
      </c>
      <c r="C902">
        <v>2824</v>
      </c>
      <c r="D902">
        <v>901</v>
      </c>
      <c r="E902">
        <v>6000</v>
      </c>
      <c r="F902" t="s">
        <v>59</v>
      </c>
      <c r="G902">
        <v>12</v>
      </c>
      <c r="H902" t="s">
        <v>133</v>
      </c>
      <c r="I902">
        <v>14</v>
      </c>
      <c r="J902" s="54">
        <f t="shared" si="14"/>
        <v>12</v>
      </c>
    </row>
    <row r="903" spans="1:10">
      <c r="A903" s="43">
        <v>42697</v>
      </c>
      <c r="B903">
        <v>2002</v>
      </c>
      <c r="C903">
        <v>2824</v>
      </c>
      <c r="D903">
        <v>902</v>
      </c>
      <c r="E903">
        <v>6000</v>
      </c>
      <c r="F903" t="s">
        <v>59</v>
      </c>
      <c r="G903">
        <v>3</v>
      </c>
      <c r="H903" t="s">
        <v>133</v>
      </c>
      <c r="I903">
        <v>17</v>
      </c>
      <c r="J903" s="54">
        <f t="shared" si="14"/>
        <v>3</v>
      </c>
    </row>
    <row r="904" spans="1:10">
      <c r="A904" s="43">
        <v>42681</v>
      </c>
      <c r="B904">
        <v>2003</v>
      </c>
      <c r="C904">
        <v>2824</v>
      </c>
      <c r="D904">
        <v>903</v>
      </c>
      <c r="E904">
        <v>6000</v>
      </c>
      <c r="F904" t="s">
        <v>59</v>
      </c>
      <c r="G904">
        <v>6</v>
      </c>
      <c r="H904" t="s">
        <v>133</v>
      </c>
      <c r="I904">
        <v>16</v>
      </c>
      <c r="J904" s="54">
        <f t="shared" si="14"/>
        <v>6</v>
      </c>
    </row>
    <row r="905" spans="1:10">
      <c r="A905" s="43">
        <v>42632</v>
      </c>
      <c r="B905">
        <v>2005</v>
      </c>
      <c r="C905">
        <v>2824</v>
      </c>
      <c r="D905">
        <v>904</v>
      </c>
      <c r="E905">
        <v>6000</v>
      </c>
      <c r="F905" t="s">
        <v>59</v>
      </c>
      <c r="G905">
        <v>12</v>
      </c>
      <c r="H905" t="s">
        <v>133</v>
      </c>
      <c r="I905">
        <v>14</v>
      </c>
      <c r="J905" s="54">
        <f t="shared" si="14"/>
        <v>12</v>
      </c>
    </row>
    <row r="906" spans="1:10">
      <c r="A906" s="43">
        <v>42632</v>
      </c>
      <c r="B906">
        <v>2002</v>
      </c>
      <c r="C906">
        <v>2824</v>
      </c>
      <c r="D906">
        <v>905</v>
      </c>
      <c r="E906">
        <v>6000</v>
      </c>
      <c r="F906" t="s">
        <v>59</v>
      </c>
      <c r="G906">
        <v>3</v>
      </c>
      <c r="H906" t="s">
        <v>133</v>
      </c>
      <c r="I906">
        <v>17</v>
      </c>
      <c r="J906" s="54">
        <f t="shared" si="14"/>
        <v>3</v>
      </c>
    </row>
    <row r="907" spans="1:10">
      <c r="A907" s="43">
        <v>42602</v>
      </c>
      <c r="B907">
        <v>2005</v>
      </c>
      <c r="C907">
        <v>2824</v>
      </c>
      <c r="D907">
        <v>906</v>
      </c>
      <c r="E907">
        <v>6000</v>
      </c>
      <c r="F907" t="s">
        <v>59</v>
      </c>
      <c r="G907">
        <v>12</v>
      </c>
      <c r="H907" t="s">
        <v>133</v>
      </c>
      <c r="I907">
        <v>14</v>
      </c>
      <c r="J907" s="54">
        <f t="shared" si="14"/>
        <v>12</v>
      </c>
    </row>
    <row r="908" spans="1:10">
      <c r="A908" s="43">
        <v>42564</v>
      </c>
      <c r="B908">
        <v>2005</v>
      </c>
      <c r="C908">
        <v>2824</v>
      </c>
      <c r="D908">
        <v>907</v>
      </c>
      <c r="E908">
        <v>6000</v>
      </c>
      <c r="F908" t="s">
        <v>59</v>
      </c>
      <c r="G908">
        <v>4</v>
      </c>
      <c r="H908" t="s">
        <v>133</v>
      </c>
      <c r="I908">
        <v>14</v>
      </c>
      <c r="J908" s="54">
        <f t="shared" si="14"/>
        <v>4</v>
      </c>
    </row>
    <row r="909" spans="1:10">
      <c r="A909" s="43">
        <v>42505</v>
      </c>
      <c r="B909">
        <v>2003</v>
      </c>
      <c r="C909">
        <v>2824</v>
      </c>
      <c r="D909">
        <v>908</v>
      </c>
      <c r="E909">
        <v>6000</v>
      </c>
      <c r="F909" t="s">
        <v>59</v>
      </c>
      <c r="G909">
        <v>6</v>
      </c>
      <c r="H909" t="s">
        <v>133</v>
      </c>
      <c r="I909">
        <v>16</v>
      </c>
      <c r="J909" s="54">
        <f t="shared" si="14"/>
        <v>6</v>
      </c>
    </row>
    <row r="910" spans="1:10">
      <c r="A910" s="43">
        <v>42505</v>
      </c>
      <c r="B910">
        <v>2003</v>
      </c>
      <c r="C910">
        <v>2824</v>
      </c>
      <c r="D910">
        <v>909</v>
      </c>
      <c r="E910">
        <v>6000</v>
      </c>
      <c r="F910" t="s">
        <v>59</v>
      </c>
      <c r="G910">
        <v>6</v>
      </c>
      <c r="H910" t="s">
        <v>133</v>
      </c>
      <c r="I910">
        <v>16</v>
      </c>
      <c r="J910" s="54">
        <f t="shared" si="14"/>
        <v>6</v>
      </c>
    </row>
    <row r="911" spans="1:10">
      <c r="A911" s="43">
        <v>42500</v>
      </c>
      <c r="B911">
        <v>2005</v>
      </c>
      <c r="C911">
        <v>2824</v>
      </c>
      <c r="D911">
        <v>910</v>
      </c>
      <c r="E911">
        <v>6000</v>
      </c>
      <c r="F911" t="s">
        <v>59</v>
      </c>
      <c r="G911">
        <v>6</v>
      </c>
      <c r="H911" t="s">
        <v>133</v>
      </c>
      <c r="I911">
        <v>14</v>
      </c>
      <c r="J911" s="54">
        <f t="shared" si="14"/>
        <v>6</v>
      </c>
    </row>
    <row r="912" spans="1:10">
      <c r="A912" s="43">
        <v>42491</v>
      </c>
      <c r="B912">
        <v>2005</v>
      </c>
      <c r="C912">
        <v>2824</v>
      </c>
      <c r="D912">
        <v>911</v>
      </c>
      <c r="E912">
        <v>6000</v>
      </c>
      <c r="F912" t="s">
        <v>59</v>
      </c>
      <c r="G912">
        <v>6</v>
      </c>
      <c r="H912" t="s">
        <v>133</v>
      </c>
      <c r="I912">
        <v>14</v>
      </c>
      <c r="J912" s="54">
        <f t="shared" si="14"/>
        <v>6</v>
      </c>
    </row>
    <row r="913" spans="1:10">
      <c r="A913" s="43">
        <v>42467</v>
      </c>
      <c r="B913">
        <v>2003</v>
      </c>
      <c r="C913">
        <v>2824</v>
      </c>
      <c r="D913">
        <v>912</v>
      </c>
      <c r="E913">
        <v>6000</v>
      </c>
      <c r="F913" t="s">
        <v>59</v>
      </c>
      <c r="G913">
        <v>7</v>
      </c>
      <c r="H913" t="s">
        <v>133</v>
      </c>
      <c r="I913">
        <v>16</v>
      </c>
      <c r="J913" s="54">
        <f t="shared" si="14"/>
        <v>7</v>
      </c>
    </row>
    <row r="914" spans="1:10">
      <c r="A914" s="43">
        <v>42461</v>
      </c>
      <c r="B914">
        <v>2003</v>
      </c>
      <c r="C914">
        <v>2824</v>
      </c>
      <c r="D914">
        <v>913</v>
      </c>
      <c r="E914">
        <v>6000</v>
      </c>
      <c r="F914" t="s">
        <v>59</v>
      </c>
      <c r="G914">
        <v>12</v>
      </c>
      <c r="H914" t="s">
        <v>133</v>
      </c>
      <c r="I914">
        <v>16</v>
      </c>
      <c r="J914" s="54">
        <f t="shared" si="14"/>
        <v>12</v>
      </c>
    </row>
    <row r="915" spans="1:10">
      <c r="A915" s="43">
        <v>42460</v>
      </c>
      <c r="B915">
        <v>2002</v>
      </c>
      <c r="C915">
        <v>2824</v>
      </c>
      <c r="D915">
        <v>914</v>
      </c>
      <c r="E915">
        <v>6000</v>
      </c>
      <c r="F915" t="s">
        <v>59</v>
      </c>
      <c r="G915">
        <v>5</v>
      </c>
      <c r="H915" t="s">
        <v>133</v>
      </c>
      <c r="I915">
        <v>17</v>
      </c>
      <c r="J915" s="54">
        <f t="shared" si="14"/>
        <v>5</v>
      </c>
    </row>
    <row r="916" spans="1:10">
      <c r="A916" s="43">
        <v>42450</v>
      </c>
      <c r="B916">
        <v>2005</v>
      </c>
      <c r="C916">
        <v>2824</v>
      </c>
      <c r="D916">
        <v>915</v>
      </c>
      <c r="E916">
        <v>6250</v>
      </c>
      <c r="F916" t="s">
        <v>59</v>
      </c>
      <c r="G916">
        <v>6</v>
      </c>
      <c r="H916" t="s">
        <v>133</v>
      </c>
      <c r="I916">
        <v>14</v>
      </c>
      <c r="J916" s="54">
        <f t="shared" si="14"/>
        <v>6</v>
      </c>
    </row>
    <row r="917" spans="1:10">
      <c r="A917" s="43">
        <v>42429</v>
      </c>
      <c r="B917">
        <v>2003</v>
      </c>
      <c r="C917">
        <v>2824</v>
      </c>
      <c r="D917">
        <v>916</v>
      </c>
      <c r="E917">
        <v>6000</v>
      </c>
      <c r="F917" t="s">
        <v>59</v>
      </c>
      <c r="G917">
        <v>3</v>
      </c>
      <c r="H917" t="s">
        <v>133</v>
      </c>
      <c r="I917">
        <v>16</v>
      </c>
      <c r="J917" s="54">
        <f t="shared" si="14"/>
        <v>3</v>
      </c>
    </row>
    <row r="918" spans="1:10">
      <c r="A918" s="43">
        <v>42408</v>
      </c>
      <c r="B918">
        <v>2005</v>
      </c>
      <c r="C918">
        <v>2824</v>
      </c>
      <c r="D918">
        <v>917</v>
      </c>
      <c r="E918">
        <v>6100</v>
      </c>
      <c r="F918" t="s">
        <v>59</v>
      </c>
      <c r="G918">
        <v>5</v>
      </c>
      <c r="H918" t="s">
        <v>133</v>
      </c>
      <c r="I918">
        <v>14</v>
      </c>
      <c r="J918" s="54">
        <f t="shared" si="14"/>
        <v>5</v>
      </c>
    </row>
    <row r="919" spans="1:10">
      <c r="A919" s="43">
        <v>42401</v>
      </c>
      <c r="B919">
        <v>2005</v>
      </c>
      <c r="C919">
        <v>2824</v>
      </c>
      <c r="D919">
        <v>918</v>
      </c>
      <c r="E919">
        <v>6000</v>
      </c>
      <c r="F919" t="s">
        <v>59</v>
      </c>
      <c r="G919">
        <v>6</v>
      </c>
      <c r="H919" t="s">
        <v>133</v>
      </c>
      <c r="I919">
        <v>14</v>
      </c>
      <c r="J919" s="54">
        <f t="shared" si="14"/>
        <v>6</v>
      </c>
    </row>
    <row r="920" spans="1:10">
      <c r="A920" s="43">
        <v>42401</v>
      </c>
      <c r="B920">
        <v>2003</v>
      </c>
      <c r="C920">
        <v>2824</v>
      </c>
      <c r="D920">
        <v>919</v>
      </c>
      <c r="E920">
        <v>6000</v>
      </c>
      <c r="F920" t="s">
        <v>59</v>
      </c>
      <c r="G920">
        <v>6</v>
      </c>
      <c r="H920" t="s">
        <v>133</v>
      </c>
      <c r="I920">
        <v>16</v>
      </c>
      <c r="J920" s="54">
        <f t="shared" si="14"/>
        <v>6</v>
      </c>
    </row>
    <row r="921" spans="1:10">
      <c r="A921" s="43">
        <v>43558</v>
      </c>
      <c r="B921">
        <v>2005</v>
      </c>
      <c r="C921">
        <v>2826</v>
      </c>
      <c r="D921">
        <v>920</v>
      </c>
      <c r="E921">
        <v>8500</v>
      </c>
      <c r="F921" t="s">
        <v>59</v>
      </c>
      <c r="G921">
        <v>6</v>
      </c>
      <c r="H921" t="s">
        <v>133</v>
      </c>
      <c r="I921">
        <v>14</v>
      </c>
      <c r="J921" s="54">
        <f t="shared" si="14"/>
        <v>6</v>
      </c>
    </row>
    <row r="922" spans="1:10">
      <c r="A922" s="43">
        <v>43531</v>
      </c>
      <c r="B922">
        <v>2005</v>
      </c>
      <c r="C922">
        <v>2826</v>
      </c>
      <c r="D922">
        <v>921</v>
      </c>
      <c r="E922">
        <v>8500</v>
      </c>
      <c r="F922" t="s">
        <v>59</v>
      </c>
      <c r="G922">
        <v>2</v>
      </c>
      <c r="H922" t="s">
        <v>133</v>
      </c>
      <c r="I922">
        <v>14</v>
      </c>
      <c r="J922" s="54">
        <f t="shared" si="14"/>
        <v>2</v>
      </c>
    </row>
    <row r="923" spans="1:10">
      <c r="A923" s="43">
        <v>43525</v>
      </c>
      <c r="B923">
        <v>2005</v>
      </c>
      <c r="C923">
        <v>2826</v>
      </c>
      <c r="D923">
        <v>922</v>
      </c>
      <c r="E923">
        <v>9150</v>
      </c>
      <c r="F923" t="s">
        <v>59</v>
      </c>
      <c r="G923">
        <v>6</v>
      </c>
      <c r="H923" t="s">
        <v>133</v>
      </c>
      <c r="I923">
        <v>14</v>
      </c>
      <c r="J923" s="54">
        <f t="shared" si="14"/>
        <v>6</v>
      </c>
    </row>
    <row r="924" spans="1:10">
      <c r="A924" s="43">
        <v>43399</v>
      </c>
      <c r="B924">
        <v>2005</v>
      </c>
      <c r="C924">
        <v>2826</v>
      </c>
      <c r="D924">
        <v>923</v>
      </c>
      <c r="E924">
        <v>10300</v>
      </c>
      <c r="F924" t="s">
        <v>59</v>
      </c>
      <c r="G924">
        <v>70</v>
      </c>
      <c r="H924" t="s">
        <v>60</v>
      </c>
      <c r="I924">
        <v>14</v>
      </c>
      <c r="J924" s="54">
        <f t="shared" si="14"/>
        <v>2</v>
      </c>
    </row>
    <row r="925" spans="1:10">
      <c r="A925" s="43">
        <v>43304</v>
      </c>
      <c r="B925">
        <v>2005</v>
      </c>
      <c r="C925">
        <v>2826</v>
      </c>
      <c r="D925">
        <v>924</v>
      </c>
      <c r="E925">
        <v>11500</v>
      </c>
      <c r="F925" t="s">
        <v>59</v>
      </c>
      <c r="G925">
        <v>10</v>
      </c>
      <c r="H925" t="s">
        <v>133</v>
      </c>
      <c r="I925">
        <v>14</v>
      </c>
      <c r="J925" s="54">
        <f t="shared" si="14"/>
        <v>10</v>
      </c>
    </row>
    <row r="926" spans="1:10">
      <c r="A926" s="43">
        <v>43123</v>
      </c>
      <c r="B926">
        <v>2005</v>
      </c>
      <c r="C926">
        <v>2826</v>
      </c>
      <c r="D926">
        <v>925</v>
      </c>
      <c r="E926">
        <v>9000</v>
      </c>
      <c r="F926" t="s">
        <v>59</v>
      </c>
      <c r="G926">
        <v>8</v>
      </c>
      <c r="H926" t="s">
        <v>133</v>
      </c>
      <c r="I926">
        <v>14</v>
      </c>
      <c r="J926" s="54">
        <f t="shared" si="14"/>
        <v>8</v>
      </c>
    </row>
    <row r="927" spans="1:10">
      <c r="A927" s="43">
        <v>43017</v>
      </c>
      <c r="B927">
        <v>2005</v>
      </c>
      <c r="C927">
        <v>2826</v>
      </c>
      <c r="D927">
        <v>926</v>
      </c>
      <c r="E927">
        <v>7500</v>
      </c>
      <c r="F927" t="s">
        <v>59</v>
      </c>
      <c r="G927">
        <v>10</v>
      </c>
      <c r="H927" t="s">
        <v>133</v>
      </c>
      <c r="I927">
        <v>14</v>
      </c>
      <c r="J927" s="54">
        <f t="shared" si="14"/>
        <v>10</v>
      </c>
    </row>
    <row r="928" spans="1:10">
      <c r="A928" s="43">
        <v>42757</v>
      </c>
      <c r="B928">
        <v>2005</v>
      </c>
      <c r="C928">
        <v>2826</v>
      </c>
      <c r="D928">
        <v>927</v>
      </c>
      <c r="E928">
        <v>6000</v>
      </c>
      <c r="F928" t="s">
        <v>59</v>
      </c>
      <c r="G928">
        <v>12</v>
      </c>
      <c r="H928" t="s">
        <v>133</v>
      </c>
      <c r="I928">
        <v>14</v>
      </c>
      <c r="J928" s="54">
        <f t="shared" si="14"/>
        <v>12</v>
      </c>
    </row>
    <row r="929" spans="1:10">
      <c r="A929" s="43">
        <v>42685</v>
      </c>
      <c r="B929">
        <v>2005</v>
      </c>
      <c r="C929">
        <v>2826</v>
      </c>
      <c r="D929">
        <v>928</v>
      </c>
      <c r="E929">
        <v>6000</v>
      </c>
      <c r="F929" t="s">
        <v>59</v>
      </c>
      <c r="G929">
        <v>10</v>
      </c>
      <c r="H929" t="s">
        <v>133</v>
      </c>
      <c r="I929">
        <v>14</v>
      </c>
      <c r="J929" s="54">
        <f t="shared" si="14"/>
        <v>10</v>
      </c>
    </row>
    <row r="930" spans="1:10">
      <c r="A930" s="43">
        <v>42439</v>
      </c>
      <c r="B930">
        <v>2005</v>
      </c>
      <c r="C930">
        <v>2826</v>
      </c>
      <c r="D930">
        <v>929</v>
      </c>
      <c r="E930">
        <v>6000</v>
      </c>
      <c r="F930" t="s">
        <v>59</v>
      </c>
      <c r="G930">
        <v>9</v>
      </c>
      <c r="H930" t="s">
        <v>133</v>
      </c>
      <c r="I930">
        <v>14</v>
      </c>
      <c r="J930" s="54">
        <f t="shared" si="14"/>
        <v>9</v>
      </c>
    </row>
    <row r="931" spans="1:10">
      <c r="A931" s="43">
        <v>42430</v>
      </c>
      <c r="B931">
        <v>2005</v>
      </c>
      <c r="C931">
        <v>2826</v>
      </c>
      <c r="D931">
        <v>930</v>
      </c>
      <c r="E931">
        <v>6000</v>
      </c>
      <c r="F931" t="s">
        <v>59</v>
      </c>
      <c r="G931">
        <v>12</v>
      </c>
      <c r="H931" t="s">
        <v>133</v>
      </c>
      <c r="I931">
        <v>14</v>
      </c>
      <c r="J931" s="54">
        <f t="shared" si="14"/>
        <v>12</v>
      </c>
    </row>
  </sheetData>
  <autoFilter ref="A1:J931" xr:uid="{00000000-0009-0000-0000-000008000000}">
    <sortState xmlns:xlrd2="http://schemas.microsoft.com/office/spreadsheetml/2017/richdata2" ref="A2:J931">
      <sortCondition ref="C1:C931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467"/>
  <sheetViews>
    <sheetView topLeftCell="A425" workbookViewId="0">
      <selection activeCell="A4" sqref="A4"/>
    </sheetView>
  </sheetViews>
  <sheetFormatPr defaultColWidth="11.5546875" defaultRowHeight="14.4"/>
  <cols>
    <col min="1" max="2" width="9.6640625" bestFit="1" customWidth="1"/>
    <col min="3" max="3" width="8.6640625" bestFit="1" customWidth="1"/>
    <col min="4" max="4" width="15.33203125" bestFit="1" customWidth="1"/>
    <col min="5" max="5" width="9.33203125" bestFit="1" customWidth="1"/>
    <col min="6" max="6" width="13.33203125" bestFit="1" customWidth="1"/>
    <col min="7" max="7" width="17.6640625" bestFit="1" customWidth="1"/>
    <col min="8" max="8" width="15.109375" bestFit="1" customWidth="1"/>
    <col min="9" max="9" width="8.6640625" bestFit="1" customWidth="1"/>
    <col min="10" max="10" width="20.33203125" bestFit="1" customWidth="1"/>
  </cols>
  <sheetData>
    <row r="1" spans="1:10">
      <c r="A1" s="55" t="s">
        <v>51</v>
      </c>
      <c r="B1" s="55" t="s">
        <v>52</v>
      </c>
      <c r="C1" s="55" t="s">
        <v>53</v>
      </c>
      <c r="D1" s="55" t="s">
        <v>345</v>
      </c>
      <c r="E1" s="55" t="s">
        <v>54</v>
      </c>
      <c r="F1" s="55" t="s">
        <v>55</v>
      </c>
      <c r="G1" s="55" t="s">
        <v>56</v>
      </c>
      <c r="H1" s="55" t="s">
        <v>57</v>
      </c>
      <c r="I1" s="55" t="s">
        <v>58</v>
      </c>
      <c r="J1" s="55" t="s">
        <v>346</v>
      </c>
    </row>
    <row r="2" spans="1:10">
      <c r="A2" s="43">
        <v>42753</v>
      </c>
      <c r="B2">
        <v>1999</v>
      </c>
      <c r="C2">
        <v>1005</v>
      </c>
      <c r="D2">
        <v>1</v>
      </c>
      <c r="E2">
        <v>6600</v>
      </c>
      <c r="F2" t="s">
        <v>59</v>
      </c>
      <c r="G2">
        <v>6</v>
      </c>
      <c r="H2" t="s">
        <v>133</v>
      </c>
      <c r="I2">
        <v>20</v>
      </c>
      <c r="J2" s="54">
        <f t="shared" ref="J2:J65" si="0">IF(H2="days",ROUND(G2/30,0),IF(H2="years",G2*12,G2))</f>
        <v>6</v>
      </c>
    </row>
    <row r="3" spans="1:10">
      <c r="A3" s="43">
        <v>42380</v>
      </c>
      <c r="B3">
        <v>1999</v>
      </c>
      <c r="C3">
        <v>1005</v>
      </c>
      <c r="D3">
        <v>2</v>
      </c>
      <c r="E3">
        <v>6700</v>
      </c>
      <c r="F3" t="s">
        <v>59</v>
      </c>
      <c r="G3">
        <v>6</v>
      </c>
      <c r="H3" t="s">
        <v>133</v>
      </c>
      <c r="I3">
        <v>20</v>
      </c>
      <c r="J3" s="54">
        <f t="shared" si="0"/>
        <v>6</v>
      </c>
    </row>
    <row r="4" spans="1:10">
      <c r="A4" s="43">
        <v>42879</v>
      </c>
      <c r="B4">
        <v>1992</v>
      </c>
      <c r="C4">
        <v>1012</v>
      </c>
      <c r="D4">
        <v>3</v>
      </c>
      <c r="E4">
        <v>5500</v>
      </c>
      <c r="F4" t="s">
        <v>59</v>
      </c>
      <c r="G4">
        <v>3</v>
      </c>
      <c r="H4" t="s">
        <v>133</v>
      </c>
      <c r="I4">
        <v>27</v>
      </c>
      <c r="J4" s="54">
        <f t="shared" si="0"/>
        <v>3</v>
      </c>
    </row>
    <row r="5" spans="1:10">
      <c r="A5" s="43">
        <v>42739</v>
      </c>
      <c r="B5">
        <v>1992</v>
      </c>
      <c r="C5">
        <v>1012</v>
      </c>
      <c r="D5">
        <v>4</v>
      </c>
      <c r="E5">
        <v>6000</v>
      </c>
      <c r="F5" t="s">
        <v>59</v>
      </c>
      <c r="G5">
        <v>3</v>
      </c>
      <c r="H5" t="s">
        <v>133</v>
      </c>
      <c r="I5">
        <v>27</v>
      </c>
      <c r="J5" s="54">
        <f t="shared" si="0"/>
        <v>3</v>
      </c>
    </row>
    <row r="6" spans="1:10">
      <c r="A6" s="43">
        <v>42709</v>
      </c>
      <c r="B6">
        <v>1992</v>
      </c>
      <c r="C6">
        <v>1012</v>
      </c>
      <c r="D6">
        <v>5</v>
      </c>
      <c r="E6">
        <v>5800</v>
      </c>
      <c r="F6" t="s">
        <v>59</v>
      </c>
      <c r="G6">
        <v>45</v>
      </c>
      <c r="H6" t="s">
        <v>60</v>
      </c>
      <c r="I6">
        <v>27</v>
      </c>
      <c r="J6" s="54">
        <f t="shared" si="0"/>
        <v>2</v>
      </c>
    </row>
    <row r="7" spans="1:10">
      <c r="A7" s="43">
        <v>42643</v>
      </c>
      <c r="B7">
        <v>1992</v>
      </c>
      <c r="C7">
        <v>1012</v>
      </c>
      <c r="D7">
        <v>6</v>
      </c>
      <c r="E7">
        <v>6000</v>
      </c>
      <c r="F7" t="s">
        <v>59</v>
      </c>
      <c r="G7">
        <v>12</v>
      </c>
      <c r="H7" t="s">
        <v>133</v>
      </c>
      <c r="I7">
        <v>27</v>
      </c>
      <c r="J7" s="54">
        <f t="shared" si="0"/>
        <v>12</v>
      </c>
    </row>
    <row r="8" spans="1:10">
      <c r="A8" s="43">
        <v>42709</v>
      </c>
      <c r="B8">
        <v>1996</v>
      </c>
      <c r="C8">
        <v>1015</v>
      </c>
      <c r="D8">
        <v>7</v>
      </c>
      <c r="E8">
        <v>5800</v>
      </c>
      <c r="F8" t="s">
        <v>59</v>
      </c>
      <c r="G8">
        <v>6</v>
      </c>
      <c r="H8" t="s">
        <v>133</v>
      </c>
      <c r="I8">
        <v>23</v>
      </c>
      <c r="J8" s="54">
        <f t="shared" si="0"/>
        <v>6</v>
      </c>
    </row>
    <row r="9" spans="1:10">
      <c r="A9" s="43">
        <v>43152</v>
      </c>
      <c r="B9">
        <v>1996</v>
      </c>
      <c r="C9">
        <v>1018</v>
      </c>
      <c r="D9">
        <v>8</v>
      </c>
      <c r="E9">
        <v>5850</v>
      </c>
      <c r="F9" t="s">
        <v>59</v>
      </c>
      <c r="G9">
        <v>6</v>
      </c>
      <c r="H9" t="s">
        <v>133</v>
      </c>
      <c r="I9">
        <v>23</v>
      </c>
      <c r="J9" s="54">
        <f t="shared" si="0"/>
        <v>6</v>
      </c>
    </row>
    <row r="10" spans="1:10">
      <c r="A10" s="43">
        <v>42866</v>
      </c>
      <c r="B10">
        <v>1996</v>
      </c>
      <c r="C10">
        <v>1018</v>
      </c>
      <c r="D10">
        <v>9</v>
      </c>
      <c r="E10">
        <v>5100</v>
      </c>
      <c r="F10" t="s">
        <v>59</v>
      </c>
      <c r="G10">
        <v>3</v>
      </c>
      <c r="H10" t="s">
        <v>133</v>
      </c>
      <c r="I10">
        <v>23</v>
      </c>
      <c r="J10" s="54">
        <f t="shared" si="0"/>
        <v>3</v>
      </c>
    </row>
    <row r="11" spans="1:10">
      <c r="A11" s="43">
        <v>42807</v>
      </c>
      <c r="B11">
        <v>1995</v>
      </c>
      <c r="C11">
        <v>1018</v>
      </c>
      <c r="D11">
        <v>10</v>
      </c>
      <c r="E11">
        <v>5500</v>
      </c>
      <c r="F11" t="s">
        <v>59</v>
      </c>
      <c r="G11">
        <v>5</v>
      </c>
      <c r="H11" t="s">
        <v>133</v>
      </c>
      <c r="I11">
        <v>24</v>
      </c>
      <c r="J11" s="54">
        <f t="shared" si="0"/>
        <v>5</v>
      </c>
    </row>
    <row r="12" spans="1:10">
      <c r="A12" s="43">
        <v>42797</v>
      </c>
      <c r="B12">
        <v>1996</v>
      </c>
      <c r="C12">
        <v>1018</v>
      </c>
      <c r="D12">
        <v>11</v>
      </c>
      <c r="E12">
        <v>5500</v>
      </c>
      <c r="F12" t="s">
        <v>59</v>
      </c>
      <c r="G12">
        <v>7</v>
      </c>
      <c r="H12" t="s">
        <v>133</v>
      </c>
      <c r="I12">
        <v>23</v>
      </c>
      <c r="J12" s="54">
        <f t="shared" si="0"/>
        <v>7</v>
      </c>
    </row>
    <row r="13" spans="1:10">
      <c r="A13" s="43">
        <v>42758</v>
      </c>
      <c r="B13">
        <v>1996</v>
      </c>
      <c r="C13">
        <v>1018</v>
      </c>
      <c r="D13">
        <v>12</v>
      </c>
      <c r="E13">
        <v>5850</v>
      </c>
      <c r="F13" t="s">
        <v>59</v>
      </c>
      <c r="G13">
        <v>9</v>
      </c>
      <c r="H13" t="s">
        <v>133</v>
      </c>
      <c r="I13">
        <v>23</v>
      </c>
      <c r="J13" s="54">
        <f t="shared" si="0"/>
        <v>9</v>
      </c>
    </row>
    <row r="14" spans="1:10">
      <c r="A14" s="43">
        <v>42674</v>
      </c>
      <c r="B14">
        <v>1996</v>
      </c>
      <c r="C14">
        <v>1018</v>
      </c>
      <c r="D14">
        <v>13</v>
      </c>
      <c r="E14">
        <v>6000</v>
      </c>
      <c r="F14" t="s">
        <v>59</v>
      </c>
      <c r="G14">
        <v>12</v>
      </c>
      <c r="H14" t="s">
        <v>133</v>
      </c>
      <c r="I14">
        <v>23</v>
      </c>
      <c r="J14" s="54">
        <f t="shared" si="0"/>
        <v>12</v>
      </c>
    </row>
    <row r="15" spans="1:10">
      <c r="A15" s="43">
        <v>42669</v>
      </c>
      <c r="B15">
        <v>1996</v>
      </c>
      <c r="C15">
        <v>1018</v>
      </c>
      <c r="D15">
        <v>14</v>
      </c>
      <c r="E15">
        <v>5850</v>
      </c>
      <c r="F15" t="s">
        <v>59</v>
      </c>
      <c r="G15">
        <v>9</v>
      </c>
      <c r="H15" t="s">
        <v>133</v>
      </c>
      <c r="I15">
        <v>23</v>
      </c>
      <c r="J15" s="54">
        <f t="shared" si="0"/>
        <v>9</v>
      </c>
    </row>
    <row r="16" spans="1:10">
      <c r="A16" s="43">
        <v>42650</v>
      </c>
      <c r="B16">
        <v>1995</v>
      </c>
      <c r="C16">
        <v>1018</v>
      </c>
      <c r="D16">
        <v>15</v>
      </c>
      <c r="E16">
        <v>5900</v>
      </c>
      <c r="F16" t="s">
        <v>59</v>
      </c>
      <c r="G16">
        <v>6</v>
      </c>
      <c r="H16" t="s">
        <v>133</v>
      </c>
      <c r="I16">
        <v>24</v>
      </c>
      <c r="J16" s="54">
        <f t="shared" si="0"/>
        <v>6</v>
      </c>
    </row>
    <row r="17" spans="1:10">
      <c r="A17" s="43">
        <v>42576</v>
      </c>
      <c r="B17">
        <v>1996</v>
      </c>
      <c r="C17">
        <v>1018</v>
      </c>
      <c r="D17">
        <v>16</v>
      </c>
      <c r="E17">
        <v>6000</v>
      </c>
      <c r="F17" t="s">
        <v>59</v>
      </c>
      <c r="G17">
        <v>6</v>
      </c>
      <c r="H17" t="s">
        <v>133</v>
      </c>
      <c r="I17">
        <v>23</v>
      </c>
      <c r="J17" s="54">
        <f t="shared" si="0"/>
        <v>6</v>
      </c>
    </row>
    <row r="18" spans="1:10">
      <c r="A18" s="43">
        <v>42396</v>
      </c>
      <c r="B18">
        <v>1995</v>
      </c>
      <c r="C18">
        <v>1018</v>
      </c>
      <c r="D18">
        <v>17</v>
      </c>
      <c r="E18">
        <v>6075</v>
      </c>
      <c r="F18" t="s">
        <v>59</v>
      </c>
      <c r="G18">
        <v>8</v>
      </c>
      <c r="H18" t="s">
        <v>133</v>
      </c>
      <c r="I18">
        <v>24</v>
      </c>
      <c r="J18" s="54">
        <f t="shared" si="0"/>
        <v>8</v>
      </c>
    </row>
    <row r="19" spans="1:10">
      <c r="A19" s="43">
        <v>43529</v>
      </c>
      <c r="B19">
        <v>1997</v>
      </c>
      <c r="C19">
        <v>1032</v>
      </c>
      <c r="D19">
        <v>18</v>
      </c>
      <c r="E19">
        <v>7600</v>
      </c>
      <c r="F19" t="s">
        <v>59</v>
      </c>
      <c r="G19">
        <v>5</v>
      </c>
      <c r="H19" t="s">
        <v>133</v>
      </c>
      <c r="I19">
        <v>22</v>
      </c>
      <c r="J19" s="54">
        <f t="shared" si="0"/>
        <v>5</v>
      </c>
    </row>
    <row r="20" spans="1:10">
      <c r="A20" s="43">
        <v>43213</v>
      </c>
      <c r="B20">
        <v>1997</v>
      </c>
      <c r="C20">
        <v>1032</v>
      </c>
      <c r="D20">
        <v>19</v>
      </c>
      <c r="E20">
        <v>9450</v>
      </c>
      <c r="F20" t="s">
        <v>59</v>
      </c>
      <c r="G20">
        <v>7</v>
      </c>
      <c r="H20" t="s">
        <v>133</v>
      </c>
      <c r="I20">
        <v>22</v>
      </c>
      <c r="J20" s="54">
        <f t="shared" si="0"/>
        <v>7</v>
      </c>
    </row>
    <row r="21" spans="1:10">
      <c r="A21" s="43">
        <v>43157</v>
      </c>
      <c r="B21">
        <v>1998</v>
      </c>
      <c r="C21">
        <v>1032</v>
      </c>
      <c r="D21">
        <v>20</v>
      </c>
      <c r="E21">
        <v>7700</v>
      </c>
      <c r="F21" t="s">
        <v>59</v>
      </c>
      <c r="G21">
        <v>13</v>
      </c>
      <c r="H21" t="s">
        <v>133</v>
      </c>
      <c r="I21">
        <v>21</v>
      </c>
      <c r="J21" s="54">
        <f t="shared" si="0"/>
        <v>13</v>
      </c>
    </row>
    <row r="22" spans="1:10">
      <c r="A22" s="43">
        <v>42788</v>
      </c>
      <c r="B22">
        <v>1998</v>
      </c>
      <c r="C22">
        <v>1032</v>
      </c>
      <c r="D22">
        <v>21</v>
      </c>
      <c r="E22">
        <v>7200</v>
      </c>
      <c r="F22" t="s">
        <v>59</v>
      </c>
      <c r="G22">
        <v>14</v>
      </c>
      <c r="H22" t="s">
        <v>133</v>
      </c>
      <c r="I22">
        <v>21</v>
      </c>
      <c r="J22" s="54">
        <f t="shared" si="0"/>
        <v>14</v>
      </c>
    </row>
    <row r="23" spans="1:10">
      <c r="A23" s="43">
        <v>43367</v>
      </c>
      <c r="B23">
        <v>1996</v>
      </c>
      <c r="C23">
        <v>1050</v>
      </c>
      <c r="D23">
        <v>22</v>
      </c>
      <c r="E23">
        <v>6400</v>
      </c>
      <c r="F23" t="s">
        <v>59</v>
      </c>
      <c r="G23">
        <v>1</v>
      </c>
      <c r="H23" t="s">
        <v>133</v>
      </c>
      <c r="I23">
        <v>23</v>
      </c>
      <c r="J23" s="54">
        <f t="shared" si="0"/>
        <v>1</v>
      </c>
    </row>
    <row r="24" spans="1:10">
      <c r="A24" s="43">
        <v>43141</v>
      </c>
      <c r="B24">
        <v>1996</v>
      </c>
      <c r="C24">
        <v>1050</v>
      </c>
      <c r="D24">
        <v>23</v>
      </c>
      <c r="E24">
        <v>7300</v>
      </c>
      <c r="F24" t="s">
        <v>59</v>
      </c>
      <c r="G24">
        <v>4</v>
      </c>
      <c r="H24" t="s">
        <v>133</v>
      </c>
      <c r="I24">
        <v>23</v>
      </c>
      <c r="J24" s="54">
        <f t="shared" si="0"/>
        <v>4</v>
      </c>
    </row>
    <row r="25" spans="1:10">
      <c r="A25" s="43">
        <v>42948</v>
      </c>
      <c r="B25">
        <v>1996</v>
      </c>
      <c r="C25">
        <v>1050</v>
      </c>
      <c r="D25">
        <v>24</v>
      </c>
      <c r="E25">
        <v>6000</v>
      </c>
      <c r="F25" t="s">
        <v>59</v>
      </c>
      <c r="G25">
        <v>1</v>
      </c>
      <c r="H25" t="s">
        <v>133</v>
      </c>
      <c r="I25">
        <v>23</v>
      </c>
      <c r="J25" s="54">
        <f t="shared" si="0"/>
        <v>1</v>
      </c>
    </row>
    <row r="26" spans="1:10">
      <c r="A26" s="43">
        <v>42887</v>
      </c>
      <c r="B26">
        <v>1996</v>
      </c>
      <c r="C26">
        <v>1050</v>
      </c>
      <c r="D26">
        <v>25</v>
      </c>
      <c r="E26">
        <v>6300</v>
      </c>
      <c r="F26" t="s">
        <v>59</v>
      </c>
      <c r="G26">
        <v>9</v>
      </c>
      <c r="H26" t="s">
        <v>133</v>
      </c>
      <c r="I26">
        <v>23</v>
      </c>
      <c r="J26" s="54">
        <f t="shared" si="0"/>
        <v>9</v>
      </c>
    </row>
    <row r="27" spans="1:10">
      <c r="A27" s="43">
        <v>42795</v>
      </c>
      <c r="B27">
        <v>1996</v>
      </c>
      <c r="C27">
        <v>1050</v>
      </c>
      <c r="D27">
        <v>26</v>
      </c>
      <c r="E27">
        <v>6300</v>
      </c>
      <c r="F27" t="s">
        <v>59</v>
      </c>
      <c r="G27">
        <v>3</v>
      </c>
      <c r="H27" t="s">
        <v>133</v>
      </c>
      <c r="I27">
        <v>23</v>
      </c>
      <c r="J27" s="54">
        <f t="shared" si="0"/>
        <v>3</v>
      </c>
    </row>
    <row r="28" spans="1:10">
      <c r="A28" s="43">
        <v>42440</v>
      </c>
      <c r="B28">
        <v>1997</v>
      </c>
      <c r="C28">
        <v>1050</v>
      </c>
      <c r="D28">
        <v>27</v>
      </c>
      <c r="E28">
        <v>7500</v>
      </c>
      <c r="F28" t="s">
        <v>59</v>
      </c>
      <c r="G28">
        <v>12</v>
      </c>
      <c r="H28" t="s">
        <v>133</v>
      </c>
      <c r="I28">
        <v>22</v>
      </c>
      <c r="J28" s="54">
        <f t="shared" si="0"/>
        <v>12</v>
      </c>
    </row>
    <row r="29" spans="1:10">
      <c r="A29" s="43">
        <v>43374</v>
      </c>
      <c r="B29">
        <v>1998</v>
      </c>
      <c r="C29">
        <v>1060</v>
      </c>
      <c r="D29">
        <v>28</v>
      </c>
      <c r="E29">
        <v>7300</v>
      </c>
      <c r="F29" t="s">
        <v>59</v>
      </c>
      <c r="G29">
        <v>8</v>
      </c>
      <c r="H29" t="s">
        <v>133</v>
      </c>
      <c r="I29">
        <v>21</v>
      </c>
      <c r="J29" s="54">
        <f t="shared" si="0"/>
        <v>8</v>
      </c>
    </row>
    <row r="30" spans="1:10">
      <c r="A30" s="43">
        <v>43332</v>
      </c>
      <c r="B30">
        <v>1998</v>
      </c>
      <c r="C30">
        <v>1060</v>
      </c>
      <c r="D30">
        <v>29</v>
      </c>
      <c r="E30">
        <v>7450</v>
      </c>
      <c r="F30" t="s">
        <v>59</v>
      </c>
      <c r="G30">
        <v>2</v>
      </c>
      <c r="H30" t="s">
        <v>133</v>
      </c>
      <c r="I30">
        <v>21</v>
      </c>
      <c r="J30" s="54">
        <f t="shared" si="0"/>
        <v>2</v>
      </c>
    </row>
    <row r="31" spans="1:10">
      <c r="A31" s="43">
        <v>43195</v>
      </c>
      <c r="B31">
        <v>1997</v>
      </c>
      <c r="C31">
        <v>1060</v>
      </c>
      <c r="D31">
        <v>30</v>
      </c>
      <c r="E31">
        <v>8500</v>
      </c>
      <c r="F31" t="s">
        <v>59</v>
      </c>
      <c r="G31">
        <v>8</v>
      </c>
      <c r="H31" t="s">
        <v>133</v>
      </c>
      <c r="I31">
        <v>22</v>
      </c>
      <c r="J31" s="54">
        <f t="shared" si="0"/>
        <v>8</v>
      </c>
    </row>
    <row r="32" spans="1:10">
      <c r="A32" s="43">
        <v>43105</v>
      </c>
      <c r="B32">
        <v>1998</v>
      </c>
      <c r="C32">
        <v>1060</v>
      </c>
      <c r="D32">
        <v>31</v>
      </c>
      <c r="E32">
        <v>6650</v>
      </c>
      <c r="F32" t="s">
        <v>59</v>
      </c>
      <c r="G32">
        <v>6</v>
      </c>
      <c r="H32" t="s">
        <v>133</v>
      </c>
      <c r="I32">
        <v>21</v>
      </c>
      <c r="J32" s="54">
        <f t="shared" si="0"/>
        <v>6</v>
      </c>
    </row>
    <row r="33" spans="1:10">
      <c r="A33" s="43">
        <v>43075</v>
      </c>
      <c r="B33">
        <v>1997</v>
      </c>
      <c r="C33">
        <v>1060</v>
      </c>
      <c r="D33">
        <v>32</v>
      </c>
      <c r="E33">
        <v>6500</v>
      </c>
      <c r="F33" t="s">
        <v>59</v>
      </c>
      <c r="G33">
        <v>12</v>
      </c>
      <c r="H33" t="s">
        <v>133</v>
      </c>
      <c r="I33">
        <v>22</v>
      </c>
      <c r="J33" s="54">
        <f t="shared" si="0"/>
        <v>12</v>
      </c>
    </row>
    <row r="34" spans="1:10">
      <c r="A34" s="43">
        <v>43021</v>
      </c>
      <c r="B34">
        <v>1998</v>
      </c>
      <c r="C34">
        <v>1060</v>
      </c>
      <c r="D34">
        <v>33</v>
      </c>
      <c r="E34">
        <v>6500</v>
      </c>
      <c r="F34" t="s">
        <v>59</v>
      </c>
      <c r="G34">
        <v>3</v>
      </c>
      <c r="H34" t="s">
        <v>133</v>
      </c>
      <c r="I34">
        <v>21</v>
      </c>
      <c r="J34" s="54">
        <f t="shared" si="0"/>
        <v>3</v>
      </c>
    </row>
    <row r="35" spans="1:10">
      <c r="A35" s="43">
        <v>42844</v>
      </c>
      <c r="B35">
        <v>1998</v>
      </c>
      <c r="C35">
        <v>1060</v>
      </c>
      <c r="D35">
        <v>34</v>
      </c>
      <c r="E35">
        <v>6350</v>
      </c>
      <c r="F35" t="s">
        <v>59</v>
      </c>
      <c r="G35">
        <v>6</v>
      </c>
      <c r="H35" t="s">
        <v>133</v>
      </c>
      <c r="I35">
        <v>21</v>
      </c>
      <c r="J35" s="54">
        <f t="shared" si="0"/>
        <v>6</v>
      </c>
    </row>
    <row r="36" spans="1:10">
      <c r="A36" s="43">
        <v>42620</v>
      </c>
      <c r="B36">
        <v>1998</v>
      </c>
      <c r="C36">
        <v>1060</v>
      </c>
      <c r="D36">
        <v>35</v>
      </c>
      <c r="E36">
        <v>6500</v>
      </c>
      <c r="F36" t="s">
        <v>59</v>
      </c>
      <c r="G36">
        <v>4</v>
      </c>
      <c r="H36" t="s">
        <v>133</v>
      </c>
      <c r="I36">
        <v>21</v>
      </c>
      <c r="J36" s="54">
        <f t="shared" si="0"/>
        <v>4</v>
      </c>
    </row>
    <row r="37" spans="1:10">
      <c r="A37" s="43">
        <v>42479</v>
      </c>
      <c r="B37">
        <v>1997</v>
      </c>
      <c r="C37">
        <v>1060</v>
      </c>
      <c r="D37">
        <v>36</v>
      </c>
      <c r="E37">
        <v>6550</v>
      </c>
      <c r="F37" t="s">
        <v>59</v>
      </c>
      <c r="G37">
        <v>5</v>
      </c>
      <c r="H37" t="s">
        <v>133</v>
      </c>
      <c r="I37">
        <v>22</v>
      </c>
      <c r="J37" s="54">
        <f t="shared" si="0"/>
        <v>5</v>
      </c>
    </row>
    <row r="38" spans="1:10">
      <c r="A38" s="43">
        <v>42460</v>
      </c>
      <c r="B38">
        <v>1998</v>
      </c>
      <c r="C38">
        <v>1060</v>
      </c>
      <c r="D38">
        <v>37</v>
      </c>
      <c r="E38">
        <v>6500</v>
      </c>
      <c r="F38" t="s">
        <v>59</v>
      </c>
      <c r="G38">
        <v>150</v>
      </c>
      <c r="H38" t="s">
        <v>60</v>
      </c>
      <c r="I38">
        <v>21</v>
      </c>
      <c r="J38" s="54">
        <f t="shared" si="0"/>
        <v>5</v>
      </c>
    </row>
    <row r="39" spans="1:10">
      <c r="A39" s="43">
        <v>43535</v>
      </c>
      <c r="B39">
        <v>1998</v>
      </c>
      <c r="C39">
        <v>1064</v>
      </c>
      <c r="D39">
        <v>38</v>
      </c>
      <c r="E39">
        <v>7300</v>
      </c>
      <c r="F39" t="s">
        <v>59</v>
      </c>
      <c r="G39">
        <v>3</v>
      </c>
      <c r="H39" t="s">
        <v>133</v>
      </c>
      <c r="I39">
        <v>21</v>
      </c>
      <c r="J39" s="54">
        <f t="shared" si="0"/>
        <v>3</v>
      </c>
    </row>
    <row r="40" spans="1:10">
      <c r="A40" s="43">
        <v>43412</v>
      </c>
      <c r="B40">
        <v>1998</v>
      </c>
      <c r="C40">
        <v>1064</v>
      </c>
      <c r="D40">
        <v>39</v>
      </c>
      <c r="E40">
        <v>7300</v>
      </c>
      <c r="F40" t="s">
        <v>59</v>
      </c>
      <c r="G40">
        <v>4</v>
      </c>
      <c r="H40" t="s">
        <v>133</v>
      </c>
      <c r="I40">
        <v>21</v>
      </c>
      <c r="J40" s="54">
        <f t="shared" si="0"/>
        <v>4</v>
      </c>
    </row>
    <row r="41" spans="1:10">
      <c r="A41" s="43">
        <v>43255</v>
      </c>
      <c r="B41">
        <v>1998</v>
      </c>
      <c r="C41">
        <v>1064</v>
      </c>
      <c r="D41">
        <v>40</v>
      </c>
      <c r="E41">
        <v>8250</v>
      </c>
      <c r="F41" t="s">
        <v>59</v>
      </c>
      <c r="G41">
        <v>4</v>
      </c>
      <c r="H41" t="s">
        <v>133</v>
      </c>
      <c r="I41">
        <v>21</v>
      </c>
      <c r="J41" s="54">
        <f t="shared" si="0"/>
        <v>4</v>
      </c>
    </row>
    <row r="42" spans="1:10">
      <c r="A42" s="43">
        <v>43119</v>
      </c>
      <c r="B42">
        <v>1998</v>
      </c>
      <c r="C42">
        <v>1064</v>
      </c>
      <c r="D42">
        <v>41</v>
      </c>
      <c r="E42">
        <v>7200</v>
      </c>
      <c r="F42" t="s">
        <v>59</v>
      </c>
      <c r="G42">
        <v>3</v>
      </c>
      <c r="H42" t="s">
        <v>133</v>
      </c>
      <c r="I42">
        <v>21</v>
      </c>
      <c r="J42" s="54">
        <f t="shared" si="0"/>
        <v>3</v>
      </c>
    </row>
    <row r="43" spans="1:10">
      <c r="A43" s="43">
        <v>42401</v>
      </c>
      <c r="B43">
        <v>1998</v>
      </c>
      <c r="C43">
        <v>1064</v>
      </c>
      <c r="D43">
        <v>42</v>
      </c>
      <c r="E43">
        <v>6250</v>
      </c>
      <c r="F43" t="s">
        <v>59</v>
      </c>
      <c r="G43">
        <v>6</v>
      </c>
      <c r="H43" t="s">
        <v>133</v>
      </c>
      <c r="I43">
        <v>21</v>
      </c>
      <c r="J43" s="54">
        <f t="shared" si="0"/>
        <v>6</v>
      </c>
    </row>
    <row r="44" spans="1:10">
      <c r="A44" s="43">
        <v>43070</v>
      </c>
      <c r="B44">
        <v>1999</v>
      </c>
      <c r="C44">
        <v>1102</v>
      </c>
      <c r="D44">
        <v>43</v>
      </c>
      <c r="E44">
        <v>6600</v>
      </c>
      <c r="F44" t="s">
        <v>59</v>
      </c>
      <c r="G44">
        <v>30</v>
      </c>
      <c r="H44" t="s">
        <v>60</v>
      </c>
      <c r="I44">
        <v>20</v>
      </c>
      <c r="J44" s="54">
        <f t="shared" si="0"/>
        <v>1</v>
      </c>
    </row>
    <row r="45" spans="1:10">
      <c r="A45" s="43">
        <v>42794</v>
      </c>
      <c r="B45">
        <v>1999</v>
      </c>
      <c r="C45">
        <v>1102</v>
      </c>
      <c r="D45">
        <v>44</v>
      </c>
      <c r="E45">
        <v>5350</v>
      </c>
      <c r="F45" t="s">
        <v>59</v>
      </c>
      <c r="G45">
        <v>7</v>
      </c>
      <c r="H45" t="s">
        <v>133</v>
      </c>
      <c r="I45">
        <v>20</v>
      </c>
      <c r="J45" s="54">
        <f t="shared" si="0"/>
        <v>7</v>
      </c>
    </row>
    <row r="46" spans="1:10">
      <c r="A46" s="43">
        <v>42524</v>
      </c>
      <c r="B46">
        <v>1999</v>
      </c>
      <c r="C46">
        <v>1102</v>
      </c>
      <c r="D46">
        <v>45</v>
      </c>
      <c r="E46">
        <v>6250</v>
      </c>
      <c r="F46" t="s">
        <v>59</v>
      </c>
      <c r="G46">
        <v>3</v>
      </c>
      <c r="H46" t="s">
        <v>133</v>
      </c>
      <c r="I46">
        <v>20</v>
      </c>
      <c r="J46" s="54">
        <f t="shared" si="0"/>
        <v>3</v>
      </c>
    </row>
    <row r="47" spans="1:10">
      <c r="A47" s="43">
        <v>42417</v>
      </c>
      <c r="B47">
        <v>1999</v>
      </c>
      <c r="C47">
        <v>1102</v>
      </c>
      <c r="D47">
        <v>46</v>
      </c>
      <c r="E47">
        <v>6000</v>
      </c>
      <c r="F47" t="s">
        <v>59</v>
      </c>
      <c r="G47">
        <v>12</v>
      </c>
      <c r="H47" t="s">
        <v>133</v>
      </c>
      <c r="I47">
        <v>20</v>
      </c>
      <c r="J47" s="54">
        <f t="shared" si="0"/>
        <v>12</v>
      </c>
    </row>
    <row r="48" spans="1:10">
      <c r="A48" s="43">
        <v>43585</v>
      </c>
      <c r="B48">
        <v>1998</v>
      </c>
      <c r="C48">
        <v>1104</v>
      </c>
      <c r="D48">
        <v>47</v>
      </c>
      <c r="E48">
        <v>8500</v>
      </c>
      <c r="F48" t="s">
        <v>59</v>
      </c>
      <c r="G48">
        <v>4</v>
      </c>
      <c r="H48" t="s">
        <v>134</v>
      </c>
      <c r="I48">
        <v>21</v>
      </c>
      <c r="J48" s="54">
        <f t="shared" si="0"/>
        <v>48</v>
      </c>
    </row>
    <row r="49" spans="1:10">
      <c r="A49" s="43">
        <v>43199</v>
      </c>
      <c r="B49">
        <v>1998</v>
      </c>
      <c r="C49">
        <v>1104</v>
      </c>
      <c r="D49">
        <v>48</v>
      </c>
      <c r="E49">
        <v>7500</v>
      </c>
      <c r="F49" t="s">
        <v>59</v>
      </c>
      <c r="G49">
        <v>14</v>
      </c>
      <c r="H49" t="s">
        <v>133</v>
      </c>
      <c r="I49">
        <v>21</v>
      </c>
      <c r="J49" s="54">
        <f t="shared" si="0"/>
        <v>14</v>
      </c>
    </row>
    <row r="50" spans="1:10">
      <c r="A50" s="43">
        <v>42772</v>
      </c>
      <c r="B50">
        <v>1998</v>
      </c>
      <c r="C50">
        <v>1104</v>
      </c>
      <c r="D50">
        <v>49</v>
      </c>
      <c r="E50">
        <v>6000</v>
      </c>
      <c r="F50" t="s">
        <v>59</v>
      </c>
      <c r="G50">
        <v>12</v>
      </c>
      <c r="H50" t="s">
        <v>133</v>
      </c>
      <c r="I50">
        <v>21</v>
      </c>
      <c r="J50" s="54">
        <f t="shared" si="0"/>
        <v>12</v>
      </c>
    </row>
    <row r="51" spans="1:10">
      <c r="A51" s="43">
        <v>43069</v>
      </c>
      <c r="B51">
        <v>1996</v>
      </c>
      <c r="C51">
        <v>1120</v>
      </c>
      <c r="D51">
        <v>50</v>
      </c>
      <c r="E51">
        <v>6300</v>
      </c>
      <c r="F51" t="s">
        <v>59</v>
      </c>
      <c r="G51">
        <v>45</v>
      </c>
      <c r="H51" t="s">
        <v>60</v>
      </c>
      <c r="I51">
        <v>23</v>
      </c>
      <c r="J51" s="54">
        <f t="shared" si="0"/>
        <v>2</v>
      </c>
    </row>
    <row r="52" spans="1:10">
      <c r="A52" s="43">
        <v>42933</v>
      </c>
      <c r="B52">
        <v>1996</v>
      </c>
      <c r="C52">
        <v>1120</v>
      </c>
      <c r="D52">
        <v>51</v>
      </c>
      <c r="E52">
        <v>6000</v>
      </c>
      <c r="F52" t="s">
        <v>59</v>
      </c>
      <c r="G52">
        <v>3</v>
      </c>
      <c r="H52" t="s">
        <v>133</v>
      </c>
      <c r="I52">
        <v>23</v>
      </c>
      <c r="J52" s="54">
        <f t="shared" si="0"/>
        <v>3</v>
      </c>
    </row>
    <row r="53" spans="1:10">
      <c r="A53" s="43">
        <v>42826</v>
      </c>
      <c r="B53">
        <v>1996</v>
      </c>
      <c r="C53">
        <v>1120</v>
      </c>
      <c r="D53">
        <v>52</v>
      </c>
      <c r="E53">
        <v>6000</v>
      </c>
      <c r="F53" t="s">
        <v>59</v>
      </c>
      <c r="G53">
        <v>3</v>
      </c>
      <c r="H53" t="s">
        <v>133</v>
      </c>
      <c r="I53">
        <v>23</v>
      </c>
      <c r="J53" s="54">
        <f t="shared" si="0"/>
        <v>3</v>
      </c>
    </row>
    <row r="54" spans="1:10">
      <c r="A54" s="43">
        <v>42751</v>
      </c>
      <c r="B54">
        <v>1996</v>
      </c>
      <c r="C54">
        <v>1120</v>
      </c>
      <c r="D54">
        <v>53</v>
      </c>
      <c r="E54">
        <v>6000</v>
      </c>
      <c r="F54" t="s">
        <v>59</v>
      </c>
      <c r="G54">
        <v>3</v>
      </c>
      <c r="H54" t="s">
        <v>133</v>
      </c>
      <c r="I54">
        <v>23</v>
      </c>
      <c r="J54" s="54">
        <f t="shared" si="0"/>
        <v>3</v>
      </c>
    </row>
    <row r="55" spans="1:10">
      <c r="A55" s="43">
        <v>42530</v>
      </c>
      <c r="B55">
        <v>1996</v>
      </c>
      <c r="C55">
        <v>1120</v>
      </c>
      <c r="D55">
        <v>54</v>
      </c>
      <c r="E55">
        <v>6250</v>
      </c>
      <c r="F55" t="s">
        <v>59</v>
      </c>
      <c r="G55">
        <v>6</v>
      </c>
      <c r="H55" t="s">
        <v>133</v>
      </c>
      <c r="I55">
        <v>23</v>
      </c>
      <c r="J55" s="54">
        <f t="shared" si="0"/>
        <v>6</v>
      </c>
    </row>
    <row r="56" spans="1:10">
      <c r="A56" s="43">
        <v>43486</v>
      </c>
      <c r="B56">
        <v>1996</v>
      </c>
      <c r="C56">
        <v>1122</v>
      </c>
      <c r="D56">
        <v>55</v>
      </c>
      <c r="E56">
        <v>6250</v>
      </c>
      <c r="F56" t="s">
        <v>59</v>
      </c>
      <c r="G56">
        <v>11</v>
      </c>
      <c r="H56" t="s">
        <v>133</v>
      </c>
      <c r="I56">
        <v>23</v>
      </c>
      <c r="J56" s="54">
        <f t="shared" si="0"/>
        <v>11</v>
      </c>
    </row>
    <row r="57" spans="1:10">
      <c r="A57" s="43">
        <v>43374</v>
      </c>
      <c r="B57">
        <v>1996</v>
      </c>
      <c r="C57">
        <v>1122</v>
      </c>
      <c r="D57">
        <v>56</v>
      </c>
      <c r="E57">
        <v>6500</v>
      </c>
      <c r="F57" t="s">
        <v>59</v>
      </c>
      <c r="G57">
        <v>7</v>
      </c>
      <c r="H57" t="s">
        <v>133</v>
      </c>
      <c r="I57">
        <v>23</v>
      </c>
      <c r="J57" s="54">
        <f t="shared" si="0"/>
        <v>7</v>
      </c>
    </row>
    <row r="58" spans="1:10">
      <c r="A58" s="43">
        <v>42863</v>
      </c>
      <c r="B58">
        <v>1996</v>
      </c>
      <c r="C58">
        <v>1122</v>
      </c>
      <c r="D58">
        <v>57</v>
      </c>
      <c r="E58">
        <v>7000</v>
      </c>
      <c r="F58" t="s">
        <v>59</v>
      </c>
      <c r="G58">
        <v>10</v>
      </c>
      <c r="H58" t="s">
        <v>133</v>
      </c>
      <c r="I58">
        <v>23</v>
      </c>
      <c r="J58" s="54">
        <f t="shared" si="0"/>
        <v>10</v>
      </c>
    </row>
    <row r="59" spans="1:10">
      <c r="A59" s="43">
        <v>42863</v>
      </c>
      <c r="B59">
        <v>1996</v>
      </c>
      <c r="C59">
        <v>1122</v>
      </c>
      <c r="D59">
        <v>58</v>
      </c>
      <c r="E59">
        <v>7000</v>
      </c>
      <c r="F59" t="s">
        <v>59</v>
      </c>
      <c r="G59">
        <v>10</v>
      </c>
      <c r="H59" t="s">
        <v>133</v>
      </c>
      <c r="I59">
        <v>23</v>
      </c>
      <c r="J59" s="54">
        <f t="shared" si="0"/>
        <v>10</v>
      </c>
    </row>
    <row r="60" spans="1:10">
      <c r="A60" s="43">
        <v>42692</v>
      </c>
      <c r="B60">
        <v>1996</v>
      </c>
      <c r="C60">
        <v>1122</v>
      </c>
      <c r="D60">
        <v>59</v>
      </c>
      <c r="E60">
        <v>6800</v>
      </c>
      <c r="F60" t="s">
        <v>59</v>
      </c>
      <c r="G60">
        <v>6</v>
      </c>
      <c r="H60" t="s">
        <v>133</v>
      </c>
      <c r="I60">
        <v>23</v>
      </c>
      <c r="J60" s="54">
        <f t="shared" si="0"/>
        <v>6</v>
      </c>
    </row>
    <row r="61" spans="1:10">
      <c r="A61" s="43">
        <v>42439</v>
      </c>
      <c r="B61">
        <v>1996</v>
      </c>
      <c r="C61">
        <v>1122</v>
      </c>
      <c r="D61">
        <v>60</v>
      </c>
      <c r="E61">
        <v>7000</v>
      </c>
      <c r="F61" t="s">
        <v>59</v>
      </c>
      <c r="G61">
        <v>13</v>
      </c>
      <c r="H61" t="s">
        <v>133</v>
      </c>
      <c r="I61">
        <v>23</v>
      </c>
      <c r="J61" s="54">
        <f t="shared" si="0"/>
        <v>13</v>
      </c>
    </row>
    <row r="62" spans="1:10">
      <c r="A62" s="43">
        <v>42415</v>
      </c>
      <c r="B62">
        <v>1996</v>
      </c>
      <c r="C62">
        <v>1122</v>
      </c>
      <c r="D62">
        <v>61</v>
      </c>
      <c r="E62">
        <v>7100</v>
      </c>
      <c r="F62" t="s">
        <v>59</v>
      </c>
      <c r="G62">
        <v>5</v>
      </c>
      <c r="H62" t="s">
        <v>133</v>
      </c>
      <c r="I62">
        <v>23</v>
      </c>
      <c r="J62" s="54">
        <f t="shared" si="0"/>
        <v>5</v>
      </c>
    </row>
    <row r="63" spans="1:10">
      <c r="A63" s="43">
        <v>42614</v>
      </c>
      <c r="B63">
        <v>1999</v>
      </c>
      <c r="C63">
        <v>1128</v>
      </c>
      <c r="D63">
        <v>62</v>
      </c>
      <c r="E63">
        <v>6900</v>
      </c>
      <c r="F63" t="s">
        <v>59</v>
      </c>
      <c r="G63">
        <v>3</v>
      </c>
      <c r="H63" t="s">
        <v>133</v>
      </c>
      <c r="I63">
        <v>20</v>
      </c>
      <c r="J63" s="54">
        <f t="shared" si="0"/>
        <v>3</v>
      </c>
    </row>
    <row r="64" spans="1:10">
      <c r="A64" s="43">
        <v>43242</v>
      </c>
      <c r="B64">
        <v>1996</v>
      </c>
      <c r="C64">
        <v>1129</v>
      </c>
      <c r="D64">
        <v>63</v>
      </c>
      <c r="E64">
        <v>9200</v>
      </c>
      <c r="F64" t="s">
        <v>59</v>
      </c>
      <c r="G64">
        <v>6</v>
      </c>
      <c r="H64" t="s">
        <v>133</v>
      </c>
      <c r="I64">
        <v>23</v>
      </c>
      <c r="J64" s="54">
        <f t="shared" si="0"/>
        <v>6</v>
      </c>
    </row>
    <row r="65" spans="1:10">
      <c r="A65" s="43">
        <v>43136</v>
      </c>
      <c r="B65">
        <v>1996</v>
      </c>
      <c r="C65">
        <v>1129</v>
      </c>
      <c r="D65">
        <v>64</v>
      </c>
      <c r="E65">
        <v>7300</v>
      </c>
      <c r="F65" t="s">
        <v>59</v>
      </c>
      <c r="G65">
        <v>13</v>
      </c>
      <c r="H65" t="s">
        <v>133</v>
      </c>
      <c r="I65">
        <v>23</v>
      </c>
      <c r="J65" s="54">
        <f t="shared" si="0"/>
        <v>13</v>
      </c>
    </row>
    <row r="66" spans="1:10">
      <c r="A66" s="43">
        <v>43047</v>
      </c>
      <c r="B66">
        <v>1996</v>
      </c>
      <c r="C66">
        <v>1129</v>
      </c>
      <c r="D66">
        <v>65</v>
      </c>
      <c r="E66">
        <v>6950</v>
      </c>
      <c r="F66" t="s">
        <v>59</v>
      </c>
      <c r="G66">
        <v>6</v>
      </c>
      <c r="H66" t="s">
        <v>133</v>
      </c>
      <c r="I66">
        <v>23</v>
      </c>
      <c r="J66" s="54">
        <f t="shared" ref="J66:J129" si="1">IF(H66="days",ROUND(G66/30,0),IF(H66="years",G66*12,G66))</f>
        <v>6</v>
      </c>
    </row>
    <row r="67" spans="1:10">
      <c r="A67" s="43">
        <v>42826</v>
      </c>
      <c r="B67">
        <v>1996</v>
      </c>
      <c r="C67">
        <v>1129</v>
      </c>
      <c r="D67">
        <v>66</v>
      </c>
      <c r="E67">
        <v>6850</v>
      </c>
      <c r="F67" t="s">
        <v>59</v>
      </c>
      <c r="G67">
        <v>42</v>
      </c>
      <c r="H67" t="s">
        <v>60</v>
      </c>
      <c r="I67">
        <v>23</v>
      </c>
      <c r="J67" s="54">
        <f t="shared" si="1"/>
        <v>1</v>
      </c>
    </row>
    <row r="68" spans="1:10">
      <c r="A68" s="43">
        <v>42440</v>
      </c>
      <c r="B68">
        <v>1997</v>
      </c>
      <c r="C68">
        <v>1129</v>
      </c>
      <c r="D68">
        <v>67</v>
      </c>
      <c r="E68">
        <v>7000</v>
      </c>
      <c r="F68" t="s">
        <v>59</v>
      </c>
      <c r="G68">
        <v>5</v>
      </c>
      <c r="H68" t="s">
        <v>133</v>
      </c>
      <c r="I68">
        <v>22</v>
      </c>
      <c r="J68" s="54">
        <f t="shared" si="1"/>
        <v>5</v>
      </c>
    </row>
    <row r="69" spans="1:10">
      <c r="A69" s="43">
        <v>42440</v>
      </c>
      <c r="B69">
        <v>1997</v>
      </c>
      <c r="C69">
        <v>1129</v>
      </c>
      <c r="D69">
        <v>68</v>
      </c>
      <c r="E69">
        <v>7000</v>
      </c>
      <c r="F69" t="s">
        <v>59</v>
      </c>
      <c r="G69">
        <v>5</v>
      </c>
      <c r="H69" t="s">
        <v>133</v>
      </c>
      <c r="I69">
        <v>22</v>
      </c>
      <c r="J69" s="54">
        <f t="shared" si="1"/>
        <v>5</v>
      </c>
    </row>
    <row r="70" spans="1:10">
      <c r="A70" s="43">
        <v>43083</v>
      </c>
      <c r="B70">
        <v>1995</v>
      </c>
      <c r="C70">
        <v>1131</v>
      </c>
      <c r="D70">
        <v>69</v>
      </c>
      <c r="E70">
        <v>6750</v>
      </c>
      <c r="F70" t="s">
        <v>59</v>
      </c>
      <c r="G70">
        <v>12</v>
      </c>
      <c r="H70" t="s">
        <v>133</v>
      </c>
      <c r="I70">
        <v>24</v>
      </c>
      <c r="J70" s="54">
        <f t="shared" si="1"/>
        <v>12</v>
      </c>
    </row>
    <row r="71" spans="1:10">
      <c r="A71" s="43">
        <v>43070</v>
      </c>
      <c r="B71">
        <v>1995</v>
      </c>
      <c r="C71">
        <v>1131</v>
      </c>
      <c r="D71">
        <v>70</v>
      </c>
      <c r="E71">
        <v>6750</v>
      </c>
      <c r="F71" t="s">
        <v>59</v>
      </c>
      <c r="G71">
        <v>13</v>
      </c>
      <c r="H71" t="s">
        <v>133</v>
      </c>
      <c r="I71">
        <v>24</v>
      </c>
      <c r="J71" s="54">
        <f t="shared" si="1"/>
        <v>13</v>
      </c>
    </row>
    <row r="72" spans="1:10">
      <c r="A72" s="43">
        <v>43635</v>
      </c>
      <c r="B72">
        <v>1998</v>
      </c>
      <c r="C72">
        <v>1138</v>
      </c>
      <c r="D72">
        <v>71</v>
      </c>
      <c r="E72">
        <v>6600</v>
      </c>
      <c r="F72" t="s">
        <v>59</v>
      </c>
      <c r="G72">
        <v>12</v>
      </c>
      <c r="H72" t="s">
        <v>133</v>
      </c>
      <c r="I72">
        <v>21</v>
      </c>
      <c r="J72" s="54">
        <f t="shared" si="1"/>
        <v>12</v>
      </c>
    </row>
    <row r="73" spans="1:10">
      <c r="A73" s="43">
        <v>43416</v>
      </c>
      <c r="B73">
        <v>1998</v>
      </c>
      <c r="C73">
        <v>1138</v>
      </c>
      <c r="D73">
        <v>72</v>
      </c>
      <c r="E73">
        <v>6900</v>
      </c>
      <c r="F73" t="s">
        <v>59</v>
      </c>
      <c r="G73">
        <v>12</v>
      </c>
      <c r="H73" t="s">
        <v>133</v>
      </c>
      <c r="I73">
        <v>21</v>
      </c>
      <c r="J73" s="54">
        <f t="shared" si="1"/>
        <v>12</v>
      </c>
    </row>
    <row r="74" spans="1:10">
      <c r="A74" s="43">
        <v>43235</v>
      </c>
      <c r="B74">
        <v>1998</v>
      </c>
      <c r="C74">
        <v>1138</v>
      </c>
      <c r="D74">
        <v>73</v>
      </c>
      <c r="E74">
        <v>8500</v>
      </c>
      <c r="F74" t="s">
        <v>59</v>
      </c>
      <c r="G74">
        <v>5</v>
      </c>
      <c r="H74" t="s">
        <v>133</v>
      </c>
      <c r="I74">
        <v>21</v>
      </c>
      <c r="J74" s="54">
        <f t="shared" si="1"/>
        <v>5</v>
      </c>
    </row>
    <row r="75" spans="1:10">
      <c r="A75" s="43">
        <v>42860</v>
      </c>
      <c r="B75">
        <v>1998</v>
      </c>
      <c r="C75">
        <v>1138</v>
      </c>
      <c r="D75">
        <v>74</v>
      </c>
      <c r="E75">
        <v>5950</v>
      </c>
      <c r="F75" t="s">
        <v>59</v>
      </c>
      <c r="G75">
        <v>12</v>
      </c>
      <c r="H75" t="s">
        <v>133</v>
      </c>
      <c r="I75">
        <v>21</v>
      </c>
      <c r="J75" s="54">
        <f t="shared" si="1"/>
        <v>12</v>
      </c>
    </row>
    <row r="76" spans="1:10">
      <c r="A76" s="43">
        <v>42856</v>
      </c>
      <c r="B76">
        <v>1998</v>
      </c>
      <c r="C76">
        <v>1138</v>
      </c>
      <c r="D76">
        <v>75</v>
      </c>
      <c r="E76">
        <v>6250</v>
      </c>
      <c r="F76" t="s">
        <v>59</v>
      </c>
      <c r="G76">
        <v>6</v>
      </c>
      <c r="H76" t="s">
        <v>133</v>
      </c>
      <c r="I76">
        <v>21</v>
      </c>
      <c r="J76" s="54">
        <f t="shared" si="1"/>
        <v>6</v>
      </c>
    </row>
    <row r="77" spans="1:10">
      <c r="A77" s="43">
        <v>42656</v>
      </c>
      <c r="B77">
        <v>1998</v>
      </c>
      <c r="C77">
        <v>1138</v>
      </c>
      <c r="D77">
        <v>76</v>
      </c>
      <c r="E77">
        <v>6500</v>
      </c>
      <c r="F77" t="s">
        <v>59</v>
      </c>
      <c r="G77">
        <v>12</v>
      </c>
      <c r="H77" t="s">
        <v>133</v>
      </c>
      <c r="I77">
        <v>21</v>
      </c>
      <c r="J77" s="54">
        <f t="shared" si="1"/>
        <v>12</v>
      </c>
    </row>
    <row r="78" spans="1:10">
      <c r="A78" s="43">
        <v>42467</v>
      </c>
      <c r="B78">
        <v>1998</v>
      </c>
      <c r="C78">
        <v>1138</v>
      </c>
      <c r="D78">
        <v>77</v>
      </c>
      <c r="E78">
        <v>7100</v>
      </c>
      <c r="F78" t="s">
        <v>59</v>
      </c>
      <c r="G78">
        <v>12</v>
      </c>
      <c r="H78" t="s">
        <v>133</v>
      </c>
      <c r="I78">
        <v>21</v>
      </c>
      <c r="J78" s="54">
        <f t="shared" si="1"/>
        <v>12</v>
      </c>
    </row>
    <row r="79" spans="1:10">
      <c r="A79" s="43">
        <v>42417</v>
      </c>
      <c r="B79">
        <v>1998</v>
      </c>
      <c r="C79">
        <v>1138</v>
      </c>
      <c r="D79">
        <v>78</v>
      </c>
      <c r="E79">
        <v>7150</v>
      </c>
      <c r="F79" t="s">
        <v>59</v>
      </c>
      <c r="G79">
        <v>6</v>
      </c>
      <c r="H79" t="s">
        <v>133</v>
      </c>
      <c r="I79">
        <v>21</v>
      </c>
      <c r="J79" s="54">
        <f t="shared" si="1"/>
        <v>6</v>
      </c>
    </row>
    <row r="80" spans="1:10">
      <c r="A80" s="43">
        <v>42450</v>
      </c>
      <c r="B80">
        <v>1999</v>
      </c>
      <c r="C80">
        <v>1139</v>
      </c>
      <c r="D80">
        <v>79</v>
      </c>
      <c r="E80">
        <v>6250</v>
      </c>
      <c r="F80" t="s">
        <v>59</v>
      </c>
      <c r="G80">
        <v>6</v>
      </c>
      <c r="H80" t="s">
        <v>133</v>
      </c>
      <c r="I80">
        <v>20</v>
      </c>
      <c r="J80" s="54">
        <f t="shared" si="1"/>
        <v>6</v>
      </c>
    </row>
    <row r="81" spans="1:10">
      <c r="A81" s="43">
        <v>42424</v>
      </c>
      <c r="B81">
        <v>1999</v>
      </c>
      <c r="C81">
        <v>1139</v>
      </c>
      <c r="D81">
        <v>80</v>
      </c>
      <c r="E81">
        <v>6800</v>
      </c>
      <c r="F81" t="s">
        <v>59</v>
      </c>
      <c r="G81">
        <v>10</v>
      </c>
      <c r="H81" t="s">
        <v>133</v>
      </c>
      <c r="I81">
        <v>20</v>
      </c>
      <c r="J81" s="54">
        <f t="shared" si="1"/>
        <v>10</v>
      </c>
    </row>
    <row r="82" spans="1:10">
      <c r="A82" s="43">
        <v>42559</v>
      </c>
      <c r="B82">
        <v>1999</v>
      </c>
      <c r="C82">
        <v>1145</v>
      </c>
      <c r="D82">
        <v>81</v>
      </c>
      <c r="E82">
        <v>6700</v>
      </c>
      <c r="F82" t="s">
        <v>59</v>
      </c>
      <c r="G82">
        <v>6</v>
      </c>
      <c r="H82" t="s">
        <v>133</v>
      </c>
      <c r="I82">
        <v>20</v>
      </c>
      <c r="J82" s="54">
        <f t="shared" si="1"/>
        <v>6</v>
      </c>
    </row>
    <row r="83" spans="1:10">
      <c r="A83" s="43">
        <v>42516</v>
      </c>
      <c r="B83">
        <v>1997</v>
      </c>
      <c r="C83">
        <v>1145</v>
      </c>
      <c r="D83">
        <v>82</v>
      </c>
      <c r="E83">
        <v>7100</v>
      </c>
      <c r="F83" t="s">
        <v>59</v>
      </c>
      <c r="G83">
        <v>12</v>
      </c>
      <c r="H83" t="s">
        <v>133</v>
      </c>
      <c r="I83">
        <v>22</v>
      </c>
      <c r="J83" s="54">
        <f t="shared" si="1"/>
        <v>12</v>
      </c>
    </row>
    <row r="84" spans="1:10">
      <c r="A84" s="43">
        <v>42510</v>
      </c>
      <c r="B84">
        <v>1999</v>
      </c>
      <c r="C84">
        <v>1145</v>
      </c>
      <c r="D84">
        <v>83</v>
      </c>
      <c r="E84">
        <v>6350</v>
      </c>
      <c r="F84" t="s">
        <v>59</v>
      </c>
      <c r="G84">
        <v>45</v>
      </c>
      <c r="H84" t="s">
        <v>60</v>
      </c>
      <c r="I84">
        <v>20</v>
      </c>
      <c r="J84" s="54">
        <f t="shared" si="1"/>
        <v>2</v>
      </c>
    </row>
    <row r="85" spans="1:10">
      <c r="A85" s="43">
        <v>42432</v>
      </c>
      <c r="B85">
        <v>1999</v>
      </c>
      <c r="C85">
        <v>1145</v>
      </c>
      <c r="D85">
        <v>84</v>
      </c>
      <c r="E85">
        <v>6700</v>
      </c>
      <c r="F85" t="s">
        <v>59</v>
      </c>
      <c r="G85">
        <v>8</v>
      </c>
      <c r="H85" t="s">
        <v>133</v>
      </c>
      <c r="I85">
        <v>20</v>
      </c>
      <c r="J85" s="54">
        <f t="shared" si="1"/>
        <v>8</v>
      </c>
    </row>
    <row r="86" spans="1:10">
      <c r="A86" s="43">
        <v>43049</v>
      </c>
      <c r="B86">
        <v>1994</v>
      </c>
      <c r="C86">
        <v>1152</v>
      </c>
      <c r="D86">
        <v>85</v>
      </c>
      <c r="E86">
        <v>6550</v>
      </c>
      <c r="F86" t="s">
        <v>59</v>
      </c>
      <c r="G86">
        <v>180</v>
      </c>
      <c r="H86" t="s">
        <v>60</v>
      </c>
      <c r="I86">
        <v>25</v>
      </c>
      <c r="J86" s="54">
        <f t="shared" si="1"/>
        <v>6</v>
      </c>
    </row>
    <row r="87" spans="1:10">
      <c r="A87" s="43">
        <v>43033</v>
      </c>
      <c r="B87">
        <v>1993</v>
      </c>
      <c r="C87">
        <v>1152</v>
      </c>
      <c r="D87">
        <v>86</v>
      </c>
      <c r="E87">
        <v>6400</v>
      </c>
      <c r="F87" t="s">
        <v>59</v>
      </c>
      <c r="G87">
        <v>4</v>
      </c>
      <c r="H87" t="s">
        <v>133</v>
      </c>
      <c r="I87">
        <v>26</v>
      </c>
      <c r="J87" s="54">
        <f t="shared" si="1"/>
        <v>4</v>
      </c>
    </row>
    <row r="88" spans="1:10">
      <c r="A88" s="43">
        <v>42635</v>
      </c>
      <c r="B88">
        <v>1993</v>
      </c>
      <c r="C88">
        <v>1152</v>
      </c>
      <c r="D88">
        <v>87</v>
      </c>
      <c r="E88">
        <v>7000</v>
      </c>
      <c r="F88" t="s">
        <v>59</v>
      </c>
      <c r="G88">
        <v>12</v>
      </c>
      <c r="H88" t="s">
        <v>133</v>
      </c>
      <c r="I88">
        <v>26</v>
      </c>
      <c r="J88" s="54">
        <f t="shared" si="1"/>
        <v>12</v>
      </c>
    </row>
    <row r="89" spans="1:10">
      <c r="A89" s="43">
        <v>43144</v>
      </c>
      <c r="B89">
        <v>1998</v>
      </c>
      <c r="C89">
        <v>1157</v>
      </c>
      <c r="D89">
        <v>88</v>
      </c>
      <c r="E89">
        <v>7800</v>
      </c>
      <c r="F89" t="s">
        <v>59</v>
      </c>
      <c r="G89">
        <v>6</v>
      </c>
      <c r="H89" t="s">
        <v>133</v>
      </c>
      <c r="I89">
        <v>21</v>
      </c>
      <c r="J89" s="54">
        <f t="shared" si="1"/>
        <v>6</v>
      </c>
    </row>
    <row r="90" spans="1:10">
      <c r="A90" s="43">
        <v>43571</v>
      </c>
      <c r="B90">
        <v>1996</v>
      </c>
      <c r="C90">
        <v>1162</v>
      </c>
      <c r="D90">
        <v>89</v>
      </c>
      <c r="E90">
        <v>5750</v>
      </c>
      <c r="F90" t="s">
        <v>59</v>
      </c>
      <c r="G90">
        <v>10</v>
      </c>
      <c r="H90" t="s">
        <v>133</v>
      </c>
      <c r="I90">
        <v>23</v>
      </c>
      <c r="J90" s="54">
        <f t="shared" si="1"/>
        <v>10</v>
      </c>
    </row>
    <row r="91" spans="1:10">
      <c r="A91" s="43">
        <v>43271</v>
      </c>
      <c r="B91">
        <v>1995</v>
      </c>
      <c r="C91">
        <v>1162</v>
      </c>
      <c r="D91">
        <v>90</v>
      </c>
      <c r="E91">
        <v>7750</v>
      </c>
      <c r="F91" t="s">
        <v>59</v>
      </c>
      <c r="G91">
        <v>12</v>
      </c>
      <c r="H91" t="s">
        <v>133</v>
      </c>
      <c r="I91">
        <v>24</v>
      </c>
      <c r="J91" s="54">
        <f t="shared" si="1"/>
        <v>12</v>
      </c>
    </row>
    <row r="92" spans="1:10">
      <c r="A92" s="43">
        <v>43202</v>
      </c>
      <c r="B92">
        <v>1996</v>
      </c>
      <c r="C92">
        <v>1162</v>
      </c>
      <c r="D92">
        <v>91</v>
      </c>
      <c r="E92">
        <v>7750</v>
      </c>
      <c r="F92" t="s">
        <v>59</v>
      </c>
      <c r="G92">
        <v>11</v>
      </c>
      <c r="H92" t="s">
        <v>133</v>
      </c>
      <c r="I92">
        <v>23</v>
      </c>
      <c r="J92" s="54">
        <f t="shared" si="1"/>
        <v>11</v>
      </c>
    </row>
    <row r="93" spans="1:10">
      <c r="A93" s="43">
        <v>43052</v>
      </c>
      <c r="B93">
        <v>1997</v>
      </c>
      <c r="C93">
        <v>1162</v>
      </c>
      <c r="D93">
        <v>92</v>
      </c>
      <c r="E93">
        <v>6100</v>
      </c>
      <c r="F93" t="s">
        <v>59</v>
      </c>
      <c r="G93">
        <v>12</v>
      </c>
      <c r="H93" t="s">
        <v>133</v>
      </c>
      <c r="I93">
        <v>22</v>
      </c>
      <c r="J93" s="54">
        <f t="shared" si="1"/>
        <v>12</v>
      </c>
    </row>
    <row r="94" spans="1:10">
      <c r="A94" s="43">
        <v>43031</v>
      </c>
      <c r="B94">
        <v>1995</v>
      </c>
      <c r="C94">
        <v>1162</v>
      </c>
      <c r="D94">
        <v>93</v>
      </c>
      <c r="E94">
        <v>5600</v>
      </c>
      <c r="F94" t="s">
        <v>59</v>
      </c>
      <c r="G94">
        <v>6</v>
      </c>
      <c r="H94" t="s">
        <v>133</v>
      </c>
      <c r="I94">
        <v>24</v>
      </c>
      <c r="J94" s="54">
        <f t="shared" si="1"/>
        <v>6</v>
      </c>
    </row>
    <row r="95" spans="1:10">
      <c r="A95" s="43">
        <v>43031</v>
      </c>
      <c r="B95">
        <v>1996</v>
      </c>
      <c r="C95">
        <v>1162</v>
      </c>
      <c r="D95">
        <v>94</v>
      </c>
      <c r="E95">
        <v>5600</v>
      </c>
      <c r="F95" t="s">
        <v>59</v>
      </c>
      <c r="G95">
        <v>6</v>
      </c>
      <c r="H95" t="s">
        <v>133</v>
      </c>
      <c r="I95">
        <v>23</v>
      </c>
      <c r="J95" s="54">
        <f t="shared" si="1"/>
        <v>6</v>
      </c>
    </row>
    <row r="96" spans="1:10">
      <c r="A96" s="43">
        <v>42864</v>
      </c>
      <c r="B96">
        <v>1995</v>
      </c>
      <c r="C96">
        <v>1162</v>
      </c>
      <c r="D96">
        <v>95</v>
      </c>
      <c r="E96">
        <v>5500</v>
      </c>
      <c r="F96" t="s">
        <v>59</v>
      </c>
      <c r="G96">
        <v>6</v>
      </c>
      <c r="H96" t="s">
        <v>133</v>
      </c>
      <c r="I96">
        <v>24</v>
      </c>
      <c r="J96" s="54">
        <f t="shared" si="1"/>
        <v>6</v>
      </c>
    </row>
    <row r="97" spans="1:10">
      <c r="A97" s="43">
        <v>42856</v>
      </c>
      <c r="B97">
        <v>1995</v>
      </c>
      <c r="C97">
        <v>1162</v>
      </c>
      <c r="D97">
        <v>96</v>
      </c>
      <c r="E97">
        <v>6500</v>
      </c>
      <c r="F97" t="s">
        <v>59</v>
      </c>
      <c r="G97">
        <v>12</v>
      </c>
      <c r="H97" t="s">
        <v>133</v>
      </c>
      <c r="I97">
        <v>24</v>
      </c>
      <c r="J97" s="54">
        <f t="shared" si="1"/>
        <v>12</v>
      </c>
    </row>
    <row r="98" spans="1:10">
      <c r="A98" s="43">
        <v>42844</v>
      </c>
      <c r="B98">
        <v>1996</v>
      </c>
      <c r="C98">
        <v>1162</v>
      </c>
      <c r="D98">
        <v>97</v>
      </c>
      <c r="E98">
        <v>5450</v>
      </c>
      <c r="F98" t="s">
        <v>59</v>
      </c>
      <c r="G98">
        <v>6</v>
      </c>
      <c r="H98" t="s">
        <v>133</v>
      </c>
      <c r="I98">
        <v>23</v>
      </c>
      <c r="J98" s="54">
        <f t="shared" si="1"/>
        <v>6</v>
      </c>
    </row>
    <row r="99" spans="1:10">
      <c r="A99" s="43">
        <v>42733</v>
      </c>
      <c r="B99">
        <v>1995</v>
      </c>
      <c r="C99">
        <v>1162</v>
      </c>
      <c r="D99">
        <v>98</v>
      </c>
      <c r="E99">
        <v>5400</v>
      </c>
      <c r="F99" t="s">
        <v>59</v>
      </c>
      <c r="G99">
        <v>6</v>
      </c>
      <c r="H99" t="s">
        <v>133</v>
      </c>
      <c r="I99">
        <v>24</v>
      </c>
      <c r="J99" s="54">
        <f t="shared" si="1"/>
        <v>6</v>
      </c>
    </row>
    <row r="100" spans="1:10">
      <c r="A100" s="43">
        <v>42732</v>
      </c>
      <c r="B100">
        <v>1996</v>
      </c>
      <c r="C100">
        <v>1162</v>
      </c>
      <c r="D100">
        <v>99</v>
      </c>
      <c r="E100">
        <v>5400</v>
      </c>
      <c r="F100" t="s">
        <v>59</v>
      </c>
      <c r="G100">
        <v>4</v>
      </c>
      <c r="H100" t="s">
        <v>133</v>
      </c>
      <c r="I100">
        <v>23</v>
      </c>
      <c r="J100" s="54">
        <f t="shared" si="1"/>
        <v>4</v>
      </c>
    </row>
    <row r="101" spans="1:10">
      <c r="A101" s="43">
        <v>42669</v>
      </c>
      <c r="B101">
        <v>1996</v>
      </c>
      <c r="C101">
        <v>1162</v>
      </c>
      <c r="D101">
        <v>100</v>
      </c>
      <c r="E101">
        <v>5800</v>
      </c>
      <c r="F101" t="s">
        <v>59</v>
      </c>
      <c r="G101">
        <v>30</v>
      </c>
      <c r="H101" t="s">
        <v>60</v>
      </c>
      <c r="I101">
        <v>23</v>
      </c>
      <c r="J101" s="54">
        <f t="shared" si="1"/>
        <v>1</v>
      </c>
    </row>
    <row r="102" spans="1:10">
      <c r="A102" s="43">
        <v>42584</v>
      </c>
      <c r="B102">
        <v>1996</v>
      </c>
      <c r="C102">
        <v>1162</v>
      </c>
      <c r="D102">
        <v>101</v>
      </c>
      <c r="E102">
        <v>6250</v>
      </c>
      <c r="F102" t="s">
        <v>59</v>
      </c>
      <c r="G102">
        <v>6</v>
      </c>
      <c r="H102" t="s">
        <v>133</v>
      </c>
      <c r="I102">
        <v>23</v>
      </c>
      <c r="J102" s="54">
        <f t="shared" si="1"/>
        <v>6</v>
      </c>
    </row>
    <row r="103" spans="1:10">
      <c r="A103" s="43">
        <v>42487</v>
      </c>
      <c r="B103">
        <v>1995</v>
      </c>
      <c r="C103">
        <v>1162</v>
      </c>
      <c r="D103">
        <v>102</v>
      </c>
      <c r="E103">
        <v>6200</v>
      </c>
      <c r="F103" t="s">
        <v>59</v>
      </c>
      <c r="G103">
        <v>14</v>
      </c>
      <c r="H103" t="s">
        <v>133</v>
      </c>
      <c r="I103">
        <v>24</v>
      </c>
      <c r="J103" s="54">
        <f t="shared" si="1"/>
        <v>14</v>
      </c>
    </row>
    <row r="104" spans="1:10">
      <c r="A104" s="43">
        <v>42381</v>
      </c>
      <c r="B104">
        <v>1995</v>
      </c>
      <c r="C104">
        <v>1162</v>
      </c>
      <c r="D104">
        <v>103</v>
      </c>
      <c r="E104">
        <v>6100</v>
      </c>
      <c r="F104" t="s">
        <v>59</v>
      </c>
      <c r="G104">
        <v>6</v>
      </c>
      <c r="H104" t="s">
        <v>133</v>
      </c>
      <c r="I104">
        <v>24</v>
      </c>
      <c r="J104" s="54">
        <f t="shared" si="1"/>
        <v>6</v>
      </c>
    </row>
    <row r="105" spans="1:10">
      <c r="A105" s="43">
        <v>43388</v>
      </c>
      <c r="B105">
        <v>1990</v>
      </c>
      <c r="C105">
        <v>1169</v>
      </c>
      <c r="D105">
        <v>104</v>
      </c>
      <c r="E105">
        <v>9750</v>
      </c>
      <c r="F105" t="s">
        <v>59</v>
      </c>
      <c r="G105">
        <v>5.5</v>
      </c>
      <c r="H105" t="s">
        <v>133</v>
      </c>
      <c r="I105">
        <v>29</v>
      </c>
      <c r="J105" s="54">
        <f t="shared" si="1"/>
        <v>5.5</v>
      </c>
    </row>
    <row r="106" spans="1:10">
      <c r="A106" s="43">
        <v>43388</v>
      </c>
      <c r="B106">
        <v>1993</v>
      </c>
      <c r="C106">
        <v>1169</v>
      </c>
      <c r="D106">
        <v>105</v>
      </c>
      <c r="E106">
        <v>9750</v>
      </c>
      <c r="F106" t="s">
        <v>59</v>
      </c>
      <c r="G106">
        <v>5.5</v>
      </c>
      <c r="H106" t="s">
        <v>133</v>
      </c>
      <c r="I106">
        <v>26</v>
      </c>
      <c r="J106" s="54">
        <f t="shared" si="1"/>
        <v>5.5</v>
      </c>
    </row>
    <row r="107" spans="1:10">
      <c r="A107" s="43">
        <v>43229</v>
      </c>
      <c r="B107">
        <v>1993</v>
      </c>
      <c r="C107">
        <v>1169</v>
      </c>
      <c r="D107">
        <v>106</v>
      </c>
      <c r="E107">
        <v>11500</v>
      </c>
      <c r="F107" t="s">
        <v>59</v>
      </c>
      <c r="G107">
        <v>8</v>
      </c>
      <c r="H107" t="s">
        <v>133</v>
      </c>
      <c r="I107">
        <v>26</v>
      </c>
      <c r="J107" s="54">
        <f t="shared" si="1"/>
        <v>8</v>
      </c>
    </row>
    <row r="108" spans="1:10">
      <c r="A108" s="43">
        <v>43038</v>
      </c>
      <c r="B108">
        <v>1990</v>
      </c>
      <c r="C108">
        <v>1169</v>
      </c>
      <c r="D108">
        <v>107</v>
      </c>
      <c r="E108">
        <v>8300</v>
      </c>
      <c r="F108" t="s">
        <v>59</v>
      </c>
      <c r="G108">
        <v>7</v>
      </c>
      <c r="H108" t="s">
        <v>133</v>
      </c>
      <c r="I108">
        <v>29</v>
      </c>
      <c r="J108" s="54">
        <f t="shared" si="1"/>
        <v>7</v>
      </c>
    </row>
    <row r="109" spans="1:10">
      <c r="A109" s="43">
        <v>42866</v>
      </c>
      <c r="B109">
        <v>1990</v>
      </c>
      <c r="C109">
        <v>1169</v>
      </c>
      <c r="D109">
        <v>108</v>
      </c>
      <c r="E109">
        <v>7500</v>
      </c>
      <c r="F109" t="s">
        <v>59</v>
      </c>
      <c r="G109">
        <v>6</v>
      </c>
      <c r="H109" t="s">
        <v>133</v>
      </c>
      <c r="I109">
        <v>29</v>
      </c>
      <c r="J109" s="54">
        <f t="shared" si="1"/>
        <v>6</v>
      </c>
    </row>
    <row r="110" spans="1:10">
      <c r="A110" s="43">
        <v>42723</v>
      </c>
      <c r="B110">
        <v>1993</v>
      </c>
      <c r="C110">
        <v>1169</v>
      </c>
      <c r="D110">
        <v>109</v>
      </c>
      <c r="E110">
        <v>7000</v>
      </c>
      <c r="F110" t="s">
        <v>59</v>
      </c>
      <c r="G110">
        <v>8</v>
      </c>
      <c r="H110" t="s">
        <v>133</v>
      </c>
      <c r="I110">
        <v>26</v>
      </c>
      <c r="J110" s="54">
        <f t="shared" si="1"/>
        <v>8</v>
      </c>
    </row>
    <row r="111" spans="1:10">
      <c r="A111" s="43">
        <v>42723</v>
      </c>
      <c r="B111">
        <v>1990</v>
      </c>
      <c r="C111">
        <v>1169</v>
      </c>
      <c r="D111">
        <v>110</v>
      </c>
      <c r="E111">
        <v>7000</v>
      </c>
      <c r="F111" t="s">
        <v>59</v>
      </c>
      <c r="G111">
        <v>5</v>
      </c>
      <c r="H111" t="s">
        <v>133</v>
      </c>
      <c r="I111">
        <v>29</v>
      </c>
      <c r="J111" s="54">
        <f t="shared" si="1"/>
        <v>5</v>
      </c>
    </row>
    <row r="112" spans="1:10">
      <c r="A112" s="43">
        <v>42480</v>
      </c>
      <c r="B112">
        <v>1993</v>
      </c>
      <c r="C112">
        <v>1169</v>
      </c>
      <c r="D112">
        <v>111</v>
      </c>
      <c r="E112">
        <v>6900</v>
      </c>
      <c r="F112" t="s">
        <v>59</v>
      </c>
      <c r="G112">
        <v>9</v>
      </c>
      <c r="H112" t="s">
        <v>133</v>
      </c>
      <c r="I112">
        <v>26</v>
      </c>
      <c r="J112" s="54">
        <f t="shared" si="1"/>
        <v>9</v>
      </c>
    </row>
    <row r="113" spans="1:10">
      <c r="A113" s="43">
        <v>43070</v>
      </c>
      <c r="B113">
        <v>1999</v>
      </c>
      <c r="C113">
        <v>1174</v>
      </c>
      <c r="D113">
        <v>112</v>
      </c>
      <c r="E113">
        <v>7300</v>
      </c>
      <c r="F113" t="s">
        <v>59</v>
      </c>
      <c r="G113">
        <v>12</v>
      </c>
      <c r="H113" t="s">
        <v>133</v>
      </c>
      <c r="I113">
        <v>20</v>
      </c>
      <c r="J113" s="54">
        <f t="shared" si="1"/>
        <v>12</v>
      </c>
    </row>
    <row r="114" spans="1:10">
      <c r="A114" s="43">
        <v>42401</v>
      </c>
      <c r="B114">
        <v>1999</v>
      </c>
      <c r="C114">
        <v>1174</v>
      </c>
      <c r="D114">
        <v>113</v>
      </c>
      <c r="E114">
        <v>6800</v>
      </c>
      <c r="F114" t="s">
        <v>59</v>
      </c>
      <c r="G114">
        <v>12</v>
      </c>
      <c r="H114" t="s">
        <v>133</v>
      </c>
      <c r="I114">
        <v>20</v>
      </c>
      <c r="J114" s="54">
        <f t="shared" si="1"/>
        <v>12</v>
      </c>
    </row>
    <row r="115" spans="1:10">
      <c r="A115" s="43">
        <v>43626</v>
      </c>
      <c r="B115">
        <v>1997</v>
      </c>
      <c r="C115">
        <v>1177</v>
      </c>
      <c r="D115">
        <v>114</v>
      </c>
      <c r="E115">
        <v>7400</v>
      </c>
      <c r="F115" t="s">
        <v>59</v>
      </c>
      <c r="G115">
        <v>4</v>
      </c>
      <c r="H115" t="s">
        <v>133</v>
      </c>
      <c r="I115">
        <v>22</v>
      </c>
      <c r="J115" s="54">
        <f t="shared" si="1"/>
        <v>4</v>
      </c>
    </row>
    <row r="116" spans="1:10">
      <c r="A116" s="43">
        <v>43514</v>
      </c>
      <c r="B116">
        <v>1997</v>
      </c>
      <c r="C116">
        <v>1177</v>
      </c>
      <c r="D116">
        <v>115</v>
      </c>
      <c r="E116">
        <v>7500</v>
      </c>
      <c r="F116" t="s">
        <v>59</v>
      </c>
      <c r="G116">
        <v>2</v>
      </c>
      <c r="H116" t="s">
        <v>133</v>
      </c>
      <c r="I116">
        <v>22</v>
      </c>
      <c r="J116" s="54">
        <f t="shared" si="1"/>
        <v>2</v>
      </c>
    </row>
    <row r="117" spans="1:10">
      <c r="A117" s="43">
        <v>42788</v>
      </c>
      <c r="B117">
        <v>1997</v>
      </c>
      <c r="C117">
        <v>1177</v>
      </c>
      <c r="D117">
        <v>116</v>
      </c>
      <c r="E117">
        <v>7200</v>
      </c>
      <c r="F117" t="s">
        <v>59</v>
      </c>
      <c r="G117">
        <v>14</v>
      </c>
      <c r="H117" t="s">
        <v>133</v>
      </c>
      <c r="I117">
        <v>22</v>
      </c>
      <c r="J117" s="54">
        <f t="shared" si="1"/>
        <v>14</v>
      </c>
    </row>
    <row r="118" spans="1:10">
      <c r="A118" s="43">
        <v>42788</v>
      </c>
      <c r="B118">
        <v>1997</v>
      </c>
      <c r="C118">
        <v>1177</v>
      </c>
      <c r="D118">
        <v>117</v>
      </c>
      <c r="E118">
        <v>7200</v>
      </c>
      <c r="F118" t="s">
        <v>59</v>
      </c>
      <c r="G118">
        <v>14</v>
      </c>
      <c r="H118" t="s">
        <v>133</v>
      </c>
      <c r="I118">
        <v>22</v>
      </c>
      <c r="J118" s="54">
        <f t="shared" si="1"/>
        <v>14</v>
      </c>
    </row>
    <row r="119" spans="1:10">
      <c r="A119" s="43">
        <v>43000</v>
      </c>
      <c r="B119">
        <v>1996</v>
      </c>
      <c r="C119">
        <v>1205</v>
      </c>
      <c r="D119">
        <v>118</v>
      </c>
      <c r="E119">
        <v>6350</v>
      </c>
      <c r="F119" t="s">
        <v>59</v>
      </c>
      <c r="G119">
        <v>6</v>
      </c>
      <c r="H119" t="s">
        <v>133</v>
      </c>
      <c r="I119">
        <v>23</v>
      </c>
      <c r="J119" s="54">
        <f t="shared" si="1"/>
        <v>6</v>
      </c>
    </row>
    <row r="120" spans="1:10">
      <c r="A120" s="43">
        <v>42845</v>
      </c>
      <c r="B120">
        <v>1996</v>
      </c>
      <c r="C120">
        <v>1205</v>
      </c>
      <c r="D120">
        <v>119</v>
      </c>
      <c r="E120">
        <v>6275</v>
      </c>
      <c r="F120" t="s">
        <v>59</v>
      </c>
      <c r="G120">
        <v>5</v>
      </c>
      <c r="H120" t="s">
        <v>133</v>
      </c>
      <c r="I120">
        <v>23</v>
      </c>
      <c r="J120" s="54">
        <f t="shared" si="1"/>
        <v>5</v>
      </c>
    </row>
    <row r="121" spans="1:10">
      <c r="A121" s="43">
        <v>42515</v>
      </c>
      <c r="B121">
        <v>1996</v>
      </c>
      <c r="C121">
        <v>1205</v>
      </c>
      <c r="D121">
        <v>120</v>
      </c>
      <c r="E121">
        <v>7300</v>
      </c>
      <c r="F121" t="s">
        <v>59</v>
      </c>
      <c r="G121">
        <v>42</v>
      </c>
      <c r="H121" t="s">
        <v>60</v>
      </c>
      <c r="I121">
        <v>23</v>
      </c>
      <c r="J121" s="54">
        <f t="shared" si="1"/>
        <v>1</v>
      </c>
    </row>
    <row r="122" spans="1:10">
      <c r="A122" s="43">
        <v>43069</v>
      </c>
      <c r="B122">
        <v>1992</v>
      </c>
      <c r="C122">
        <v>1308</v>
      </c>
      <c r="D122">
        <v>121</v>
      </c>
      <c r="E122">
        <v>7500</v>
      </c>
      <c r="F122" t="s">
        <v>59</v>
      </c>
      <c r="G122">
        <v>5</v>
      </c>
      <c r="H122" t="s">
        <v>133</v>
      </c>
      <c r="I122">
        <v>27</v>
      </c>
      <c r="J122" s="54">
        <f t="shared" si="1"/>
        <v>5</v>
      </c>
    </row>
    <row r="123" spans="1:10">
      <c r="A123" s="43">
        <v>42851</v>
      </c>
      <c r="B123">
        <v>1992</v>
      </c>
      <c r="C123">
        <v>1308</v>
      </c>
      <c r="D123">
        <v>122</v>
      </c>
      <c r="E123">
        <v>7000</v>
      </c>
      <c r="F123" t="s">
        <v>59</v>
      </c>
      <c r="G123">
        <v>6</v>
      </c>
      <c r="H123" t="s">
        <v>133</v>
      </c>
      <c r="I123">
        <v>27</v>
      </c>
      <c r="J123" s="54">
        <f t="shared" si="1"/>
        <v>6</v>
      </c>
    </row>
    <row r="124" spans="1:10">
      <c r="A124" s="43">
        <v>43483</v>
      </c>
      <c r="B124">
        <v>1998</v>
      </c>
      <c r="C124">
        <v>1367</v>
      </c>
      <c r="D124">
        <v>123</v>
      </c>
      <c r="E124">
        <v>7650</v>
      </c>
      <c r="F124" t="s">
        <v>59</v>
      </c>
      <c r="G124">
        <v>6</v>
      </c>
      <c r="H124" t="s">
        <v>133</v>
      </c>
      <c r="I124">
        <v>21</v>
      </c>
      <c r="J124" s="54">
        <f t="shared" si="1"/>
        <v>6</v>
      </c>
    </row>
    <row r="125" spans="1:10">
      <c r="A125" s="43">
        <v>43374</v>
      </c>
      <c r="B125">
        <v>1998</v>
      </c>
      <c r="C125">
        <v>1367</v>
      </c>
      <c r="D125">
        <v>124</v>
      </c>
      <c r="E125">
        <v>9250</v>
      </c>
      <c r="F125" t="s">
        <v>59</v>
      </c>
      <c r="G125">
        <v>5</v>
      </c>
      <c r="H125" t="s">
        <v>133</v>
      </c>
      <c r="I125">
        <v>21</v>
      </c>
      <c r="J125" s="54">
        <f t="shared" si="1"/>
        <v>5</v>
      </c>
    </row>
    <row r="126" spans="1:10">
      <c r="A126" s="43">
        <v>43342</v>
      </c>
      <c r="B126">
        <v>1995</v>
      </c>
      <c r="C126">
        <v>1367</v>
      </c>
      <c r="D126">
        <v>125</v>
      </c>
      <c r="E126">
        <v>10000</v>
      </c>
      <c r="F126" t="s">
        <v>59</v>
      </c>
      <c r="G126">
        <v>6</v>
      </c>
      <c r="H126" t="s">
        <v>133</v>
      </c>
      <c r="I126">
        <v>24</v>
      </c>
      <c r="J126" s="54">
        <f t="shared" si="1"/>
        <v>6</v>
      </c>
    </row>
    <row r="127" spans="1:10">
      <c r="A127" s="43">
        <v>43266</v>
      </c>
      <c r="B127">
        <v>1995</v>
      </c>
      <c r="C127">
        <v>1367</v>
      </c>
      <c r="D127">
        <v>126</v>
      </c>
      <c r="E127">
        <v>10500</v>
      </c>
      <c r="F127" t="s">
        <v>59</v>
      </c>
      <c r="G127">
        <v>4</v>
      </c>
      <c r="H127" t="s">
        <v>133</v>
      </c>
      <c r="I127">
        <v>24</v>
      </c>
      <c r="J127" s="54">
        <f t="shared" si="1"/>
        <v>4</v>
      </c>
    </row>
    <row r="128" spans="1:10">
      <c r="A128" s="43">
        <v>43139</v>
      </c>
      <c r="B128">
        <v>1998</v>
      </c>
      <c r="C128">
        <v>1367</v>
      </c>
      <c r="D128">
        <v>127</v>
      </c>
      <c r="E128">
        <v>8900</v>
      </c>
      <c r="F128" t="s">
        <v>59</v>
      </c>
      <c r="G128">
        <v>7</v>
      </c>
      <c r="H128" t="s">
        <v>133</v>
      </c>
      <c r="I128">
        <v>21</v>
      </c>
      <c r="J128" s="54">
        <f t="shared" si="1"/>
        <v>7</v>
      </c>
    </row>
    <row r="129" spans="1:10">
      <c r="A129" s="43">
        <v>43070</v>
      </c>
      <c r="B129">
        <v>1995</v>
      </c>
      <c r="C129">
        <v>1367</v>
      </c>
      <c r="D129">
        <v>128</v>
      </c>
      <c r="E129">
        <v>8250</v>
      </c>
      <c r="F129" t="s">
        <v>59</v>
      </c>
      <c r="G129">
        <v>4</v>
      </c>
      <c r="H129" t="s">
        <v>133</v>
      </c>
      <c r="I129">
        <v>24</v>
      </c>
      <c r="J129" s="54">
        <f t="shared" si="1"/>
        <v>4</v>
      </c>
    </row>
    <row r="130" spans="1:10">
      <c r="A130" s="43">
        <v>43063</v>
      </c>
      <c r="B130">
        <v>1997</v>
      </c>
      <c r="C130">
        <v>1367</v>
      </c>
      <c r="D130">
        <v>129</v>
      </c>
      <c r="E130">
        <v>8200</v>
      </c>
      <c r="F130" t="s">
        <v>59</v>
      </c>
      <c r="G130">
        <v>7</v>
      </c>
      <c r="H130" t="s">
        <v>133</v>
      </c>
      <c r="I130">
        <v>22</v>
      </c>
      <c r="J130" s="54">
        <f t="shared" ref="J130:J193" si="2">IF(H130="days",ROUND(G130/30,0),IF(H130="years",G130*12,G130))</f>
        <v>7</v>
      </c>
    </row>
    <row r="131" spans="1:10">
      <c r="A131" s="43">
        <v>42971</v>
      </c>
      <c r="B131">
        <v>1995</v>
      </c>
      <c r="C131">
        <v>1367</v>
      </c>
      <c r="D131">
        <v>130</v>
      </c>
      <c r="E131">
        <v>7000</v>
      </c>
      <c r="F131" t="s">
        <v>59</v>
      </c>
      <c r="G131">
        <v>4</v>
      </c>
      <c r="H131" t="s">
        <v>133</v>
      </c>
      <c r="I131">
        <v>24</v>
      </c>
      <c r="J131" s="54">
        <f t="shared" si="2"/>
        <v>4</v>
      </c>
    </row>
    <row r="132" spans="1:10">
      <c r="A132" s="43">
        <v>42947</v>
      </c>
      <c r="B132">
        <v>1998</v>
      </c>
      <c r="C132">
        <v>1367</v>
      </c>
      <c r="D132">
        <v>131</v>
      </c>
      <c r="E132">
        <v>7000</v>
      </c>
      <c r="F132" t="s">
        <v>59</v>
      </c>
      <c r="G132">
        <v>6</v>
      </c>
      <c r="H132" t="s">
        <v>133</v>
      </c>
      <c r="I132">
        <v>21</v>
      </c>
      <c r="J132" s="54">
        <f t="shared" si="2"/>
        <v>6</v>
      </c>
    </row>
    <row r="133" spans="1:10">
      <c r="A133" s="43">
        <v>42871</v>
      </c>
      <c r="B133">
        <v>1995</v>
      </c>
      <c r="C133">
        <v>1367</v>
      </c>
      <c r="D133">
        <v>132</v>
      </c>
      <c r="E133">
        <v>6700</v>
      </c>
      <c r="F133" t="s">
        <v>59</v>
      </c>
      <c r="G133">
        <v>4</v>
      </c>
      <c r="H133" t="s">
        <v>133</v>
      </c>
      <c r="I133">
        <v>24</v>
      </c>
      <c r="J133" s="54">
        <f t="shared" si="2"/>
        <v>4</v>
      </c>
    </row>
    <row r="134" spans="1:10">
      <c r="A134" s="43">
        <v>42867</v>
      </c>
      <c r="B134">
        <v>1995</v>
      </c>
      <c r="C134">
        <v>1367</v>
      </c>
      <c r="D134">
        <v>133</v>
      </c>
      <c r="E134">
        <v>6200</v>
      </c>
      <c r="F134" t="s">
        <v>59</v>
      </c>
      <c r="G134">
        <v>9</v>
      </c>
      <c r="H134" t="s">
        <v>133</v>
      </c>
      <c r="I134">
        <v>24</v>
      </c>
      <c r="J134" s="54">
        <f t="shared" si="2"/>
        <v>9</v>
      </c>
    </row>
    <row r="135" spans="1:10">
      <c r="A135" s="43">
        <v>42858</v>
      </c>
      <c r="B135">
        <v>1997</v>
      </c>
      <c r="C135">
        <v>1367</v>
      </c>
      <c r="D135">
        <v>134</v>
      </c>
      <c r="E135">
        <v>6900</v>
      </c>
      <c r="F135" t="s">
        <v>59</v>
      </c>
      <c r="G135">
        <v>100</v>
      </c>
      <c r="H135" t="s">
        <v>60</v>
      </c>
      <c r="I135">
        <v>22</v>
      </c>
      <c r="J135" s="54">
        <f t="shared" si="2"/>
        <v>3</v>
      </c>
    </row>
    <row r="136" spans="1:10">
      <c r="A136" s="43">
        <v>42795</v>
      </c>
      <c r="B136">
        <v>1995</v>
      </c>
      <c r="C136">
        <v>1367</v>
      </c>
      <c r="D136">
        <v>135</v>
      </c>
      <c r="E136">
        <v>6700</v>
      </c>
      <c r="F136" t="s">
        <v>59</v>
      </c>
      <c r="G136">
        <v>30</v>
      </c>
      <c r="H136" t="s">
        <v>60</v>
      </c>
      <c r="I136">
        <v>24</v>
      </c>
      <c r="J136" s="54">
        <f t="shared" si="2"/>
        <v>1</v>
      </c>
    </row>
    <row r="137" spans="1:10">
      <c r="A137" s="43">
        <v>42775</v>
      </c>
      <c r="B137">
        <v>1995</v>
      </c>
      <c r="C137">
        <v>1367</v>
      </c>
      <c r="D137">
        <v>136</v>
      </c>
      <c r="E137">
        <v>6200</v>
      </c>
      <c r="F137" t="s">
        <v>59</v>
      </c>
      <c r="G137">
        <v>42</v>
      </c>
      <c r="H137" t="s">
        <v>60</v>
      </c>
      <c r="I137">
        <v>24</v>
      </c>
      <c r="J137" s="54">
        <f t="shared" si="2"/>
        <v>1</v>
      </c>
    </row>
    <row r="138" spans="1:10">
      <c r="A138" s="43">
        <v>42773</v>
      </c>
      <c r="B138">
        <v>1998</v>
      </c>
      <c r="C138">
        <v>1367</v>
      </c>
      <c r="D138">
        <v>137</v>
      </c>
      <c r="E138">
        <v>6500</v>
      </c>
      <c r="F138" t="s">
        <v>59</v>
      </c>
      <c r="G138">
        <v>6</v>
      </c>
      <c r="H138" t="s">
        <v>133</v>
      </c>
      <c r="I138">
        <v>21</v>
      </c>
      <c r="J138" s="54">
        <f t="shared" si="2"/>
        <v>6</v>
      </c>
    </row>
    <row r="139" spans="1:10">
      <c r="A139" s="43">
        <v>42739</v>
      </c>
      <c r="B139">
        <v>1997</v>
      </c>
      <c r="C139">
        <v>1367</v>
      </c>
      <c r="D139">
        <v>138</v>
      </c>
      <c r="E139">
        <v>6100</v>
      </c>
      <c r="F139" t="s">
        <v>59</v>
      </c>
      <c r="G139">
        <v>3</v>
      </c>
      <c r="H139" t="s">
        <v>133</v>
      </c>
      <c r="I139">
        <v>22</v>
      </c>
      <c r="J139" s="54">
        <f t="shared" si="2"/>
        <v>3</v>
      </c>
    </row>
    <row r="140" spans="1:10">
      <c r="A140" s="43">
        <v>42632</v>
      </c>
      <c r="B140">
        <v>1997</v>
      </c>
      <c r="C140">
        <v>1367</v>
      </c>
      <c r="D140">
        <v>139</v>
      </c>
      <c r="E140">
        <v>6200</v>
      </c>
      <c r="F140" t="s">
        <v>59</v>
      </c>
      <c r="G140">
        <v>3</v>
      </c>
      <c r="H140" t="s">
        <v>133</v>
      </c>
      <c r="I140">
        <v>22</v>
      </c>
      <c r="J140" s="54">
        <f t="shared" si="2"/>
        <v>3</v>
      </c>
    </row>
    <row r="141" spans="1:10">
      <c r="A141" s="43">
        <v>42555</v>
      </c>
      <c r="B141">
        <v>1995</v>
      </c>
      <c r="C141">
        <v>1367</v>
      </c>
      <c r="D141">
        <v>140</v>
      </c>
      <c r="E141">
        <v>6500</v>
      </c>
      <c r="F141" t="s">
        <v>59</v>
      </c>
      <c r="G141">
        <v>60</v>
      </c>
      <c r="H141" t="s">
        <v>60</v>
      </c>
      <c r="I141">
        <v>24</v>
      </c>
      <c r="J141" s="54">
        <f t="shared" si="2"/>
        <v>2</v>
      </c>
    </row>
    <row r="142" spans="1:10">
      <c r="A142" s="43">
        <v>42514</v>
      </c>
      <c r="B142">
        <v>1998</v>
      </c>
      <c r="C142">
        <v>1367</v>
      </c>
      <c r="D142">
        <v>141</v>
      </c>
      <c r="E142">
        <v>6500</v>
      </c>
      <c r="F142" t="s">
        <v>59</v>
      </c>
      <c r="G142">
        <v>30</v>
      </c>
      <c r="H142" t="s">
        <v>60</v>
      </c>
      <c r="I142">
        <v>21</v>
      </c>
      <c r="J142" s="54">
        <f t="shared" si="2"/>
        <v>1</v>
      </c>
    </row>
    <row r="143" spans="1:10">
      <c r="A143" s="43">
        <v>42478</v>
      </c>
      <c r="B143">
        <v>1995</v>
      </c>
      <c r="C143">
        <v>1367</v>
      </c>
      <c r="D143">
        <v>142</v>
      </c>
      <c r="E143">
        <v>6500</v>
      </c>
      <c r="F143" t="s">
        <v>59</v>
      </c>
      <c r="G143">
        <v>70</v>
      </c>
      <c r="H143" t="s">
        <v>60</v>
      </c>
      <c r="I143">
        <v>24</v>
      </c>
      <c r="J143" s="54">
        <f t="shared" si="2"/>
        <v>2</v>
      </c>
    </row>
    <row r="144" spans="1:10">
      <c r="A144" s="43">
        <v>42465</v>
      </c>
      <c r="B144">
        <v>1995</v>
      </c>
      <c r="C144">
        <v>1367</v>
      </c>
      <c r="D144">
        <v>143</v>
      </c>
      <c r="E144">
        <v>6900</v>
      </c>
      <c r="F144" t="s">
        <v>59</v>
      </c>
      <c r="G144">
        <v>7</v>
      </c>
      <c r="H144" t="s">
        <v>133</v>
      </c>
      <c r="I144">
        <v>24</v>
      </c>
      <c r="J144" s="54">
        <f t="shared" si="2"/>
        <v>7</v>
      </c>
    </row>
    <row r="145" spans="1:10">
      <c r="A145" s="43">
        <v>42380</v>
      </c>
      <c r="B145">
        <v>1995</v>
      </c>
      <c r="C145">
        <v>1367</v>
      </c>
      <c r="D145">
        <v>144</v>
      </c>
      <c r="E145">
        <v>6750</v>
      </c>
      <c r="F145" t="s">
        <v>59</v>
      </c>
      <c r="G145">
        <v>5</v>
      </c>
      <c r="H145" t="s">
        <v>133</v>
      </c>
      <c r="I145">
        <v>24</v>
      </c>
      <c r="J145" s="54">
        <f t="shared" si="2"/>
        <v>5</v>
      </c>
    </row>
    <row r="146" spans="1:10">
      <c r="A146" s="43">
        <v>43158</v>
      </c>
      <c r="B146">
        <v>1993</v>
      </c>
      <c r="C146">
        <v>1388</v>
      </c>
      <c r="D146">
        <v>145</v>
      </c>
      <c r="E146">
        <v>8500</v>
      </c>
      <c r="F146" t="s">
        <v>59</v>
      </c>
      <c r="G146">
        <v>4</v>
      </c>
      <c r="H146" t="s">
        <v>133</v>
      </c>
      <c r="I146">
        <v>26</v>
      </c>
      <c r="J146" s="54">
        <f t="shared" si="2"/>
        <v>4</v>
      </c>
    </row>
    <row r="147" spans="1:10">
      <c r="A147" s="43">
        <v>43070</v>
      </c>
      <c r="B147">
        <v>1993</v>
      </c>
      <c r="C147">
        <v>1388</v>
      </c>
      <c r="D147">
        <v>146</v>
      </c>
      <c r="E147">
        <v>6750</v>
      </c>
      <c r="F147" t="s">
        <v>59</v>
      </c>
      <c r="G147">
        <v>90</v>
      </c>
      <c r="H147" t="s">
        <v>60</v>
      </c>
      <c r="I147">
        <v>26</v>
      </c>
      <c r="J147" s="54">
        <f t="shared" si="2"/>
        <v>3</v>
      </c>
    </row>
    <row r="148" spans="1:10">
      <c r="A148" s="43">
        <v>42948</v>
      </c>
      <c r="B148">
        <v>1993</v>
      </c>
      <c r="C148">
        <v>1388</v>
      </c>
      <c r="D148">
        <v>147</v>
      </c>
      <c r="E148">
        <v>5800</v>
      </c>
      <c r="F148" t="s">
        <v>59</v>
      </c>
      <c r="G148">
        <v>56</v>
      </c>
      <c r="H148" t="s">
        <v>60</v>
      </c>
      <c r="I148">
        <v>26</v>
      </c>
      <c r="J148" s="54">
        <f t="shared" si="2"/>
        <v>2</v>
      </c>
    </row>
    <row r="149" spans="1:10">
      <c r="A149" s="43">
        <v>42866</v>
      </c>
      <c r="B149">
        <v>1993</v>
      </c>
      <c r="C149">
        <v>1388</v>
      </c>
      <c r="D149">
        <v>148</v>
      </c>
      <c r="E149">
        <v>6000</v>
      </c>
      <c r="F149" t="s">
        <v>59</v>
      </c>
      <c r="G149">
        <v>30</v>
      </c>
      <c r="H149" t="s">
        <v>60</v>
      </c>
      <c r="I149">
        <v>26</v>
      </c>
      <c r="J149" s="54">
        <f t="shared" si="2"/>
        <v>1</v>
      </c>
    </row>
    <row r="150" spans="1:10">
      <c r="A150" s="43">
        <v>42439</v>
      </c>
      <c r="B150">
        <v>1993</v>
      </c>
      <c r="C150">
        <v>1388</v>
      </c>
      <c r="D150">
        <v>149</v>
      </c>
      <c r="E150">
        <v>6000</v>
      </c>
      <c r="F150" t="s">
        <v>59</v>
      </c>
      <c r="G150">
        <v>7</v>
      </c>
      <c r="H150" t="s">
        <v>133</v>
      </c>
      <c r="I150">
        <v>26</v>
      </c>
      <c r="J150" s="54">
        <f t="shared" si="2"/>
        <v>7</v>
      </c>
    </row>
    <row r="151" spans="1:10">
      <c r="A151" s="43">
        <v>43112</v>
      </c>
      <c r="B151">
        <v>1996</v>
      </c>
      <c r="C151">
        <v>1398</v>
      </c>
      <c r="D151">
        <v>150</v>
      </c>
      <c r="E151">
        <v>8250</v>
      </c>
      <c r="F151" t="s">
        <v>59</v>
      </c>
      <c r="G151">
        <v>11</v>
      </c>
      <c r="H151" t="s">
        <v>133</v>
      </c>
      <c r="I151">
        <v>23</v>
      </c>
      <c r="J151" s="54">
        <f t="shared" si="2"/>
        <v>11</v>
      </c>
    </row>
    <row r="152" spans="1:10">
      <c r="A152" s="43">
        <v>43615</v>
      </c>
      <c r="B152">
        <v>1997</v>
      </c>
      <c r="C152">
        <v>1439</v>
      </c>
      <c r="D152">
        <v>151</v>
      </c>
      <c r="E152">
        <v>7300</v>
      </c>
      <c r="F152" t="s">
        <v>59</v>
      </c>
      <c r="G152">
        <v>5</v>
      </c>
      <c r="H152" t="s">
        <v>133</v>
      </c>
      <c r="I152">
        <v>22</v>
      </c>
      <c r="J152" s="54">
        <f t="shared" si="2"/>
        <v>5</v>
      </c>
    </row>
    <row r="153" spans="1:10">
      <c r="A153" s="43">
        <v>43385</v>
      </c>
      <c r="B153">
        <v>1997</v>
      </c>
      <c r="C153">
        <v>1439</v>
      </c>
      <c r="D153">
        <v>152</v>
      </c>
      <c r="E153">
        <v>9250</v>
      </c>
      <c r="F153" t="s">
        <v>59</v>
      </c>
      <c r="G153">
        <v>5</v>
      </c>
      <c r="H153" t="s">
        <v>133</v>
      </c>
      <c r="I153">
        <v>22</v>
      </c>
      <c r="J153" s="54">
        <f t="shared" si="2"/>
        <v>5</v>
      </c>
    </row>
    <row r="154" spans="1:10">
      <c r="A154" s="43">
        <v>43201</v>
      </c>
      <c r="B154">
        <v>1997</v>
      </c>
      <c r="C154">
        <v>1439</v>
      </c>
      <c r="D154">
        <v>153</v>
      </c>
      <c r="E154">
        <v>10500</v>
      </c>
      <c r="F154" t="s">
        <v>59</v>
      </c>
      <c r="G154">
        <v>6</v>
      </c>
      <c r="H154" t="s">
        <v>133</v>
      </c>
      <c r="I154">
        <v>22</v>
      </c>
      <c r="J154" s="54">
        <f t="shared" si="2"/>
        <v>6</v>
      </c>
    </row>
    <row r="155" spans="1:10">
      <c r="A155" s="43">
        <v>43024</v>
      </c>
      <c r="B155">
        <v>1997</v>
      </c>
      <c r="C155">
        <v>1439</v>
      </c>
      <c r="D155">
        <v>154</v>
      </c>
      <c r="E155">
        <v>8250</v>
      </c>
      <c r="F155" t="s">
        <v>59</v>
      </c>
      <c r="G155">
        <v>6</v>
      </c>
      <c r="H155" t="s">
        <v>133</v>
      </c>
      <c r="I155">
        <v>22</v>
      </c>
      <c r="J155" s="54">
        <f t="shared" si="2"/>
        <v>6</v>
      </c>
    </row>
    <row r="156" spans="1:10">
      <c r="A156" s="43">
        <v>42942</v>
      </c>
      <c r="B156">
        <v>1997</v>
      </c>
      <c r="C156">
        <v>1439</v>
      </c>
      <c r="D156">
        <v>155</v>
      </c>
      <c r="E156">
        <v>7000</v>
      </c>
      <c r="F156" t="s">
        <v>59</v>
      </c>
      <c r="G156">
        <v>1</v>
      </c>
      <c r="H156" t="s">
        <v>133</v>
      </c>
      <c r="I156">
        <v>22</v>
      </c>
      <c r="J156" s="54">
        <f t="shared" si="2"/>
        <v>1</v>
      </c>
    </row>
    <row r="157" spans="1:10">
      <c r="A157" s="43">
        <v>42374</v>
      </c>
      <c r="B157">
        <v>1997</v>
      </c>
      <c r="C157">
        <v>1439</v>
      </c>
      <c r="D157">
        <v>156</v>
      </c>
      <c r="E157">
        <v>6300</v>
      </c>
      <c r="F157" t="s">
        <v>59</v>
      </c>
      <c r="G157">
        <v>8</v>
      </c>
      <c r="H157" t="s">
        <v>133</v>
      </c>
      <c r="I157">
        <v>22</v>
      </c>
      <c r="J157" s="54">
        <f t="shared" si="2"/>
        <v>8</v>
      </c>
    </row>
    <row r="158" spans="1:10">
      <c r="A158" s="43">
        <v>43508</v>
      </c>
      <c r="B158">
        <v>1995</v>
      </c>
      <c r="C158">
        <v>1452</v>
      </c>
      <c r="D158">
        <v>157</v>
      </c>
      <c r="E158">
        <v>6800</v>
      </c>
      <c r="F158" t="s">
        <v>59</v>
      </c>
      <c r="G158">
        <v>12</v>
      </c>
      <c r="H158" t="s">
        <v>133</v>
      </c>
      <c r="I158">
        <v>24</v>
      </c>
      <c r="J158" s="54">
        <f t="shared" si="2"/>
        <v>12</v>
      </c>
    </row>
    <row r="159" spans="1:10">
      <c r="A159" s="43">
        <v>43203</v>
      </c>
      <c r="B159">
        <v>1995</v>
      </c>
      <c r="C159">
        <v>1452</v>
      </c>
      <c r="D159">
        <v>158</v>
      </c>
      <c r="E159">
        <v>9500</v>
      </c>
      <c r="F159" t="s">
        <v>59</v>
      </c>
      <c r="G159">
        <v>12</v>
      </c>
      <c r="H159" t="s">
        <v>133</v>
      </c>
      <c r="I159">
        <v>24</v>
      </c>
      <c r="J159" s="54">
        <f t="shared" si="2"/>
        <v>12</v>
      </c>
    </row>
    <row r="160" spans="1:10">
      <c r="A160" s="43">
        <v>43017</v>
      </c>
      <c r="B160">
        <v>1995</v>
      </c>
      <c r="C160">
        <v>1452</v>
      </c>
      <c r="D160">
        <v>159</v>
      </c>
      <c r="E160">
        <v>7000</v>
      </c>
      <c r="F160" t="s">
        <v>59</v>
      </c>
      <c r="G160">
        <v>6</v>
      </c>
      <c r="H160" t="s">
        <v>133</v>
      </c>
      <c r="I160">
        <v>24</v>
      </c>
      <c r="J160" s="54">
        <f t="shared" si="2"/>
        <v>6</v>
      </c>
    </row>
    <row r="161" spans="1:10">
      <c r="A161" s="43">
        <v>42871</v>
      </c>
      <c r="B161">
        <v>1995</v>
      </c>
      <c r="C161">
        <v>1452</v>
      </c>
      <c r="D161">
        <v>160</v>
      </c>
      <c r="E161">
        <v>6250</v>
      </c>
      <c r="F161" t="s">
        <v>59</v>
      </c>
      <c r="G161">
        <v>4</v>
      </c>
      <c r="H161" t="s">
        <v>133</v>
      </c>
      <c r="I161">
        <v>24</v>
      </c>
      <c r="J161" s="54">
        <f t="shared" si="2"/>
        <v>4</v>
      </c>
    </row>
    <row r="162" spans="1:10">
      <c r="A162" s="43">
        <v>42852</v>
      </c>
      <c r="B162">
        <v>1995</v>
      </c>
      <c r="C162">
        <v>1452</v>
      </c>
      <c r="D162">
        <v>161</v>
      </c>
      <c r="E162">
        <v>6100</v>
      </c>
      <c r="F162" t="s">
        <v>59</v>
      </c>
      <c r="G162">
        <v>3</v>
      </c>
      <c r="H162" t="s">
        <v>133</v>
      </c>
      <c r="I162">
        <v>24</v>
      </c>
      <c r="J162" s="54">
        <f t="shared" si="2"/>
        <v>3</v>
      </c>
    </row>
    <row r="163" spans="1:10">
      <c r="A163" s="43">
        <v>42717</v>
      </c>
      <c r="B163">
        <v>1995</v>
      </c>
      <c r="C163">
        <v>1452</v>
      </c>
      <c r="D163">
        <v>162</v>
      </c>
      <c r="E163">
        <v>5900</v>
      </c>
      <c r="F163" t="s">
        <v>59</v>
      </c>
      <c r="G163">
        <v>5</v>
      </c>
      <c r="H163" t="s">
        <v>133</v>
      </c>
      <c r="I163">
        <v>24</v>
      </c>
      <c r="J163" s="54">
        <f t="shared" si="2"/>
        <v>5</v>
      </c>
    </row>
    <row r="164" spans="1:10">
      <c r="A164" s="43">
        <v>42478</v>
      </c>
      <c r="B164">
        <v>1995</v>
      </c>
      <c r="C164">
        <v>1452</v>
      </c>
      <c r="D164">
        <v>163</v>
      </c>
      <c r="E164">
        <v>7500</v>
      </c>
      <c r="F164" t="s">
        <v>59</v>
      </c>
      <c r="G164">
        <v>11</v>
      </c>
      <c r="H164" t="s">
        <v>133</v>
      </c>
      <c r="I164">
        <v>24</v>
      </c>
      <c r="J164" s="54">
        <f t="shared" si="2"/>
        <v>11</v>
      </c>
    </row>
    <row r="165" spans="1:10">
      <c r="A165" s="43">
        <v>42478</v>
      </c>
      <c r="B165">
        <v>1995</v>
      </c>
      <c r="C165">
        <v>1452</v>
      </c>
      <c r="D165">
        <v>164</v>
      </c>
      <c r="E165">
        <v>6500</v>
      </c>
      <c r="F165" t="s">
        <v>59</v>
      </c>
      <c r="G165">
        <v>12</v>
      </c>
      <c r="H165" t="s">
        <v>133</v>
      </c>
      <c r="I165">
        <v>24</v>
      </c>
      <c r="J165" s="54">
        <f t="shared" si="2"/>
        <v>12</v>
      </c>
    </row>
    <row r="166" spans="1:10">
      <c r="A166" s="43">
        <v>42430</v>
      </c>
      <c r="B166">
        <v>1995</v>
      </c>
      <c r="C166">
        <v>1452</v>
      </c>
      <c r="D166">
        <v>165</v>
      </c>
      <c r="E166">
        <v>6000</v>
      </c>
      <c r="F166" t="s">
        <v>59</v>
      </c>
      <c r="G166">
        <v>6</v>
      </c>
      <c r="H166" t="s">
        <v>133</v>
      </c>
      <c r="I166">
        <v>24</v>
      </c>
      <c r="J166" s="54">
        <f t="shared" si="2"/>
        <v>6</v>
      </c>
    </row>
    <row r="167" spans="1:10">
      <c r="A167" s="43">
        <v>42529</v>
      </c>
      <c r="B167">
        <v>1993</v>
      </c>
      <c r="C167">
        <v>1468</v>
      </c>
      <c r="D167">
        <v>166</v>
      </c>
      <c r="E167">
        <v>6300</v>
      </c>
      <c r="F167" t="s">
        <v>59</v>
      </c>
      <c r="G167">
        <v>100</v>
      </c>
      <c r="H167" t="s">
        <v>60</v>
      </c>
      <c r="I167">
        <v>26</v>
      </c>
      <c r="J167" s="54">
        <f t="shared" si="2"/>
        <v>3</v>
      </c>
    </row>
    <row r="168" spans="1:10">
      <c r="A168" s="43">
        <v>43626</v>
      </c>
      <c r="B168">
        <v>1995</v>
      </c>
      <c r="C168">
        <v>1471</v>
      </c>
      <c r="D168">
        <v>167</v>
      </c>
      <c r="E168">
        <v>7500</v>
      </c>
      <c r="F168" t="s">
        <v>59</v>
      </c>
      <c r="G168">
        <v>3</v>
      </c>
      <c r="H168" t="s">
        <v>133</v>
      </c>
      <c r="I168">
        <v>24</v>
      </c>
      <c r="J168" s="54">
        <f t="shared" si="2"/>
        <v>3</v>
      </c>
    </row>
    <row r="169" spans="1:10">
      <c r="A169" s="43">
        <v>43374</v>
      </c>
      <c r="B169">
        <v>1995</v>
      </c>
      <c r="C169">
        <v>1471</v>
      </c>
      <c r="D169">
        <v>168</v>
      </c>
      <c r="E169">
        <v>8000</v>
      </c>
      <c r="F169" t="s">
        <v>59</v>
      </c>
      <c r="G169">
        <v>6</v>
      </c>
      <c r="H169" t="s">
        <v>133</v>
      </c>
      <c r="I169">
        <v>24</v>
      </c>
      <c r="J169" s="54">
        <f t="shared" si="2"/>
        <v>6</v>
      </c>
    </row>
    <row r="170" spans="1:10">
      <c r="A170" s="43">
        <v>43264</v>
      </c>
      <c r="B170">
        <v>1995</v>
      </c>
      <c r="C170">
        <v>1471</v>
      </c>
      <c r="D170">
        <v>169</v>
      </c>
      <c r="E170">
        <v>10500</v>
      </c>
      <c r="F170" t="s">
        <v>59</v>
      </c>
      <c r="G170">
        <v>4</v>
      </c>
      <c r="H170" t="s">
        <v>133</v>
      </c>
      <c r="I170">
        <v>24</v>
      </c>
      <c r="J170" s="54">
        <f t="shared" si="2"/>
        <v>4</v>
      </c>
    </row>
    <row r="171" spans="1:10">
      <c r="A171" s="43">
        <v>43194</v>
      </c>
      <c r="B171">
        <v>1995</v>
      </c>
      <c r="C171">
        <v>1471</v>
      </c>
      <c r="D171">
        <v>170</v>
      </c>
      <c r="E171">
        <v>9800</v>
      </c>
      <c r="F171" t="s">
        <v>59</v>
      </c>
      <c r="G171">
        <v>5</v>
      </c>
      <c r="H171" t="s">
        <v>133</v>
      </c>
      <c r="I171">
        <v>24</v>
      </c>
      <c r="J171" s="54">
        <f t="shared" si="2"/>
        <v>5</v>
      </c>
    </row>
    <row r="172" spans="1:10">
      <c r="A172" s="43">
        <v>43098</v>
      </c>
      <c r="B172">
        <v>1995</v>
      </c>
      <c r="C172">
        <v>1471</v>
      </c>
      <c r="D172">
        <v>171</v>
      </c>
      <c r="E172">
        <v>8250</v>
      </c>
      <c r="F172" t="s">
        <v>59</v>
      </c>
      <c r="G172">
        <v>5</v>
      </c>
      <c r="H172" t="s">
        <v>133</v>
      </c>
      <c r="I172">
        <v>24</v>
      </c>
      <c r="J172" s="54">
        <f t="shared" si="2"/>
        <v>5</v>
      </c>
    </row>
    <row r="173" spans="1:10">
      <c r="A173" s="43">
        <v>43010</v>
      </c>
      <c r="B173">
        <v>1995</v>
      </c>
      <c r="C173">
        <v>1471</v>
      </c>
      <c r="D173">
        <v>172</v>
      </c>
      <c r="E173">
        <v>7350</v>
      </c>
      <c r="F173" t="s">
        <v>59</v>
      </c>
      <c r="G173">
        <v>6</v>
      </c>
      <c r="H173" t="s">
        <v>133</v>
      </c>
      <c r="I173">
        <v>24</v>
      </c>
      <c r="J173" s="54">
        <f t="shared" si="2"/>
        <v>6</v>
      </c>
    </row>
    <row r="174" spans="1:10">
      <c r="A174" s="43">
        <v>43010</v>
      </c>
      <c r="B174">
        <v>1995</v>
      </c>
      <c r="C174">
        <v>1471</v>
      </c>
      <c r="D174">
        <v>173</v>
      </c>
      <c r="E174">
        <v>7250</v>
      </c>
      <c r="F174" t="s">
        <v>59</v>
      </c>
      <c r="G174">
        <v>90</v>
      </c>
      <c r="H174" t="s">
        <v>60</v>
      </c>
      <c r="I174">
        <v>24</v>
      </c>
      <c r="J174" s="54">
        <f t="shared" si="2"/>
        <v>3</v>
      </c>
    </row>
    <row r="175" spans="1:10">
      <c r="A175" s="43">
        <v>42954</v>
      </c>
      <c r="B175">
        <v>1995</v>
      </c>
      <c r="C175">
        <v>1471</v>
      </c>
      <c r="D175">
        <v>174</v>
      </c>
      <c r="E175">
        <v>7000</v>
      </c>
      <c r="F175" t="s">
        <v>59</v>
      </c>
      <c r="G175">
        <v>3</v>
      </c>
      <c r="H175" t="s">
        <v>133</v>
      </c>
      <c r="I175">
        <v>24</v>
      </c>
      <c r="J175" s="54">
        <f t="shared" si="2"/>
        <v>3</v>
      </c>
    </row>
    <row r="176" spans="1:10">
      <c r="A176" s="43">
        <v>42852</v>
      </c>
      <c r="B176">
        <v>1995</v>
      </c>
      <c r="C176">
        <v>1471</v>
      </c>
      <c r="D176">
        <v>175</v>
      </c>
      <c r="E176">
        <v>6900</v>
      </c>
      <c r="F176" t="s">
        <v>59</v>
      </c>
      <c r="G176">
        <v>7</v>
      </c>
      <c r="H176" t="s">
        <v>133</v>
      </c>
      <c r="I176">
        <v>24</v>
      </c>
      <c r="J176" s="54">
        <f t="shared" si="2"/>
        <v>7</v>
      </c>
    </row>
    <row r="177" spans="1:10">
      <c r="A177" s="43">
        <v>42632</v>
      </c>
      <c r="B177">
        <v>1995</v>
      </c>
      <c r="C177">
        <v>1471</v>
      </c>
      <c r="D177">
        <v>176</v>
      </c>
      <c r="E177">
        <v>6000</v>
      </c>
      <c r="F177" t="s">
        <v>59</v>
      </c>
      <c r="G177">
        <v>6</v>
      </c>
      <c r="H177" t="s">
        <v>133</v>
      </c>
      <c r="I177">
        <v>24</v>
      </c>
      <c r="J177" s="54">
        <f t="shared" si="2"/>
        <v>6</v>
      </c>
    </row>
    <row r="178" spans="1:10">
      <c r="A178" s="43">
        <v>42460</v>
      </c>
      <c r="B178">
        <v>1995</v>
      </c>
      <c r="C178">
        <v>1471</v>
      </c>
      <c r="D178">
        <v>177</v>
      </c>
      <c r="E178">
        <v>6600</v>
      </c>
      <c r="F178" t="s">
        <v>59</v>
      </c>
      <c r="G178">
        <v>6</v>
      </c>
      <c r="H178" t="s">
        <v>133</v>
      </c>
      <c r="I178">
        <v>24</v>
      </c>
      <c r="J178" s="54">
        <f t="shared" si="2"/>
        <v>6</v>
      </c>
    </row>
    <row r="179" spans="1:10">
      <c r="A179" s="43">
        <v>43157</v>
      </c>
      <c r="B179">
        <v>1997</v>
      </c>
      <c r="C179">
        <v>1498</v>
      </c>
      <c r="D179">
        <v>178</v>
      </c>
      <c r="E179">
        <v>8800</v>
      </c>
      <c r="F179" t="s">
        <v>59</v>
      </c>
      <c r="G179">
        <v>4</v>
      </c>
      <c r="H179" t="s">
        <v>133</v>
      </c>
      <c r="I179">
        <v>22</v>
      </c>
      <c r="J179" s="54">
        <f t="shared" si="2"/>
        <v>4</v>
      </c>
    </row>
    <row r="180" spans="1:10">
      <c r="A180" s="43">
        <v>43025</v>
      </c>
      <c r="B180">
        <v>1996</v>
      </c>
      <c r="C180">
        <v>1504</v>
      </c>
      <c r="D180">
        <v>179</v>
      </c>
      <c r="E180">
        <v>7500</v>
      </c>
      <c r="F180" t="s">
        <v>59</v>
      </c>
      <c r="G180">
        <v>6</v>
      </c>
      <c r="H180" t="s">
        <v>133</v>
      </c>
      <c r="I180">
        <v>23</v>
      </c>
      <c r="J180" s="54">
        <f t="shared" si="2"/>
        <v>6</v>
      </c>
    </row>
    <row r="181" spans="1:10">
      <c r="A181" s="43">
        <v>42840</v>
      </c>
      <c r="B181">
        <v>1996</v>
      </c>
      <c r="C181">
        <v>1504</v>
      </c>
      <c r="D181">
        <v>180</v>
      </c>
      <c r="E181">
        <v>7000</v>
      </c>
      <c r="F181" t="s">
        <v>59</v>
      </c>
      <c r="G181">
        <v>6</v>
      </c>
      <c r="H181" t="s">
        <v>133</v>
      </c>
      <c r="I181">
        <v>23</v>
      </c>
      <c r="J181" s="54">
        <f t="shared" si="2"/>
        <v>6</v>
      </c>
    </row>
    <row r="182" spans="1:10">
      <c r="A182" s="43">
        <v>42491</v>
      </c>
      <c r="B182">
        <v>1996</v>
      </c>
      <c r="C182">
        <v>1504</v>
      </c>
      <c r="D182">
        <v>181</v>
      </c>
      <c r="E182">
        <v>6750</v>
      </c>
      <c r="F182" t="s">
        <v>59</v>
      </c>
      <c r="G182">
        <v>6</v>
      </c>
      <c r="H182" t="s">
        <v>133</v>
      </c>
      <c r="I182">
        <v>23</v>
      </c>
      <c r="J182" s="54">
        <f t="shared" si="2"/>
        <v>6</v>
      </c>
    </row>
    <row r="183" spans="1:10">
      <c r="A183" s="43">
        <v>42415</v>
      </c>
      <c r="B183">
        <v>1996</v>
      </c>
      <c r="C183">
        <v>1504</v>
      </c>
      <c r="D183">
        <v>182</v>
      </c>
      <c r="E183">
        <v>7000</v>
      </c>
      <c r="F183" t="s">
        <v>59</v>
      </c>
      <c r="G183">
        <v>2</v>
      </c>
      <c r="H183" t="s">
        <v>133</v>
      </c>
      <c r="I183">
        <v>23</v>
      </c>
      <c r="J183" s="54">
        <f t="shared" si="2"/>
        <v>2</v>
      </c>
    </row>
    <row r="184" spans="1:10">
      <c r="A184" s="43">
        <v>42688</v>
      </c>
      <c r="B184">
        <v>1994</v>
      </c>
      <c r="C184">
        <v>1510</v>
      </c>
      <c r="D184">
        <v>183</v>
      </c>
      <c r="E184">
        <v>6000</v>
      </c>
      <c r="F184" t="s">
        <v>59</v>
      </c>
      <c r="G184">
        <v>35</v>
      </c>
      <c r="H184" t="s">
        <v>60</v>
      </c>
      <c r="I184">
        <v>25</v>
      </c>
      <c r="J184" s="54">
        <f t="shared" si="2"/>
        <v>1</v>
      </c>
    </row>
    <row r="185" spans="1:10">
      <c r="A185" s="43">
        <v>42920</v>
      </c>
      <c r="B185">
        <v>1998</v>
      </c>
      <c r="C185">
        <v>1542</v>
      </c>
      <c r="D185">
        <v>184</v>
      </c>
      <c r="E185">
        <v>7000</v>
      </c>
      <c r="F185" t="s">
        <v>59</v>
      </c>
      <c r="G185">
        <v>12</v>
      </c>
      <c r="H185" t="s">
        <v>133</v>
      </c>
      <c r="I185">
        <v>21</v>
      </c>
      <c r="J185" s="54">
        <f t="shared" si="2"/>
        <v>12</v>
      </c>
    </row>
    <row r="186" spans="1:10">
      <c r="A186" s="43">
        <v>42537</v>
      </c>
      <c r="B186">
        <v>1998</v>
      </c>
      <c r="C186">
        <v>1542</v>
      </c>
      <c r="D186">
        <v>185</v>
      </c>
      <c r="E186">
        <v>6975</v>
      </c>
      <c r="F186" t="s">
        <v>59</v>
      </c>
      <c r="G186">
        <v>12</v>
      </c>
      <c r="H186" t="s">
        <v>133</v>
      </c>
      <c r="I186">
        <v>21</v>
      </c>
      <c r="J186" s="54">
        <f t="shared" si="2"/>
        <v>12</v>
      </c>
    </row>
    <row r="187" spans="1:10">
      <c r="A187" s="43">
        <v>42401</v>
      </c>
      <c r="B187">
        <v>1998</v>
      </c>
      <c r="C187">
        <v>1542</v>
      </c>
      <c r="D187">
        <v>186</v>
      </c>
      <c r="E187">
        <v>7000</v>
      </c>
      <c r="F187" t="s">
        <v>59</v>
      </c>
      <c r="G187">
        <v>6</v>
      </c>
      <c r="H187" t="s">
        <v>133</v>
      </c>
      <c r="I187">
        <v>21</v>
      </c>
      <c r="J187" s="54">
        <f t="shared" si="2"/>
        <v>6</v>
      </c>
    </row>
    <row r="188" spans="1:10">
      <c r="A188" s="43">
        <v>43559</v>
      </c>
      <c r="B188">
        <v>1999</v>
      </c>
      <c r="C188">
        <v>1560</v>
      </c>
      <c r="D188">
        <v>187</v>
      </c>
      <c r="E188">
        <v>7850</v>
      </c>
      <c r="F188" t="s">
        <v>59</v>
      </c>
      <c r="G188">
        <v>6</v>
      </c>
      <c r="H188" t="s">
        <v>133</v>
      </c>
      <c r="I188">
        <v>20</v>
      </c>
      <c r="J188" s="54">
        <f t="shared" si="2"/>
        <v>6</v>
      </c>
    </row>
    <row r="189" spans="1:10">
      <c r="A189" s="43">
        <v>43370</v>
      </c>
      <c r="B189">
        <v>1999</v>
      </c>
      <c r="C189">
        <v>1560</v>
      </c>
      <c r="D189">
        <v>188</v>
      </c>
      <c r="E189">
        <v>9500</v>
      </c>
      <c r="F189" t="s">
        <v>59</v>
      </c>
      <c r="G189">
        <v>6</v>
      </c>
      <c r="H189" t="s">
        <v>133</v>
      </c>
      <c r="I189">
        <v>20</v>
      </c>
      <c r="J189" s="54">
        <f t="shared" si="2"/>
        <v>6</v>
      </c>
    </row>
    <row r="190" spans="1:10">
      <c r="A190" s="43">
        <v>43346</v>
      </c>
      <c r="B190">
        <v>1999</v>
      </c>
      <c r="C190">
        <v>1560</v>
      </c>
      <c r="D190">
        <v>189</v>
      </c>
      <c r="E190">
        <v>8200</v>
      </c>
      <c r="F190" t="s">
        <v>59</v>
      </c>
      <c r="G190">
        <v>8</v>
      </c>
      <c r="H190" t="s">
        <v>133</v>
      </c>
      <c r="I190">
        <v>20</v>
      </c>
      <c r="J190" s="54">
        <f t="shared" si="2"/>
        <v>8</v>
      </c>
    </row>
    <row r="191" spans="1:10">
      <c r="A191" s="43">
        <v>43234</v>
      </c>
      <c r="B191">
        <v>1999</v>
      </c>
      <c r="C191">
        <v>1560</v>
      </c>
      <c r="D191">
        <v>190</v>
      </c>
      <c r="E191">
        <v>11250</v>
      </c>
      <c r="F191" t="s">
        <v>59</v>
      </c>
      <c r="G191">
        <v>4</v>
      </c>
      <c r="H191" t="s">
        <v>133</v>
      </c>
      <c r="I191">
        <v>20</v>
      </c>
      <c r="J191" s="54">
        <f t="shared" si="2"/>
        <v>4</v>
      </c>
    </row>
    <row r="192" spans="1:10">
      <c r="A192" s="43">
        <v>43129</v>
      </c>
      <c r="B192">
        <v>1999</v>
      </c>
      <c r="C192">
        <v>1560</v>
      </c>
      <c r="D192">
        <v>191</v>
      </c>
      <c r="E192">
        <v>8750</v>
      </c>
      <c r="F192" t="s">
        <v>59</v>
      </c>
      <c r="G192">
        <v>4</v>
      </c>
      <c r="H192" t="s">
        <v>133</v>
      </c>
      <c r="I192">
        <v>20</v>
      </c>
      <c r="J192" s="54">
        <f t="shared" si="2"/>
        <v>4</v>
      </c>
    </row>
    <row r="193" spans="1:10">
      <c r="A193" s="43">
        <v>43013</v>
      </c>
      <c r="B193">
        <v>1997</v>
      </c>
      <c r="C193">
        <v>1560</v>
      </c>
      <c r="D193">
        <v>192</v>
      </c>
      <c r="E193">
        <v>7900</v>
      </c>
      <c r="F193" t="s">
        <v>59</v>
      </c>
      <c r="G193">
        <v>6</v>
      </c>
      <c r="H193" t="s">
        <v>133</v>
      </c>
      <c r="I193">
        <v>22</v>
      </c>
      <c r="J193" s="54">
        <f t="shared" si="2"/>
        <v>6</v>
      </c>
    </row>
    <row r="194" spans="1:10">
      <c r="A194" s="43">
        <v>42776</v>
      </c>
      <c r="B194">
        <v>1997</v>
      </c>
      <c r="C194">
        <v>1560</v>
      </c>
      <c r="D194">
        <v>193</v>
      </c>
      <c r="E194">
        <v>6500</v>
      </c>
      <c r="F194" t="s">
        <v>59</v>
      </c>
      <c r="G194">
        <v>5</v>
      </c>
      <c r="H194" t="s">
        <v>133</v>
      </c>
      <c r="I194">
        <v>22</v>
      </c>
      <c r="J194" s="54">
        <f t="shared" ref="J194:J257" si="3">IF(H194="days",ROUND(G194/30,0),IF(H194="years",G194*12,G194))</f>
        <v>5</v>
      </c>
    </row>
    <row r="195" spans="1:10">
      <c r="A195" s="43">
        <v>43283</v>
      </c>
      <c r="B195">
        <v>1992</v>
      </c>
      <c r="C195">
        <v>1585</v>
      </c>
      <c r="D195">
        <v>194</v>
      </c>
      <c r="E195">
        <v>9000</v>
      </c>
      <c r="F195" t="s">
        <v>59</v>
      </c>
      <c r="G195">
        <v>35</v>
      </c>
      <c r="H195" t="s">
        <v>60</v>
      </c>
      <c r="I195">
        <v>27</v>
      </c>
      <c r="J195" s="54">
        <f t="shared" si="3"/>
        <v>1</v>
      </c>
    </row>
    <row r="196" spans="1:10">
      <c r="A196" s="43">
        <v>43172</v>
      </c>
      <c r="B196">
        <v>1992</v>
      </c>
      <c r="C196">
        <v>1585</v>
      </c>
      <c r="D196">
        <v>195</v>
      </c>
      <c r="E196">
        <v>8600</v>
      </c>
      <c r="F196" t="s">
        <v>59</v>
      </c>
      <c r="G196">
        <v>60</v>
      </c>
      <c r="H196" t="s">
        <v>60</v>
      </c>
      <c r="I196">
        <v>27</v>
      </c>
      <c r="J196" s="54">
        <f t="shared" si="3"/>
        <v>2</v>
      </c>
    </row>
    <row r="197" spans="1:10">
      <c r="A197" s="43">
        <v>42648</v>
      </c>
      <c r="B197">
        <v>1992</v>
      </c>
      <c r="C197">
        <v>1585</v>
      </c>
      <c r="D197">
        <v>196</v>
      </c>
      <c r="E197">
        <v>6250</v>
      </c>
      <c r="F197" t="s">
        <v>59</v>
      </c>
      <c r="G197">
        <v>5</v>
      </c>
      <c r="H197" t="s">
        <v>133</v>
      </c>
      <c r="I197">
        <v>27</v>
      </c>
      <c r="J197" s="54">
        <f t="shared" si="3"/>
        <v>5</v>
      </c>
    </row>
    <row r="198" spans="1:10">
      <c r="A198" s="43">
        <v>43020</v>
      </c>
      <c r="B198">
        <v>1998</v>
      </c>
      <c r="C198">
        <v>1608</v>
      </c>
      <c r="D198">
        <v>197</v>
      </c>
      <c r="E198">
        <v>7000</v>
      </c>
      <c r="F198" t="s">
        <v>59</v>
      </c>
      <c r="G198">
        <v>42</v>
      </c>
      <c r="H198" t="s">
        <v>60</v>
      </c>
      <c r="I198">
        <v>21</v>
      </c>
      <c r="J198" s="54">
        <f t="shared" si="3"/>
        <v>1</v>
      </c>
    </row>
    <row r="199" spans="1:10">
      <c r="A199" s="43">
        <v>42681</v>
      </c>
      <c r="B199">
        <v>1998</v>
      </c>
      <c r="C199">
        <v>1608</v>
      </c>
      <c r="D199">
        <v>198</v>
      </c>
      <c r="E199">
        <v>6000</v>
      </c>
      <c r="F199" t="s">
        <v>59</v>
      </c>
      <c r="G199">
        <v>8</v>
      </c>
      <c r="H199" t="s">
        <v>133</v>
      </c>
      <c r="I199">
        <v>21</v>
      </c>
      <c r="J199" s="54">
        <f t="shared" si="3"/>
        <v>8</v>
      </c>
    </row>
    <row r="200" spans="1:10">
      <c r="A200" s="43">
        <v>42531</v>
      </c>
      <c r="B200">
        <v>1996</v>
      </c>
      <c r="C200">
        <v>1608</v>
      </c>
      <c r="D200">
        <v>199</v>
      </c>
      <c r="E200">
        <v>7150</v>
      </c>
      <c r="F200" t="s">
        <v>59</v>
      </c>
      <c r="G200">
        <v>7</v>
      </c>
      <c r="H200" t="s">
        <v>133</v>
      </c>
      <c r="I200">
        <v>23</v>
      </c>
      <c r="J200" s="54">
        <f t="shared" si="3"/>
        <v>7</v>
      </c>
    </row>
    <row r="201" spans="1:10">
      <c r="A201" s="43">
        <v>42420</v>
      </c>
      <c r="B201">
        <v>1996</v>
      </c>
      <c r="C201">
        <v>1608</v>
      </c>
      <c r="D201">
        <v>200</v>
      </c>
      <c r="E201">
        <v>6950</v>
      </c>
      <c r="F201" t="s">
        <v>59</v>
      </c>
      <c r="G201">
        <v>7</v>
      </c>
      <c r="H201" t="s">
        <v>133</v>
      </c>
      <c r="I201">
        <v>23</v>
      </c>
      <c r="J201" s="54">
        <f t="shared" si="3"/>
        <v>7</v>
      </c>
    </row>
    <row r="202" spans="1:10">
      <c r="A202" s="43">
        <v>43234</v>
      </c>
      <c r="B202">
        <v>1997</v>
      </c>
      <c r="C202">
        <v>1613</v>
      </c>
      <c r="D202">
        <v>201</v>
      </c>
      <c r="E202">
        <v>10500</v>
      </c>
      <c r="F202" t="s">
        <v>59</v>
      </c>
      <c r="G202">
        <v>5</v>
      </c>
      <c r="H202" t="s">
        <v>133</v>
      </c>
      <c r="I202">
        <v>22</v>
      </c>
      <c r="J202" s="54">
        <f t="shared" si="3"/>
        <v>5</v>
      </c>
    </row>
    <row r="203" spans="1:10">
      <c r="A203" s="43">
        <v>43150</v>
      </c>
      <c r="B203">
        <v>1995</v>
      </c>
      <c r="C203">
        <v>1613</v>
      </c>
      <c r="D203">
        <v>202</v>
      </c>
      <c r="E203">
        <v>8700</v>
      </c>
      <c r="F203" t="s">
        <v>59</v>
      </c>
      <c r="G203">
        <v>6</v>
      </c>
      <c r="H203" t="s">
        <v>133</v>
      </c>
      <c r="I203">
        <v>24</v>
      </c>
      <c r="J203" s="54">
        <f t="shared" si="3"/>
        <v>6</v>
      </c>
    </row>
    <row r="204" spans="1:10">
      <c r="A204" s="43">
        <v>43059</v>
      </c>
      <c r="B204">
        <v>1995</v>
      </c>
      <c r="C204">
        <v>1613</v>
      </c>
      <c r="D204">
        <v>203</v>
      </c>
      <c r="E204">
        <v>7600</v>
      </c>
      <c r="F204" t="s">
        <v>59</v>
      </c>
      <c r="G204">
        <v>8</v>
      </c>
      <c r="H204" t="s">
        <v>133</v>
      </c>
      <c r="I204">
        <v>24</v>
      </c>
      <c r="J204" s="54">
        <f t="shared" si="3"/>
        <v>8</v>
      </c>
    </row>
    <row r="205" spans="1:10">
      <c r="A205" s="43">
        <v>42850</v>
      </c>
      <c r="B205">
        <v>1995</v>
      </c>
      <c r="C205">
        <v>1613</v>
      </c>
      <c r="D205">
        <v>204</v>
      </c>
      <c r="E205">
        <v>7000</v>
      </c>
      <c r="F205" t="s">
        <v>59</v>
      </c>
      <c r="G205">
        <v>12</v>
      </c>
      <c r="H205" t="s">
        <v>133</v>
      </c>
      <c r="I205">
        <v>24</v>
      </c>
      <c r="J205" s="54">
        <f t="shared" si="3"/>
        <v>12</v>
      </c>
    </row>
    <row r="206" spans="1:10">
      <c r="A206" s="43">
        <v>42695</v>
      </c>
      <c r="B206">
        <v>1995</v>
      </c>
      <c r="C206">
        <v>1613</v>
      </c>
      <c r="D206">
        <v>205</v>
      </c>
      <c r="E206">
        <v>6000</v>
      </c>
      <c r="F206" t="s">
        <v>59</v>
      </c>
      <c r="G206">
        <v>40</v>
      </c>
      <c r="H206" t="s">
        <v>60</v>
      </c>
      <c r="I206">
        <v>24</v>
      </c>
      <c r="J206" s="54">
        <f t="shared" si="3"/>
        <v>1</v>
      </c>
    </row>
    <row r="207" spans="1:10">
      <c r="A207" s="43">
        <v>42692</v>
      </c>
      <c r="B207">
        <v>1995</v>
      </c>
      <c r="C207">
        <v>1613</v>
      </c>
      <c r="D207">
        <v>206</v>
      </c>
      <c r="E207">
        <v>6150</v>
      </c>
      <c r="F207" t="s">
        <v>59</v>
      </c>
      <c r="G207">
        <v>3</v>
      </c>
      <c r="H207" t="s">
        <v>133</v>
      </c>
      <c r="I207">
        <v>24</v>
      </c>
      <c r="J207" s="54">
        <f t="shared" si="3"/>
        <v>3</v>
      </c>
    </row>
    <row r="208" spans="1:10">
      <c r="A208" s="43">
        <v>42563</v>
      </c>
      <c r="B208">
        <v>1997</v>
      </c>
      <c r="C208">
        <v>1613</v>
      </c>
      <c r="D208">
        <v>207</v>
      </c>
      <c r="E208">
        <v>6750</v>
      </c>
      <c r="F208" t="s">
        <v>59</v>
      </c>
      <c r="G208">
        <v>6</v>
      </c>
      <c r="H208" t="s">
        <v>133</v>
      </c>
      <c r="I208">
        <v>22</v>
      </c>
      <c r="J208" s="54">
        <f t="shared" si="3"/>
        <v>6</v>
      </c>
    </row>
    <row r="209" spans="1:10">
      <c r="A209" s="43">
        <v>43009</v>
      </c>
      <c r="B209">
        <v>1995</v>
      </c>
      <c r="C209">
        <v>1625</v>
      </c>
      <c r="D209">
        <v>208</v>
      </c>
      <c r="E209">
        <v>7300</v>
      </c>
      <c r="F209" t="s">
        <v>59</v>
      </c>
      <c r="G209">
        <v>7</v>
      </c>
      <c r="H209" t="s">
        <v>133</v>
      </c>
      <c r="I209">
        <v>24</v>
      </c>
      <c r="J209" s="54">
        <f t="shared" si="3"/>
        <v>7</v>
      </c>
    </row>
    <row r="210" spans="1:10">
      <c r="A210" s="43">
        <v>42863</v>
      </c>
      <c r="B210">
        <v>1995</v>
      </c>
      <c r="C210">
        <v>1625</v>
      </c>
      <c r="D210">
        <v>209</v>
      </c>
      <c r="E210">
        <v>7000</v>
      </c>
      <c r="F210" t="s">
        <v>59</v>
      </c>
      <c r="G210">
        <v>5</v>
      </c>
      <c r="H210" t="s">
        <v>133</v>
      </c>
      <c r="I210">
        <v>24</v>
      </c>
      <c r="J210" s="54">
        <f t="shared" si="3"/>
        <v>5</v>
      </c>
    </row>
    <row r="211" spans="1:10">
      <c r="A211" s="43">
        <v>42705</v>
      </c>
      <c r="B211">
        <v>1995</v>
      </c>
      <c r="C211">
        <v>1625</v>
      </c>
      <c r="D211">
        <v>210</v>
      </c>
      <c r="E211">
        <v>6500</v>
      </c>
      <c r="F211" t="s">
        <v>59</v>
      </c>
      <c r="G211">
        <v>4</v>
      </c>
      <c r="H211" t="s">
        <v>133</v>
      </c>
      <c r="I211">
        <v>24</v>
      </c>
      <c r="J211" s="54">
        <f t="shared" si="3"/>
        <v>4</v>
      </c>
    </row>
    <row r="212" spans="1:10">
      <c r="A212" s="43">
        <v>42563</v>
      </c>
      <c r="B212">
        <v>1995</v>
      </c>
      <c r="C212">
        <v>1625</v>
      </c>
      <c r="D212">
        <v>211</v>
      </c>
      <c r="E212">
        <v>7250</v>
      </c>
      <c r="F212" t="s">
        <v>59</v>
      </c>
      <c r="G212">
        <v>6</v>
      </c>
      <c r="H212" t="s">
        <v>133</v>
      </c>
      <c r="I212">
        <v>24</v>
      </c>
      <c r="J212" s="54">
        <f t="shared" si="3"/>
        <v>6</v>
      </c>
    </row>
    <row r="213" spans="1:10">
      <c r="A213" s="43">
        <v>42387</v>
      </c>
      <c r="B213">
        <v>1995</v>
      </c>
      <c r="C213">
        <v>1625</v>
      </c>
      <c r="D213">
        <v>212</v>
      </c>
      <c r="E213">
        <v>7000</v>
      </c>
      <c r="F213" t="s">
        <v>59</v>
      </c>
      <c r="G213">
        <v>6</v>
      </c>
      <c r="H213" t="s">
        <v>133</v>
      </c>
      <c r="I213">
        <v>24</v>
      </c>
      <c r="J213" s="54">
        <f t="shared" si="3"/>
        <v>6</v>
      </c>
    </row>
    <row r="214" spans="1:10">
      <c r="A214" s="43">
        <v>42480</v>
      </c>
      <c r="B214">
        <v>1999</v>
      </c>
      <c r="C214">
        <v>1634</v>
      </c>
      <c r="D214">
        <v>213</v>
      </c>
      <c r="E214">
        <v>7200</v>
      </c>
      <c r="F214" t="s">
        <v>59</v>
      </c>
      <c r="G214">
        <v>12</v>
      </c>
      <c r="H214" t="s">
        <v>133</v>
      </c>
      <c r="I214">
        <v>20</v>
      </c>
      <c r="J214" s="54">
        <f t="shared" si="3"/>
        <v>12</v>
      </c>
    </row>
    <row r="215" spans="1:10">
      <c r="A215" s="43">
        <v>43353</v>
      </c>
      <c r="B215">
        <v>1994</v>
      </c>
      <c r="C215">
        <v>1641</v>
      </c>
      <c r="D215">
        <v>214</v>
      </c>
      <c r="E215">
        <v>9650</v>
      </c>
      <c r="F215" t="s">
        <v>59</v>
      </c>
      <c r="G215">
        <v>84</v>
      </c>
      <c r="H215" t="s">
        <v>60</v>
      </c>
      <c r="I215">
        <v>25</v>
      </c>
      <c r="J215" s="54">
        <f t="shared" si="3"/>
        <v>3</v>
      </c>
    </row>
    <row r="216" spans="1:10">
      <c r="A216" s="43">
        <v>43153</v>
      </c>
      <c r="B216">
        <v>1994</v>
      </c>
      <c r="C216">
        <v>1641</v>
      </c>
      <c r="D216">
        <v>215</v>
      </c>
      <c r="E216">
        <v>9800</v>
      </c>
      <c r="F216" t="s">
        <v>59</v>
      </c>
      <c r="G216">
        <v>6</v>
      </c>
      <c r="H216" t="s">
        <v>133</v>
      </c>
      <c r="I216">
        <v>25</v>
      </c>
      <c r="J216" s="54">
        <f t="shared" si="3"/>
        <v>6</v>
      </c>
    </row>
    <row r="217" spans="1:10">
      <c r="A217" s="43">
        <v>43045</v>
      </c>
      <c r="B217">
        <v>1994</v>
      </c>
      <c r="C217">
        <v>1641</v>
      </c>
      <c r="D217">
        <v>216</v>
      </c>
      <c r="E217">
        <v>8300</v>
      </c>
      <c r="F217" t="s">
        <v>59</v>
      </c>
      <c r="G217">
        <v>4</v>
      </c>
      <c r="H217" t="s">
        <v>133</v>
      </c>
      <c r="I217">
        <v>25</v>
      </c>
      <c r="J217" s="54">
        <f t="shared" si="3"/>
        <v>4</v>
      </c>
    </row>
    <row r="218" spans="1:10">
      <c r="A218" s="43">
        <v>42993</v>
      </c>
      <c r="B218">
        <v>1994</v>
      </c>
      <c r="C218">
        <v>1641</v>
      </c>
      <c r="D218">
        <v>217</v>
      </c>
      <c r="E218">
        <v>8050</v>
      </c>
      <c r="F218" t="s">
        <v>59</v>
      </c>
      <c r="G218">
        <v>40</v>
      </c>
      <c r="H218" t="s">
        <v>60</v>
      </c>
      <c r="I218">
        <v>25</v>
      </c>
      <c r="J218" s="54">
        <f t="shared" si="3"/>
        <v>1</v>
      </c>
    </row>
    <row r="219" spans="1:10">
      <c r="A219" s="43">
        <v>42947</v>
      </c>
      <c r="B219">
        <v>1994</v>
      </c>
      <c r="C219">
        <v>1641</v>
      </c>
      <c r="D219">
        <v>218</v>
      </c>
      <c r="E219">
        <v>7500</v>
      </c>
      <c r="F219" t="s">
        <v>59</v>
      </c>
      <c r="G219">
        <v>42</v>
      </c>
      <c r="H219" t="s">
        <v>60</v>
      </c>
      <c r="I219">
        <v>25</v>
      </c>
      <c r="J219" s="54">
        <f t="shared" si="3"/>
        <v>1</v>
      </c>
    </row>
    <row r="220" spans="1:10">
      <c r="A220" s="43">
        <v>42914</v>
      </c>
      <c r="B220">
        <v>1994</v>
      </c>
      <c r="C220">
        <v>1641</v>
      </c>
      <c r="D220">
        <v>219</v>
      </c>
      <c r="E220">
        <v>7000</v>
      </c>
      <c r="F220" t="s">
        <v>59</v>
      </c>
      <c r="G220">
        <v>30</v>
      </c>
      <c r="H220" t="s">
        <v>60</v>
      </c>
      <c r="I220">
        <v>25</v>
      </c>
      <c r="J220" s="54">
        <f t="shared" si="3"/>
        <v>1</v>
      </c>
    </row>
    <row r="221" spans="1:10">
      <c r="A221" s="43">
        <v>42754</v>
      </c>
      <c r="B221">
        <v>1994</v>
      </c>
      <c r="C221">
        <v>1641</v>
      </c>
      <c r="D221">
        <v>220</v>
      </c>
      <c r="E221">
        <v>6700</v>
      </c>
      <c r="F221" t="s">
        <v>59</v>
      </c>
      <c r="G221">
        <v>6</v>
      </c>
      <c r="H221" t="s">
        <v>133</v>
      </c>
      <c r="I221">
        <v>25</v>
      </c>
      <c r="J221" s="54">
        <f t="shared" si="3"/>
        <v>6</v>
      </c>
    </row>
    <row r="222" spans="1:10">
      <c r="A222" s="43">
        <v>42632</v>
      </c>
      <c r="B222">
        <v>1994</v>
      </c>
      <c r="C222">
        <v>1641</v>
      </c>
      <c r="D222">
        <v>221</v>
      </c>
      <c r="E222">
        <v>6800</v>
      </c>
      <c r="F222" t="s">
        <v>59</v>
      </c>
      <c r="G222">
        <v>70</v>
      </c>
      <c r="H222" t="s">
        <v>60</v>
      </c>
      <c r="I222">
        <v>25</v>
      </c>
      <c r="J222" s="54">
        <f t="shared" si="3"/>
        <v>2</v>
      </c>
    </row>
    <row r="223" spans="1:10">
      <c r="A223" s="43">
        <v>42559</v>
      </c>
      <c r="B223">
        <v>1994</v>
      </c>
      <c r="C223">
        <v>1641</v>
      </c>
      <c r="D223">
        <v>222</v>
      </c>
      <c r="E223">
        <v>7000</v>
      </c>
      <c r="F223" t="s">
        <v>59</v>
      </c>
      <c r="G223">
        <v>4</v>
      </c>
      <c r="H223" t="s">
        <v>133</v>
      </c>
      <c r="I223">
        <v>25</v>
      </c>
      <c r="J223" s="54">
        <f t="shared" si="3"/>
        <v>4</v>
      </c>
    </row>
    <row r="224" spans="1:10">
      <c r="A224" s="43">
        <v>42470</v>
      </c>
      <c r="B224">
        <v>1994</v>
      </c>
      <c r="C224">
        <v>1641</v>
      </c>
      <c r="D224">
        <v>223</v>
      </c>
      <c r="E224">
        <v>7100</v>
      </c>
      <c r="F224" t="s">
        <v>59</v>
      </c>
      <c r="G224">
        <v>6</v>
      </c>
      <c r="H224" t="s">
        <v>133</v>
      </c>
      <c r="I224">
        <v>25</v>
      </c>
      <c r="J224" s="54">
        <f t="shared" si="3"/>
        <v>6</v>
      </c>
    </row>
    <row r="225" spans="1:10">
      <c r="A225" s="43">
        <v>43488</v>
      </c>
      <c r="B225">
        <v>1997</v>
      </c>
      <c r="C225">
        <v>1645</v>
      </c>
      <c r="D225">
        <v>224</v>
      </c>
      <c r="E225">
        <v>9000</v>
      </c>
      <c r="F225" t="s">
        <v>59</v>
      </c>
      <c r="G225">
        <v>12</v>
      </c>
      <c r="H225" t="s">
        <v>133</v>
      </c>
      <c r="I225">
        <v>22</v>
      </c>
      <c r="J225" s="54">
        <f t="shared" si="3"/>
        <v>12</v>
      </c>
    </row>
    <row r="226" spans="1:10">
      <c r="A226" s="43">
        <v>43487</v>
      </c>
      <c r="B226">
        <v>1997</v>
      </c>
      <c r="C226">
        <v>1645</v>
      </c>
      <c r="D226">
        <v>225</v>
      </c>
      <c r="E226">
        <v>9000</v>
      </c>
      <c r="F226" t="s">
        <v>59</v>
      </c>
      <c r="G226">
        <v>12</v>
      </c>
      <c r="H226" t="s">
        <v>133</v>
      </c>
      <c r="I226">
        <v>22</v>
      </c>
      <c r="J226" s="54">
        <f t="shared" si="3"/>
        <v>12</v>
      </c>
    </row>
    <row r="227" spans="1:10">
      <c r="A227" s="43">
        <v>43332</v>
      </c>
      <c r="B227">
        <v>1997</v>
      </c>
      <c r="C227">
        <v>1645</v>
      </c>
      <c r="D227">
        <v>226</v>
      </c>
      <c r="E227">
        <v>11500</v>
      </c>
      <c r="F227" t="s">
        <v>59</v>
      </c>
      <c r="G227">
        <v>12</v>
      </c>
      <c r="H227" t="s">
        <v>133</v>
      </c>
      <c r="I227">
        <v>22</v>
      </c>
      <c r="J227" s="54">
        <f t="shared" si="3"/>
        <v>12</v>
      </c>
    </row>
    <row r="228" spans="1:10">
      <c r="A228" s="43">
        <v>43028</v>
      </c>
      <c r="B228">
        <v>1998</v>
      </c>
      <c r="C228">
        <v>1645</v>
      </c>
      <c r="D228">
        <v>227</v>
      </c>
      <c r="E228">
        <v>8400</v>
      </c>
      <c r="F228" t="s">
        <v>59</v>
      </c>
      <c r="G228">
        <v>8</v>
      </c>
      <c r="H228" t="s">
        <v>133</v>
      </c>
      <c r="I228">
        <v>21</v>
      </c>
      <c r="J228" s="54">
        <f t="shared" si="3"/>
        <v>8</v>
      </c>
    </row>
    <row r="229" spans="1:10">
      <c r="A229" s="43">
        <v>42931</v>
      </c>
      <c r="B229">
        <v>1998</v>
      </c>
      <c r="C229">
        <v>1645</v>
      </c>
      <c r="D229">
        <v>228</v>
      </c>
      <c r="E229">
        <v>6750</v>
      </c>
      <c r="F229" t="s">
        <v>59</v>
      </c>
      <c r="G229">
        <v>6</v>
      </c>
      <c r="H229" t="s">
        <v>133</v>
      </c>
      <c r="I229">
        <v>21</v>
      </c>
      <c r="J229" s="54">
        <f t="shared" si="3"/>
        <v>6</v>
      </c>
    </row>
    <row r="230" spans="1:10">
      <c r="A230" s="43">
        <v>42843</v>
      </c>
      <c r="B230">
        <v>1998</v>
      </c>
      <c r="C230">
        <v>1645</v>
      </c>
      <c r="D230">
        <v>229</v>
      </c>
      <c r="E230">
        <v>7300</v>
      </c>
      <c r="F230" t="s">
        <v>59</v>
      </c>
      <c r="G230">
        <v>7</v>
      </c>
      <c r="H230" t="s">
        <v>133</v>
      </c>
      <c r="I230">
        <v>21</v>
      </c>
      <c r="J230" s="54">
        <f t="shared" si="3"/>
        <v>7</v>
      </c>
    </row>
    <row r="231" spans="1:10">
      <c r="A231" s="43">
        <v>42796</v>
      </c>
      <c r="B231">
        <v>1997</v>
      </c>
      <c r="C231">
        <v>1645</v>
      </c>
      <c r="D231">
        <v>230</v>
      </c>
      <c r="E231">
        <v>7000</v>
      </c>
      <c r="F231" t="s">
        <v>59</v>
      </c>
      <c r="G231">
        <v>7</v>
      </c>
      <c r="H231" t="s">
        <v>133</v>
      </c>
      <c r="I231">
        <v>22</v>
      </c>
      <c r="J231" s="54">
        <f t="shared" si="3"/>
        <v>7</v>
      </c>
    </row>
    <row r="232" spans="1:10">
      <c r="A232" s="43">
        <v>42796</v>
      </c>
      <c r="B232">
        <v>1998</v>
      </c>
      <c r="C232">
        <v>1645</v>
      </c>
      <c r="D232">
        <v>231</v>
      </c>
      <c r="E232">
        <v>7000</v>
      </c>
      <c r="F232" t="s">
        <v>59</v>
      </c>
      <c r="G232">
        <v>5</v>
      </c>
      <c r="H232" t="s">
        <v>133</v>
      </c>
      <c r="I232">
        <v>21</v>
      </c>
      <c r="J232" s="54">
        <f t="shared" si="3"/>
        <v>5</v>
      </c>
    </row>
    <row r="233" spans="1:10">
      <c r="A233" s="43">
        <v>42657</v>
      </c>
      <c r="B233">
        <v>1998</v>
      </c>
      <c r="C233">
        <v>1645</v>
      </c>
      <c r="D233">
        <v>232</v>
      </c>
      <c r="E233">
        <v>7000</v>
      </c>
      <c r="F233" t="s">
        <v>59</v>
      </c>
      <c r="G233">
        <v>6</v>
      </c>
      <c r="H233" t="s">
        <v>133</v>
      </c>
      <c r="I233">
        <v>21</v>
      </c>
      <c r="J233" s="54">
        <f t="shared" si="3"/>
        <v>6</v>
      </c>
    </row>
    <row r="234" spans="1:10">
      <c r="A234" s="43">
        <v>42614</v>
      </c>
      <c r="B234">
        <v>1998</v>
      </c>
      <c r="C234">
        <v>1645</v>
      </c>
      <c r="D234">
        <v>233</v>
      </c>
      <c r="E234">
        <v>6750</v>
      </c>
      <c r="F234" t="s">
        <v>59</v>
      </c>
      <c r="G234">
        <v>5</v>
      </c>
      <c r="H234" t="s">
        <v>133</v>
      </c>
      <c r="I234">
        <v>21</v>
      </c>
      <c r="J234" s="54">
        <f t="shared" si="3"/>
        <v>5</v>
      </c>
    </row>
    <row r="235" spans="1:10">
      <c r="A235" s="43">
        <v>42613</v>
      </c>
      <c r="B235">
        <v>1998</v>
      </c>
      <c r="C235">
        <v>1645</v>
      </c>
      <c r="D235">
        <v>234</v>
      </c>
      <c r="E235">
        <v>7000</v>
      </c>
      <c r="F235" t="s">
        <v>59</v>
      </c>
      <c r="G235">
        <v>9</v>
      </c>
      <c r="H235" t="s">
        <v>133</v>
      </c>
      <c r="I235">
        <v>21</v>
      </c>
      <c r="J235" s="54">
        <f t="shared" si="3"/>
        <v>9</v>
      </c>
    </row>
    <row r="236" spans="1:10">
      <c r="A236" s="43">
        <v>42600</v>
      </c>
      <c r="B236">
        <v>1998</v>
      </c>
      <c r="C236">
        <v>1645</v>
      </c>
      <c r="D236">
        <v>235</v>
      </c>
      <c r="E236">
        <v>6950</v>
      </c>
      <c r="F236" t="s">
        <v>59</v>
      </c>
      <c r="G236">
        <v>4</v>
      </c>
      <c r="H236" t="s">
        <v>133</v>
      </c>
      <c r="I236">
        <v>21</v>
      </c>
      <c r="J236" s="54">
        <f t="shared" si="3"/>
        <v>4</v>
      </c>
    </row>
    <row r="237" spans="1:10">
      <c r="A237" s="43">
        <v>42578</v>
      </c>
      <c r="B237">
        <v>1998</v>
      </c>
      <c r="C237">
        <v>1645</v>
      </c>
      <c r="D237">
        <v>236</v>
      </c>
      <c r="E237">
        <v>7100</v>
      </c>
      <c r="F237" t="s">
        <v>59</v>
      </c>
      <c r="G237">
        <v>7</v>
      </c>
      <c r="H237" t="s">
        <v>133</v>
      </c>
      <c r="I237">
        <v>21</v>
      </c>
      <c r="J237" s="54">
        <f t="shared" si="3"/>
        <v>7</v>
      </c>
    </row>
    <row r="238" spans="1:10">
      <c r="A238" s="43">
        <v>42478</v>
      </c>
      <c r="B238">
        <v>1998</v>
      </c>
      <c r="C238">
        <v>1645</v>
      </c>
      <c r="D238">
        <v>237</v>
      </c>
      <c r="E238">
        <v>7150</v>
      </c>
      <c r="F238" t="s">
        <v>59</v>
      </c>
      <c r="G238">
        <v>10</v>
      </c>
      <c r="H238" t="s">
        <v>133</v>
      </c>
      <c r="I238">
        <v>21</v>
      </c>
      <c r="J238" s="54">
        <f t="shared" si="3"/>
        <v>10</v>
      </c>
    </row>
    <row r="239" spans="1:10">
      <c r="A239" s="43">
        <v>42465</v>
      </c>
      <c r="B239">
        <v>1997</v>
      </c>
      <c r="C239">
        <v>1645</v>
      </c>
      <c r="D239">
        <v>238</v>
      </c>
      <c r="E239">
        <v>7250</v>
      </c>
      <c r="F239" t="s">
        <v>59</v>
      </c>
      <c r="G239">
        <v>7</v>
      </c>
      <c r="H239" t="s">
        <v>133</v>
      </c>
      <c r="I239">
        <v>22</v>
      </c>
      <c r="J239" s="54">
        <f t="shared" si="3"/>
        <v>7</v>
      </c>
    </row>
    <row r="240" spans="1:10">
      <c r="A240" s="43">
        <v>42450</v>
      </c>
      <c r="B240">
        <v>1998</v>
      </c>
      <c r="C240">
        <v>1645</v>
      </c>
      <c r="D240">
        <v>239</v>
      </c>
      <c r="E240">
        <v>7000</v>
      </c>
      <c r="F240" t="s">
        <v>59</v>
      </c>
      <c r="G240">
        <v>90</v>
      </c>
      <c r="H240" t="s">
        <v>60</v>
      </c>
      <c r="I240">
        <v>21</v>
      </c>
      <c r="J240" s="54">
        <f t="shared" si="3"/>
        <v>3</v>
      </c>
    </row>
    <row r="241" spans="1:10">
      <c r="A241" s="43">
        <v>42446</v>
      </c>
      <c r="B241">
        <v>1998</v>
      </c>
      <c r="C241">
        <v>1645</v>
      </c>
      <c r="D241">
        <v>240</v>
      </c>
      <c r="E241">
        <v>7150</v>
      </c>
      <c r="F241" t="s">
        <v>59</v>
      </c>
      <c r="G241">
        <v>6</v>
      </c>
      <c r="H241" t="s">
        <v>133</v>
      </c>
      <c r="I241">
        <v>21</v>
      </c>
      <c r="J241" s="54">
        <f t="shared" si="3"/>
        <v>6</v>
      </c>
    </row>
    <row r="242" spans="1:10">
      <c r="A242" s="43">
        <v>42424</v>
      </c>
      <c r="B242">
        <v>1998</v>
      </c>
      <c r="C242">
        <v>1645</v>
      </c>
      <c r="D242">
        <v>241</v>
      </c>
      <c r="E242">
        <v>7200</v>
      </c>
      <c r="F242" t="s">
        <v>59</v>
      </c>
      <c r="G242">
        <v>4</v>
      </c>
      <c r="H242" t="s">
        <v>133</v>
      </c>
      <c r="I242">
        <v>21</v>
      </c>
      <c r="J242" s="54">
        <f t="shared" si="3"/>
        <v>4</v>
      </c>
    </row>
    <row r="243" spans="1:10">
      <c r="A243" s="43">
        <v>42417</v>
      </c>
      <c r="B243">
        <v>1998</v>
      </c>
      <c r="C243">
        <v>1645</v>
      </c>
      <c r="D243">
        <v>242</v>
      </c>
      <c r="E243">
        <v>7000</v>
      </c>
      <c r="F243" t="s">
        <v>59</v>
      </c>
      <c r="G243">
        <v>9</v>
      </c>
      <c r="H243" t="s">
        <v>133</v>
      </c>
      <c r="I243">
        <v>21</v>
      </c>
      <c r="J243" s="54">
        <f t="shared" si="3"/>
        <v>9</v>
      </c>
    </row>
    <row r="244" spans="1:10">
      <c r="A244" s="43">
        <v>42403</v>
      </c>
      <c r="B244">
        <v>1998</v>
      </c>
      <c r="C244">
        <v>1645</v>
      </c>
      <c r="D244">
        <v>243</v>
      </c>
      <c r="E244">
        <v>7300</v>
      </c>
      <c r="F244" t="s">
        <v>59</v>
      </c>
      <c r="G244">
        <v>6</v>
      </c>
      <c r="H244" t="s">
        <v>133</v>
      </c>
      <c r="I244">
        <v>21</v>
      </c>
      <c r="J244" s="54">
        <f t="shared" si="3"/>
        <v>6</v>
      </c>
    </row>
    <row r="245" spans="1:10">
      <c r="A245" s="43">
        <v>43368</v>
      </c>
      <c r="B245">
        <v>1998</v>
      </c>
      <c r="C245">
        <v>1654</v>
      </c>
      <c r="D245">
        <v>244</v>
      </c>
      <c r="E245">
        <v>9400</v>
      </c>
      <c r="F245" t="s">
        <v>59</v>
      </c>
      <c r="G245">
        <v>11</v>
      </c>
      <c r="H245" t="s">
        <v>133</v>
      </c>
      <c r="I245">
        <v>21</v>
      </c>
      <c r="J245" s="54">
        <f t="shared" si="3"/>
        <v>11</v>
      </c>
    </row>
    <row r="246" spans="1:10">
      <c r="A246" s="43">
        <v>43164</v>
      </c>
      <c r="B246">
        <v>1998</v>
      </c>
      <c r="C246">
        <v>1654</v>
      </c>
      <c r="D246">
        <v>245</v>
      </c>
      <c r="E246">
        <v>9000</v>
      </c>
      <c r="F246" t="s">
        <v>59</v>
      </c>
      <c r="G246">
        <v>6</v>
      </c>
      <c r="H246" t="s">
        <v>133</v>
      </c>
      <c r="I246">
        <v>21</v>
      </c>
      <c r="J246" s="54">
        <f t="shared" si="3"/>
        <v>6</v>
      </c>
    </row>
    <row r="247" spans="1:10">
      <c r="A247" s="43">
        <v>42835</v>
      </c>
      <c r="B247">
        <v>1998</v>
      </c>
      <c r="C247">
        <v>1654</v>
      </c>
      <c r="D247">
        <v>246</v>
      </c>
      <c r="E247">
        <v>7500</v>
      </c>
      <c r="F247" t="s">
        <v>59</v>
      </c>
      <c r="G247">
        <v>12</v>
      </c>
      <c r="H247" t="s">
        <v>133</v>
      </c>
      <c r="I247">
        <v>21</v>
      </c>
      <c r="J247" s="54">
        <f t="shared" si="3"/>
        <v>12</v>
      </c>
    </row>
    <row r="248" spans="1:10">
      <c r="A248" s="43">
        <v>42650</v>
      </c>
      <c r="B248">
        <v>1998</v>
      </c>
      <c r="C248">
        <v>1654</v>
      </c>
      <c r="D248">
        <v>247</v>
      </c>
      <c r="E248">
        <v>6200</v>
      </c>
      <c r="F248" t="s">
        <v>59</v>
      </c>
      <c r="G248">
        <v>8</v>
      </c>
      <c r="H248" t="s">
        <v>133</v>
      </c>
      <c r="I248">
        <v>21</v>
      </c>
      <c r="J248" s="54">
        <f t="shared" si="3"/>
        <v>8</v>
      </c>
    </row>
    <row r="249" spans="1:10">
      <c r="A249" s="43">
        <v>43483</v>
      </c>
      <c r="B249">
        <v>1995</v>
      </c>
      <c r="C249">
        <v>1684</v>
      </c>
      <c r="D249">
        <v>248</v>
      </c>
      <c r="E249">
        <v>7250</v>
      </c>
      <c r="F249" t="s">
        <v>59</v>
      </c>
      <c r="G249">
        <v>5</v>
      </c>
      <c r="H249" t="s">
        <v>133</v>
      </c>
      <c r="I249">
        <v>24</v>
      </c>
      <c r="J249" s="54">
        <f t="shared" si="3"/>
        <v>5</v>
      </c>
    </row>
    <row r="250" spans="1:10">
      <c r="A250" s="43">
        <v>43348</v>
      </c>
      <c r="B250">
        <v>1995</v>
      </c>
      <c r="C250">
        <v>1684</v>
      </c>
      <c r="D250">
        <v>249</v>
      </c>
      <c r="E250">
        <v>9150</v>
      </c>
      <c r="F250" t="s">
        <v>59</v>
      </c>
      <c r="G250">
        <v>2</v>
      </c>
      <c r="H250" t="s">
        <v>133</v>
      </c>
      <c r="I250">
        <v>24</v>
      </c>
      <c r="J250" s="54">
        <f t="shared" si="3"/>
        <v>2</v>
      </c>
    </row>
    <row r="251" spans="1:10">
      <c r="A251" s="43">
        <v>43178</v>
      </c>
      <c r="B251">
        <v>1995</v>
      </c>
      <c r="C251">
        <v>1684</v>
      </c>
      <c r="D251">
        <v>250</v>
      </c>
      <c r="E251">
        <v>9500</v>
      </c>
      <c r="F251" t="s">
        <v>59</v>
      </c>
      <c r="G251">
        <v>5</v>
      </c>
      <c r="H251" t="s">
        <v>133</v>
      </c>
      <c r="I251">
        <v>24</v>
      </c>
      <c r="J251" s="54">
        <f t="shared" si="3"/>
        <v>5</v>
      </c>
    </row>
    <row r="252" spans="1:10">
      <c r="A252" s="43">
        <v>42941</v>
      </c>
      <c r="B252">
        <v>1995</v>
      </c>
      <c r="C252">
        <v>1684</v>
      </c>
      <c r="D252">
        <v>251</v>
      </c>
      <c r="E252">
        <v>7000</v>
      </c>
      <c r="F252" t="s">
        <v>59</v>
      </c>
      <c r="G252">
        <v>8</v>
      </c>
      <c r="H252" t="s">
        <v>133</v>
      </c>
      <c r="I252">
        <v>24</v>
      </c>
      <c r="J252" s="54">
        <f t="shared" si="3"/>
        <v>8</v>
      </c>
    </row>
    <row r="253" spans="1:10">
      <c r="A253" s="43">
        <v>42926</v>
      </c>
      <c r="B253">
        <v>1997</v>
      </c>
      <c r="C253">
        <v>1684</v>
      </c>
      <c r="D253">
        <v>252</v>
      </c>
      <c r="E253">
        <v>6600</v>
      </c>
      <c r="F253" t="s">
        <v>59</v>
      </c>
      <c r="G253">
        <v>4</v>
      </c>
      <c r="H253" t="s">
        <v>133</v>
      </c>
      <c r="I253">
        <v>22</v>
      </c>
      <c r="J253" s="54">
        <f t="shared" si="3"/>
        <v>4</v>
      </c>
    </row>
    <row r="254" spans="1:10">
      <c r="A254" s="43">
        <v>42835</v>
      </c>
      <c r="B254">
        <v>1995</v>
      </c>
      <c r="C254">
        <v>1684</v>
      </c>
      <c r="D254">
        <v>253</v>
      </c>
      <c r="E254">
        <v>6600</v>
      </c>
      <c r="F254" t="s">
        <v>59</v>
      </c>
      <c r="G254">
        <v>5</v>
      </c>
      <c r="H254" t="s">
        <v>133</v>
      </c>
      <c r="I254">
        <v>24</v>
      </c>
      <c r="J254" s="54">
        <f t="shared" si="3"/>
        <v>5</v>
      </c>
    </row>
    <row r="255" spans="1:10">
      <c r="A255" s="43">
        <v>42796</v>
      </c>
      <c r="B255">
        <v>1997</v>
      </c>
      <c r="C255">
        <v>1684</v>
      </c>
      <c r="D255">
        <v>254</v>
      </c>
      <c r="E255">
        <v>6000</v>
      </c>
      <c r="F255" t="s">
        <v>59</v>
      </c>
      <c r="G255">
        <v>6</v>
      </c>
      <c r="H255" t="s">
        <v>133</v>
      </c>
      <c r="I255">
        <v>22</v>
      </c>
      <c r="J255" s="54">
        <f t="shared" si="3"/>
        <v>6</v>
      </c>
    </row>
    <row r="256" spans="1:10">
      <c r="A256" s="43">
        <v>42779</v>
      </c>
      <c r="B256">
        <v>1995</v>
      </c>
      <c r="C256">
        <v>1684</v>
      </c>
      <c r="D256">
        <v>255</v>
      </c>
      <c r="E256">
        <v>6300</v>
      </c>
      <c r="F256" t="s">
        <v>59</v>
      </c>
      <c r="G256">
        <v>3</v>
      </c>
      <c r="H256" t="s">
        <v>133</v>
      </c>
      <c r="I256">
        <v>24</v>
      </c>
      <c r="J256" s="54">
        <f t="shared" si="3"/>
        <v>3</v>
      </c>
    </row>
    <row r="257" spans="1:10">
      <c r="A257" s="43">
        <v>42709</v>
      </c>
      <c r="B257">
        <v>1997</v>
      </c>
      <c r="C257">
        <v>1684</v>
      </c>
      <c r="D257">
        <v>256</v>
      </c>
      <c r="E257">
        <v>5800</v>
      </c>
      <c r="F257" t="s">
        <v>59</v>
      </c>
      <c r="G257">
        <v>2</v>
      </c>
      <c r="H257" t="s">
        <v>133</v>
      </c>
      <c r="I257">
        <v>22</v>
      </c>
      <c r="J257" s="54">
        <f t="shared" si="3"/>
        <v>2</v>
      </c>
    </row>
    <row r="258" spans="1:10">
      <c r="A258" s="43">
        <v>42688</v>
      </c>
      <c r="B258">
        <v>1997</v>
      </c>
      <c r="C258">
        <v>1684</v>
      </c>
      <c r="D258">
        <v>257</v>
      </c>
      <c r="E258">
        <v>6250</v>
      </c>
      <c r="F258" t="s">
        <v>59</v>
      </c>
      <c r="G258">
        <v>4</v>
      </c>
      <c r="H258" t="s">
        <v>133</v>
      </c>
      <c r="I258">
        <v>22</v>
      </c>
      <c r="J258" s="54">
        <f t="shared" ref="J258:J321" si="4">IF(H258="days",ROUND(G258/30,0),IF(H258="years",G258*12,G258))</f>
        <v>4</v>
      </c>
    </row>
    <row r="259" spans="1:10">
      <c r="A259" s="43">
        <v>42614</v>
      </c>
      <c r="B259">
        <v>1997</v>
      </c>
      <c r="C259">
        <v>1684</v>
      </c>
      <c r="D259">
        <v>258</v>
      </c>
      <c r="E259">
        <v>5800</v>
      </c>
      <c r="F259" t="s">
        <v>59</v>
      </c>
      <c r="G259">
        <v>3</v>
      </c>
      <c r="H259" t="s">
        <v>133</v>
      </c>
      <c r="I259">
        <v>22</v>
      </c>
      <c r="J259" s="54">
        <f t="shared" si="4"/>
        <v>3</v>
      </c>
    </row>
    <row r="260" spans="1:10">
      <c r="A260" s="43">
        <v>42614</v>
      </c>
      <c r="B260">
        <v>1995</v>
      </c>
      <c r="C260">
        <v>1684</v>
      </c>
      <c r="D260">
        <v>259</v>
      </c>
      <c r="E260">
        <v>6200</v>
      </c>
      <c r="F260" t="s">
        <v>59</v>
      </c>
      <c r="G260">
        <v>7</v>
      </c>
      <c r="H260" t="s">
        <v>133</v>
      </c>
      <c r="I260">
        <v>24</v>
      </c>
      <c r="J260" s="54">
        <f t="shared" si="4"/>
        <v>7</v>
      </c>
    </row>
    <row r="261" spans="1:10">
      <c r="A261" s="43">
        <v>42577</v>
      </c>
      <c r="B261">
        <v>1997</v>
      </c>
      <c r="C261">
        <v>1684</v>
      </c>
      <c r="D261">
        <v>260</v>
      </c>
      <c r="E261">
        <v>7000</v>
      </c>
      <c r="F261" t="s">
        <v>59</v>
      </c>
      <c r="G261">
        <v>70</v>
      </c>
      <c r="H261" t="s">
        <v>60</v>
      </c>
      <c r="I261">
        <v>22</v>
      </c>
      <c r="J261" s="54">
        <f t="shared" si="4"/>
        <v>2</v>
      </c>
    </row>
    <row r="262" spans="1:10">
      <c r="A262" s="43">
        <v>42549</v>
      </c>
      <c r="B262">
        <v>1997</v>
      </c>
      <c r="C262">
        <v>1684</v>
      </c>
      <c r="D262">
        <v>261</v>
      </c>
      <c r="E262">
        <v>6000</v>
      </c>
      <c r="F262" t="s">
        <v>59</v>
      </c>
      <c r="G262">
        <v>60</v>
      </c>
      <c r="H262" t="s">
        <v>60</v>
      </c>
      <c r="I262">
        <v>22</v>
      </c>
      <c r="J262" s="54">
        <f t="shared" si="4"/>
        <v>2</v>
      </c>
    </row>
    <row r="263" spans="1:10">
      <c r="A263" s="43">
        <v>42527</v>
      </c>
      <c r="B263">
        <v>1997</v>
      </c>
      <c r="C263">
        <v>1684</v>
      </c>
      <c r="D263">
        <v>262</v>
      </c>
      <c r="E263">
        <v>6000</v>
      </c>
      <c r="F263" t="s">
        <v>59</v>
      </c>
      <c r="G263">
        <v>2</v>
      </c>
      <c r="H263" t="s">
        <v>133</v>
      </c>
      <c r="I263">
        <v>22</v>
      </c>
      <c r="J263" s="54">
        <f t="shared" si="4"/>
        <v>2</v>
      </c>
    </row>
    <row r="264" spans="1:10">
      <c r="A264" s="43">
        <v>42505</v>
      </c>
      <c r="B264">
        <v>1995</v>
      </c>
      <c r="C264">
        <v>1684</v>
      </c>
      <c r="D264">
        <v>263</v>
      </c>
      <c r="E264">
        <v>6400</v>
      </c>
      <c r="F264" t="s">
        <v>59</v>
      </c>
      <c r="G264">
        <v>6</v>
      </c>
      <c r="H264" t="s">
        <v>133</v>
      </c>
      <c r="I264">
        <v>24</v>
      </c>
      <c r="J264" s="54">
        <f t="shared" si="4"/>
        <v>6</v>
      </c>
    </row>
    <row r="265" spans="1:10">
      <c r="A265" s="43">
        <v>42430</v>
      </c>
      <c r="B265">
        <v>1995</v>
      </c>
      <c r="C265">
        <v>1684</v>
      </c>
      <c r="D265">
        <v>264</v>
      </c>
      <c r="E265">
        <v>6500</v>
      </c>
      <c r="F265" t="s">
        <v>59</v>
      </c>
      <c r="G265">
        <v>3</v>
      </c>
      <c r="H265" t="s">
        <v>133</v>
      </c>
      <c r="I265">
        <v>24</v>
      </c>
      <c r="J265" s="54">
        <f t="shared" si="4"/>
        <v>3</v>
      </c>
    </row>
    <row r="266" spans="1:10">
      <c r="A266" s="43">
        <v>42401</v>
      </c>
      <c r="B266">
        <v>1999</v>
      </c>
      <c r="C266">
        <v>1702</v>
      </c>
      <c r="D266">
        <v>265</v>
      </c>
      <c r="E266">
        <v>6000</v>
      </c>
      <c r="F266" t="s">
        <v>59</v>
      </c>
      <c r="G266">
        <v>2</v>
      </c>
      <c r="H266" t="s">
        <v>133</v>
      </c>
      <c r="I266">
        <v>20</v>
      </c>
      <c r="J266" s="54">
        <f t="shared" si="4"/>
        <v>2</v>
      </c>
    </row>
    <row r="267" spans="1:10">
      <c r="A267" s="43">
        <v>42401</v>
      </c>
      <c r="B267">
        <v>1999</v>
      </c>
      <c r="C267">
        <v>1702</v>
      </c>
      <c r="D267">
        <v>266</v>
      </c>
      <c r="E267">
        <v>6600</v>
      </c>
      <c r="F267" t="s">
        <v>59</v>
      </c>
      <c r="G267">
        <v>13</v>
      </c>
      <c r="H267" t="s">
        <v>133</v>
      </c>
      <c r="I267">
        <v>20</v>
      </c>
      <c r="J267" s="54">
        <f t="shared" si="4"/>
        <v>13</v>
      </c>
    </row>
    <row r="268" spans="1:10">
      <c r="A268" s="43">
        <v>43446</v>
      </c>
      <c r="B268">
        <v>1999</v>
      </c>
      <c r="C268">
        <v>1726</v>
      </c>
      <c r="D268">
        <v>267</v>
      </c>
      <c r="E268">
        <v>7200</v>
      </c>
      <c r="F268" t="s">
        <v>59</v>
      </c>
      <c r="G268">
        <v>7</v>
      </c>
      <c r="H268" t="s">
        <v>133</v>
      </c>
      <c r="I268">
        <v>20</v>
      </c>
      <c r="J268" s="54">
        <f t="shared" si="4"/>
        <v>7</v>
      </c>
    </row>
    <row r="269" spans="1:10">
      <c r="A269" s="43">
        <v>43346</v>
      </c>
      <c r="B269">
        <v>1999</v>
      </c>
      <c r="C269">
        <v>1726</v>
      </c>
      <c r="D269">
        <v>268</v>
      </c>
      <c r="E269">
        <v>9500</v>
      </c>
      <c r="F269" t="s">
        <v>59</v>
      </c>
      <c r="G269">
        <v>3</v>
      </c>
      <c r="H269" t="s">
        <v>133</v>
      </c>
      <c r="I269">
        <v>20</v>
      </c>
      <c r="J269" s="54">
        <f t="shared" si="4"/>
        <v>3</v>
      </c>
    </row>
    <row r="270" spans="1:10">
      <c r="A270" s="43">
        <v>43235</v>
      </c>
      <c r="B270">
        <v>1999</v>
      </c>
      <c r="C270">
        <v>1726</v>
      </c>
      <c r="D270">
        <v>269</v>
      </c>
      <c r="E270">
        <v>10850</v>
      </c>
      <c r="F270" t="s">
        <v>59</v>
      </c>
      <c r="G270">
        <v>5</v>
      </c>
      <c r="H270" t="s">
        <v>133</v>
      </c>
      <c r="I270">
        <v>20</v>
      </c>
      <c r="J270" s="54">
        <f t="shared" si="4"/>
        <v>5</v>
      </c>
    </row>
    <row r="271" spans="1:10">
      <c r="A271" s="43">
        <v>43101</v>
      </c>
      <c r="B271">
        <v>1999</v>
      </c>
      <c r="C271">
        <v>1726</v>
      </c>
      <c r="D271">
        <v>270</v>
      </c>
      <c r="E271">
        <v>8700</v>
      </c>
      <c r="F271" t="s">
        <v>59</v>
      </c>
      <c r="G271">
        <v>5</v>
      </c>
      <c r="H271" t="s">
        <v>133</v>
      </c>
      <c r="I271">
        <v>20</v>
      </c>
      <c r="J271" s="54">
        <f t="shared" si="4"/>
        <v>5</v>
      </c>
    </row>
    <row r="272" spans="1:10">
      <c r="A272" s="43">
        <v>42919</v>
      </c>
      <c r="B272">
        <v>1999</v>
      </c>
      <c r="C272">
        <v>1726</v>
      </c>
      <c r="D272">
        <v>271</v>
      </c>
      <c r="E272">
        <v>6500</v>
      </c>
      <c r="F272" t="s">
        <v>59</v>
      </c>
      <c r="G272">
        <v>10</v>
      </c>
      <c r="H272" t="s">
        <v>133</v>
      </c>
      <c r="I272">
        <v>20</v>
      </c>
      <c r="J272" s="54">
        <f t="shared" si="4"/>
        <v>10</v>
      </c>
    </row>
    <row r="273" spans="1:10">
      <c r="A273" s="43">
        <v>42793</v>
      </c>
      <c r="B273">
        <v>1999</v>
      </c>
      <c r="C273">
        <v>1726</v>
      </c>
      <c r="D273">
        <v>272</v>
      </c>
      <c r="E273">
        <v>6000</v>
      </c>
      <c r="F273" t="s">
        <v>59</v>
      </c>
      <c r="G273">
        <v>4</v>
      </c>
      <c r="H273" t="s">
        <v>133</v>
      </c>
      <c r="I273">
        <v>20</v>
      </c>
      <c r="J273" s="54">
        <f t="shared" si="4"/>
        <v>4</v>
      </c>
    </row>
    <row r="274" spans="1:10">
      <c r="A274" s="43">
        <v>42688</v>
      </c>
      <c r="B274">
        <v>1999</v>
      </c>
      <c r="C274">
        <v>1726</v>
      </c>
      <c r="D274">
        <v>273</v>
      </c>
      <c r="E274">
        <v>6000</v>
      </c>
      <c r="F274" t="s">
        <v>59</v>
      </c>
      <c r="G274">
        <v>3</v>
      </c>
      <c r="H274" t="s">
        <v>133</v>
      </c>
      <c r="I274">
        <v>20</v>
      </c>
      <c r="J274" s="54">
        <f t="shared" si="4"/>
        <v>3</v>
      </c>
    </row>
    <row r="275" spans="1:10">
      <c r="A275" s="43">
        <v>42549</v>
      </c>
      <c r="B275">
        <v>1999</v>
      </c>
      <c r="C275">
        <v>1726</v>
      </c>
      <c r="D275">
        <v>274</v>
      </c>
      <c r="E275">
        <v>6000</v>
      </c>
      <c r="F275" t="s">
        <v>59</v>
      </c>
      <c r="G275">
        <v>4</v>
      </c>
      <c r="H275" t="s">
        <v>133</v>
      </c>
      <c r="I275">
        <v>20</v>
      </c>
      <c r="J275" s="54">
        <f t="shared" si="4"/>
        <v>4</v>
      </c>
    </row>
    <row r="276" spans="1:10">
      <c r="A276" s="43">
        <v>42501</v>
      </c>
      <c r="B276">
        <v>1999</v>
      </c>
      <c r="C276">
        <v>1726</v>
      </c>
      <c r="D276">
        <v>275</v>
      </c>
      <c r="E276">
        <v>5700</v>
      </c>
      <c r="F276" t="s">
        <v>59</v>
      </c>
      <c r="G276">
        <v>2</v>
      </c>
      <c r="H276" t="s">
        <v>133</v>
      </c>
      <c r="I276">
        <v>20</v>
      </c>
      <c r="J276" s="54">
        <f t="shared" si="4"/>
        <v>2</v>
      </c>
    </row>
    <row r="277" spans="1:10">
      <c r="A277" s="43">
        <v>42464</v>
      </c>
      <c r="B277">
        <v>1999</v>
      </c>
      <c r="C277">
        <v>1726</v>
      </c>
      <c r="D277">
        <v>276</v>
      </c>
      <c r="E277">
        <v>5650</v>
      </c>
      <c r="F277" t="s">
        <v>59</v>
      </c>
      <c r="G277">
        <v>30</v>
      </c>
      <c r="H277" t="s">
        <v>60</v>
      </c>
      <c r="I277">
        <v>20</v>
      </c>
      <c r="J277" s="54">
        <f t="shared" si="4"/>
        <v>1</v>
      </c>
    </row>
    <row r="278" spans="1:10">
      <c r="A278" s="43">
        <v>42452</v>
      </c>
      <c r="B278">
        <v>1995</v>
      </c>
      <c r="C278">
        <v>1726</v>
      </c>
      <c r="D278">
        <v>277</v>
      </c>
      <c r="E278">
        <v>6100</v>
      </c>
      <c r="F278" t="s">
        <v>59</v>
      </c>
      <c r="G278">
        <v>12</v>
      </c>
      <c r="H278" t="s">
        <v>133</v>
      </c>
      <c r="I278">
        <v>24</v>
      </c>
      <c r="J278" s="54">
        <f t="shared" si="4"/>
        <v>12</v>
      </c>
    </row>
    <row r="279" spans="1:10">
      <c r="A279" s="43">
        <v>42402</v>
      </c>
      <c r="B279">
        <v>1999</v>
      </c>
      <c r="C279">
        <v>1726</v>
      </c>
      <c r="D279">
        <v>278</v>
      </c>
      <c r="E279">
        <v>6200</v>
      </c>
      <c r="F279" t="s">
        <v>59</v>
      </c>
      <c r="G279">
        <v>5</v>
      </c>
      <c r="H279" t="s">
        <v>133</v>
      </c>
      <c r="I279">
        <v>20</v>
      </c>
      <c r="J279" s="54">
        <f t="shared" si="4"/>
        <v>5</v>
      </c>
    </row>
    <row r="280" spans="1:10">
      <c r="A280" s="43">
        <v>43509</v>
      </c>
      <c r="B280">
        <v>1998</v>
      </c>
      <c r="C280">
        <v>1728</v>
      </c>
      <c r="D280">
        <v>279</v>
      </c>
      <c r="E280">
        <v>7000</v>
      </c>
      <c r="F280" t="s">
        <v>59</v>
      </c>
      <c r="G280">
        <v>6</v>
      </c>
      <c r="H280" t="s">
        <v>133</v>
      </c>
      <c r="I280">
        <v>21</v>
      </c>
      <c r="J280" s="54">
        <f t="shared" si="4"/>
        <v>6</v>
      </c>
    </row>
    <row r="281" spans="1:10">
      <c r="A281" s="43">
        <v>43418</v>
      </c>
      <c r="B281">
        <v>1998</v>
      </c>
      <c r="C281">
        <v>1728</v>
      </c>
      <c r="D281">
        <v>280</v>
      </c>
      <c r="E281">
        <v>8500</v>
      </c>
      <c r="F281" t="s">
        <v>59</v>
      </c>
      <c r="G281">
        <v>6</v>
      </c>
      <c r="H281" t="s">
        <v>133</v>
      </c>
      <c r="I281">
        <v>21</v>
      </c>
      <c r="J281" s="54">
        <f t="shared" si="4"/>
        <v>6</v>
      </c>
    </row>
    <row r="282" spans="1:10">
      <c r="A282" s="43">
        <v>43378</v>
      </c>
      <c r="B282">
        <v>1998</v>
      </c>
      <c r="C282">
        <v>1728</v>
      </c>
      <c r="D282">
        <v>281</v>
      </c>
      <c r="E282">
        <v>9000</v>
      </c>
      <c r="F282" t="s">
        <v>59</v>
      </c>
      <c r="G282">
        <v>6</v>
      </c>
      <c r="H282" t="s">
        <v>133</v>
      </c>
      <c r="I282">
        <v>21</v>
      </c>
      <c r="J282" s="54">
        <f t="shared" si="4"/>
        <v>6</v>
      </c>
    </row>
    <row r="283" spans="1:10">
      <c r="A283" s="43">
        <v>43283</v>
      </c>
      <c r="B283">
        <v>1999</v>
      </c>
      <c r="C283">
        <v>1728</v>
      </c>
      <c r="D283">
        <v>282</v>
      </c>
      <c r="E283">
        <v>10500</v>
      </c>
      <c r="F283" t="s">
        <v>59</v>
      </c>
      <c r="G283">
        <v>9</v>
      </c>
      <c r="H283" t="s">
        <v>133</v>
      </c>
      <c r="I283">
        <v>20</v>
      </c>
      <c r="J283" s="54">
        <f t="shared" si="4"/>
        <v>9</v>
      </c>
    </row>
    <row r="284" spans="1:10">
      <c r="A284" s="43">
        <v>43105</v>
      </c>
      <c r="B284">
        <v>1998</v>
      </c>
      <c r="C284">
        <v>1728</v>
      </c>
      <c r="D284">
        <v>283</v>
      </c>
      <c r="E284">
        <v>8350</v>
      </c>
      <c r="F284" t="s">
        <v>59</v>
      </c>
      <c r="G284">
        <v>11</v>
      </c>
      <c r="H284" t="s">
        <v>133</v>
      </c>
      <c r="I284">
        <v>21</v>
      </c>
      <c r="J284" s="54">
        <f t="shared" si="4"/>
        <v>11</v>
      </c>
    </row>
    <row r="285" spans="1:10">
      <c r="A285" s="43">
        <v>43080</v>
      </c>
      <c r="B285">
        <v>1998</v>
      </c>
      <c r="C285">
        <v>1728</v>
      </c>
      <c r="D285">
        <v>284</v>
      </c>
      <c r="E285">
        <v>8000</v>
      </c>
      <c r="F285" t="s">
        <v>59</v>
      </c>
      <c r="G285">
        <v>5</v>
      </c>
      <c r="H285" t="s">
        <v>133</v>
      </c>
      <c r="I285">
        <v>21</v>
      </c>
      <c r="J285" s="54">
        <f t="shared" si="4"/>
        <v>5</v>
      </c>
    </row>
    <row r="286" spans="1:10">
      <c r="A286" s="43">
        <v>43049</v>
      </c>
      <c r="B286">
        <v>1998</v>
      </c>
      <c r="C286">
        <v>1728</v>
      </c>
      <c r="D286">
        <v>285</v>
      </c>
      <c r="E286">
        <v>8500</v>
      </c>
      <c r="F286" t="s">
        <v>59</v>
      </c>
      <c r="G286">
        <v>6</v>
      </c>
      <c r="H286" t="s">
        <v>133</v>
      </c>
      <c r="I286">
        <v>21</v>
      </c>
      <c r="J286" s="54">
        <f t="shared" si="4"/>
        <v>6</v>
      </c>
    </row>
    <row r="287" spans="1:10">
      <c r="A287" s="43">
        <v>43045</v>
      </c>
      <c r="B287">
        <v>1999</v>
      </c>
      <c r="C287">
        <v>1728</v>
      </c>
      <c r="D287">
        <v>286</v>
      </c>
      <c r="E287">
        <v>8000</v>
      </c>
      <c r="F287" t="s">
        <v>59</v>
      </c>
      <c r="G287">
        <v>6</v>
      </c>
      <c r="H287" t="s">
        <v>133</v>
      </c>
      <c r="I287">
        <v>20</v>
      </c>
      <c r="J287" s="54">
        <f t="shared" si="4"/>
        <v>6</v>
      </c>
    </row>
    <row r="288" spans="1:10">
      <c r="A288" s="43">
        <v>42895</v>
      </c>
      <c r="B288">
        <v>1999</v>
      </c>
      <c r="C288">
        <v>1728</v>
      </c>
      <c r="D288">
        <v>287</v>
      </c>
      <c r="E288">
        <v>6400</v>
      </c>
      <c r="F288" t="s">
        <v>59</v>
      </c>
      <c r="G288">
        <v>5</v>
      </c>
      <c r="H288" t="s">
        <v>133</v>
      </c>
      <c r="I288">
        <v>20</v>
      </c>
      <c r="J288" s="54">
        <f t="shared" si="4"/>
        <v>5</v>
      </c>
    </row>
    <row r="289" spans="1:10">
      <c r="A289" s="43">
        <v>42884</v>
      </c>
      <c r="B289">
        <v>1997</v>
      </c>
      <c r="C289">
        <v>1728</v>
      </c>
      <c r="D289">
        <v>288</v>
      </c>
      <c r="E289">
        <v>6450</v>
      </c>
      <c r="F289" t="s">
        <v>59</v>
      </c>
      <c r="G289">
        <v>5</v>
      </c>
      <c r="H289" t="s">
        <v>133</v>
      </c>
      <c r="I289">
        <v>22</v>
      </c>
      <c r="J289" s="54">
        <f t="shared" si="4"/>
        <v>5</v>
      </c>
    </row>
    <row r="290" spans="1:10">
      <c r="A290" s="43">
        <v>42877</v>
      </c>
      <c r="B290">
        <v>1998</v>
      </c>
      <c r="C290">
        <v>1728</v>
      </c>
      <c r="D290">
        <v>289</v>
      </c>
      <c r="E290">
        <v>6400</v>
      </c>
      <c r="F290" t="s">
        <v>59</v>
      </c>
      <c r="G290">
        <v>6</v>
      </c>
      <c r="H290" t="s">
        <v>133</v>
      </c>
      <c r="I290">
        <v>21</v>
      </c>
      <c r="J290" s="54">
        <f t="shared" si="4"/>
        <v>6</v>
      </c>
    </row>
    <row r="291" spans="1:10">
      <c r="A291" s="43">
        <v>42867</v>
      </c>
      <c r="B291">
        <v>1998</v>
      </c>
      <c r="C291">
        <v>1728</v>
      </c>
      <c r="D291">
        <v>290</v>
      </c>
      <c r="E291">
        <v>6500</v>
      </c>
      <c r="F291" t="s">
        <v>59</v>
      </c>
      <c r="G291">
        <v>160</v>
      </c>
      <c r="H291" t="s">
        <v>60</v>
      </c>
      <c r="I291">
        <v>21</v>
      </c>
      <c r="J291" s="54">
        <f t="shared" si="4"/>
        <v>5</v>
      </c>
    </row>
    <row r="292" spans="1:10">
      <c r="A292" s="43">
        <v>42807</v>
      </c>
      <c r="B292">
        <v>1997</v>
      </c>
      <c r="C292">
        <v>1728</v>
      </c>
      <c r="D292">
        <v>291</v>
      </c>
      <c r="E292">
        <v>6000</v>
      </c>
      <c r="F292" t="s">
        <v>59</v>
      </c>
      <c r="G292">
        <v>3</v>
      </c>
      <c r="H292" t="s">
        <v>133</v>
      </c>
      <c r="I292">
        <v>22</v>
      </c>
      <c r="J292" s="54">
        <f t="shared" si="4"/>
        <v>3</v>
      </c>
    </row>
    <row r="293" spans="1:10">
      <c r="A293" s="43">
        <v>42723</v>
      </c>
      <c r="B293">
        <v>1998</v>
      </c>
      <c r="C293">
        <v>1728</v>
      </c>
      <c r="D293">
        <v>292</v>
      </c>
      <c r="E293">
        <v>5600</v>
      </c>
      <c r="F293" t="s">
        <v>59</v>
      </c>
      <c r="G293">
        <v>5</v>
      </c>
      <c r="H293" t="s">
        <v>133</v>
      </c>
      <c r="I293">
        <v>21</v>
      </c>
      <c r="J293" s="54">
        <f t="shared" si="4"/>
        <v>5</v>
      </c>
    </row>
    <row r="294" spans="1:10">
      <c r="A294" s="43">
        <v>42712</v>
      </c>
      <c r="B294">
        <v>1996</v>
      </c>
      <c r="C294">
        <v>1728</v>
      </c>
      <c r="D294">
        <v>293</v>
      </c>
      <c r="E294">
        <v>5750</v>
      </c>
      <c r="F294" t="s">
        <v>59</v>
      </c>
      <c r="G294">
        <v>40</v>
      </c>
      <c r="H294" t="s">
        <v>60</v>
      </c>
      <c r="I294">
        <v>23</v>
      </c>
      <c r="J294" s="54">
        <f t="shared" si="4"/>
        <v>1</v>
      </c>
    </row>
    <row r="295" spans="1:10">
      <c r="A295" s="43">
        <v>42675</v>
      </c>
      <c r="B295">
        <v>1998</v>
      </c>
      <c r="C295">
        <v>1728</v>
      </c>
      <c r="D295">
        <v>294</v>
      </c>
      <c r="E295">
        <v>6000</v>
      </c>
      <c r="F295" t="s">
        <v>59</v>
      </c>
      <c r="G295">
        <v>45</v>
      </c>
      <c r="H295" t="s">
        <v>60</v>
      </c>
      <c r="I295">
        <v>21</v>
      </c>
      <c r="J295" s="54">
        <f t="shared" si="4"/>
        <v>2</v>
      </c>
    </row>
    <row r="296" spans="1:10">
      <c r="A296" s="43">
        <v>42656</v>
      </c>
      <c r="B296">
        <v>1996</v>
      </c>
      <c r="C296">
        <v>1728</v>
      </c>
      <c r="D296">
        <v>295</v>
      </c>
      <c r="E296">
        <v>6000</v>
      </c>
      <c r="F296" t="s">
        <v>59</v>
      </c>
      <c r="G296">
        <v>6</v>
      </c>
      <c r="H296" t="s">
        <v>133</v>
      </c>
      <c r="I296">
        <v>23</v>
      </c>
      <c r="J296" s="54">
        <f t="shared" si="4"/>
        <v>6</v>
      </c>
    </row>
    <row r="297" spans="1:10">
      <c r="A297" s="43">
        <v>42643</v>
      </c>
      <c r="B297">
        <v>1999</v>
      </c>
      <c r="C297">
        <v>1728</v>
      </c>
      <c r="D297">
        <v>296</v>
      </c>
      <c r="E297">
        <v>6000</v>
      </c>
      <c r="F297" t="s">
        <v>59</v>
      </c>
      <c r="G297">
        <v>8</v>
      </c>
      <c r="H297" t="s">
        <v>133</v>
      </c>
      <c r="I297">
        <v>20</v>
      </c>
      <c r="J297" s="54">
        <f t="shared" si="4"/>
        <v>8</v>
      </c>
    </row>
    <row r="298" spans="1:10">
      <c r="A298" s="43">
        <v>42643</v>
      </c>
      <c r="B298">
        <v>1997</v>
      </c>
      <c r="C298">
        <v>1728</v>
      </c>
      <c r="D298">
        <v>297</v>
      </c>
      <c r="E298">
        <v>5900</v>
      </c>
      <c r="F298" t="s">
        <v>59</v>
      </c>
      <c r="G298">
        <v>10</v>
      </c>
      <c r="H298" t="s">
        <v>133</v>
      </c>
      <c r="I298">
        <v>22</v>
      </c>
      <c r="J298" s="54">
        <f t="shared" si="4"/>
        <v>10</v>
      </c>
    </row>
    <row r="299" spans="1:10">
      <c r="A299" s="43">
        <v>42640</v>
      </c>
      <c r="B299">
        <v>1998</v>
      </c>
      <c r="C299">
        <v>1728</v>
      </c>
      <c r="D299">
        <v>298</v>
      </c>
      <c r="E299">
        <v>5500</v>
      </c>
      <c r="F299" t="s">
        <v>59</v>
      </c>
      <c r="G299">
        <v>3</v>
      </c>
      <c r="H299" t="s">
        <v>133</v>
      </c>
      <c r="I299">
        <v>21</v>
      </c>
      <c r="J299" s="54">
        <f t="shared" si="4"/>
        <v>3</v>
      </c>
    </row>
    <row r="300" spans="1:10">
      <c r="A300" s="43">
        <v>42559</v>
      </c>
      <c r="B300">
        <v>1997</v>
      </c>
      <c r="C300">
        <v>1728</v>
      </c>
      <c r="D300">
        <v>299</v>
      </c>
      <c r="E300">
        <v>6000</v>
      </c>
      <c r="F300" t="s">
        <v>59</v>
      </c>
      <c r="G300">
        <v>8</v>
      </c>
      <c r="H300" t="s">
        <v>133</v>
      </c>
      <c r="I300">
        <v>22</v>
      </c>
      <c r="J300" s="54">
        <f t="shared" si="4"/>
        <v>8</v>
      </c>
    </row>
    <row r="301" spans="1:10">
      <c r="A301" s="43">
        <v>42559</v>
      </c>
      <c r="B301">
        <v>1996</v>
      </c>
      <c r="C301">
        <v>1728</v>
      </c>
      <c r="D301">
        <v>300</v>
      </c>
      <c r="E301">
        <v>6000</v>
      </c>
      <c r="F301" t="s">
        <v>59</v>
      </c>
      <c r="G301">
        <v>4</v>
      </c>
      <c r="H301" t="s">
        <v>133</v>
      </c>
      <c r="I301">
        <v>23</v>
      </c>
      <c r="J301" s="54">
        <f t="shared" si="4"/>
        <v>4</v>
      </c>
    </row>
    <row r="302" spans="1:10">
      <c r="A302" s="43">
        <v>42505</v>
      </c>
      <c r="B302">
        <v>1998</v>
      </c>
      <c r="C302">
        <v>1728</v>
      </c>
      <c r="D302">
        <v>301</v>
      </c>
      <c r="E302">
        <v>5800</v>
      </c>
      <c r="F302" t="s">
        <v>59</v>
      </c>
      <c r="G302">
        <v>160</v>
      </c>
      <c r="H302" t="s">
        <v>60</v>
      </c>
      <c r="I302">
        <v>21</v>
      </c>
      <c r="J302" s="54">
        <f t="shared" si="4"/>
        <v>5</v>
      </c>
    </row>
    <row r="303" spans="1:10">
      <c r="A303" s="43">
        <v>42501</v>
      </c>
      <c r="B303">
        <v>1996</v>
      </c>
      <c r="C303">
        <v>1728</v>
      </c>
      <c r="D303">
        <v>302</v>
      </c>
      <c r="E303">
        <v>5700</v>
      </c>
      <c r="F303" t="s">
        <v>59</v>
      </c>
      <c r="G303">
        <v>4</v>
      </c>
      <c r="H303" t="s">
        <v>133</v>
      </c>
      <c r="I303">
        <v>23</v>
      </c>
      <c r="J303" s="54">
        <f t="shared" si="4"/>
        <v>4</v>
      </c>
    </row>
    <row r="304" spans="1:10">
      <c r="A304" s="43">
        <v>42493</v>
      </c>
      <c r="B304">
        <v>1998</v>
      </c>
      <c r="C304">
        <v>1728</v>
      </c>
      <c r="D304">
        <v>303</v>
      </c>
      <c r="E304">
        <v>5500</v>
      </c>
      <c r="F304" t="s">
        <v>59</v>
      </c>
      <c r="G304">
        <v>5</v>
      </c>
      <c r="H304" t="s">
        <v>133</v>
      </c>
      <c r="I304">
        <v>21</v>
      </c>
      <c r="J304" s="54">
        <f t="shared" si="4"/>
        <v>5</v>
      </c>
    </row>
    <row r="305" spans="1:10">
      <c r="A305" s="43">
        <v>42480</v>
      </c>
      <c r="B305">
        <v>1997</v>
      </c>
      <c r="C305">
        <v>1728</v>
      </c>
      <c r="D305">
        <v>304</v>
      </c>
      <c r="E305">
        <v>5800</v>
      </c>
      <c r="F305" t="s">
        <v>59</v>
      </c>
      <c r="G305">
        <v>70</v>
      </c>
      <c r="H305" t="s">
        <v>60</v>
      </c>
      <c r="I305">
        <v>22</v>
      </c>
      <c r="J305" s="54">
        <f t="shared" si="4"/>
        <v>2</v>
      </c>
    </row>
    <row r="306" spans="1:10">
      <c r="A306" s="43">
        <v>42478</v>
      </c>
      <c r="B306">
        <v>1996</v>
      </c>
      <c r="C306">
        <v>1728</v>
      </c>
      <c r="D306">
        <v>305</v>
      </c>
      <c r="E306">
        <v>6000</v>
      </c>
      <c r="F306" t="s">
        <v>59</v>
      </c>
      <c r="G306">
        <v>60</v>
      </c>
      <c r="H306" t="s">
        <v>60</v>
      </c>
      <c r="I306">
        <v>23</v>
      </c>
      <c r="J306" s="54">
        <f t="shared" si="4"/>
        <v>2</v>
      </c>
    </row>
    <row r="307" spans="1:10">
      <c r="A307" s="43">
        <v>42438</v>
      </c>
      <c r="B307">
        <v>1996</v>
      </c>
      <c r="C307">
        <v>1728</v>
      </c>
      <c r="D307">
        <v>306</v>
      </c>
      <c r="E307">
        <v>5800</v>
      </c>
      <c r="F307" t="s">
        <v>59</v>
      </c>
      <c r="G307">
        <v>9</v>
      </c>
      <c r="H307" t="s">
        <v>133</v>
      </c>
      <c r="I307">
        <v>23</v>
      </c>
      <c r="J307" s="54">
        <f t="shared" si="4"/>
        <v>9</v>
      </c>
    </row>
    <row r="308" spans="1:10">
      <c r="A308" s="43">
        <v>42416</v>
      </c>
      <c r="B308">
        <v>1998</v>
      </c>
      <c r="C308">
        <v>1728</v>
      </c>
      <c r="D308">
        <v>307</v>
      </c>
      <c r="E308">
        <v>6500</v>
      </c>
      <c r="F308" t="s">
        <v>59</v>
      </c>
      <c r="G308">
        <v>7</v>
      </c>
      <c r="H308" t="s">
        <v>133</v>
      </c>
      <c r="I308">
        <v>21</v>
      </c>
      <c r="J308" s="54">
        <f t="shared" si="4"/>
        <v>7</v>
      </c>
    </row>
    <row r="309" spans="1:10">
      <c r="A309" s="43">
        <v>42409</v>
      </c>
      <c r="B309">
        <v>1997</v>
      </c>
      <c r="C309">
        <v>1728</v>
      </c>
      <c r="D309">
        <v>308</v>
      </c>
      <c r="E309">
        <v>6900</v>
      </c>
      <c r="F309" t="s">
        <v>59</v>
      </c>
      <c r="G309">
        <v>80</v>
      </c>
      <c r="H309" t="s">
        <v>60</v>
      </c>
      <c r="I309">
        <v>22</v>
      </c>
      <c r="J309" s="54">
        <f t="shared" si="4"/>
        <v>3</v>
      </c>
    </row>
    <row r="310" spans="1:10">
      <c r="A310" s="43">
        <v>42408</v>
      </c>
      <c r="B310">
        <v>1996</v>
      </c>
      <c r="C310">
        <v>1728</v>
      </c>
      <c r="D310">
        <v>309</v>
      </c>
      <c r="E310">
        <v>6250</v>
      </c>
      <c r="F310" t="s">
        <v>59</v>
      </c>
      <c r="G310">
        <v>30</v>
      </c>
      <c r="H310" t="s">
        <v>60</v>
      </c>
      <c r="I310">
        <v>23</v>
      </c>
      <c r="J310" s="54">
        <f t="shared" si="4"/>
        <v>1</v>
      </c>
    </row>
    <row r="311" spans="1:10">
      <c r="A311" s="43">
        <v>43566</v>
      </c>
      <c r="B311">
        <v>1999</v>
      </c>
      <c r="C311">
        <v>1730</v>
      </c>
      <c r="D311">
        <v>310</v>
      </c>
      <c r="E311">
        <v>7250</v>
      </c>
      <c r="F311" t="s">
        <v>59</v>
      </c>
      <c r="G311">
        <v>2</v>
      </c>
      <c r="H311" t="s">
        <v>133</v>
      </c>
      <c r="I311">
        <v>20</v>
      </c>
      <c r="J311" s="54">
        <f t="shared" si="4"/>
        <v>2</v>
      </c>
    </row>
    <row r="312" spans="1:10">
      <c r="A312" s="43">
        <v>43523</v>
      </c>
      <c r="B312">
        <v>1998</v>
      </c>
      <c r="C312">
        <v>1730</v>
      </c>
      <c r="D312">
        <v>311</v>
      </c>
      <c r="E312">
        <v>7000</v>
      </c>
      <c r="F312" t="s">
        <v>59</v>
      </c>
      <c r="G312">
        <v>7</v>
      </c>
      <c r="H312" t="s">
        <v>133</v>
      </c>
      <c r="I312">
        <v>21</v>
      </c>
      <c r="J312" s="54">
        <f t="shared" si="4"/>
        <v>7</v>
      </c>
    </row>
    <row r="313" spans="1:10">
      <c r="A313" s="43">
        <v>43444</v>
      </c>
      <c r="B313">
        <v>1999</v>
      </c>
      <c r="C313">
        <v>1730</v>
      </c>
      <c r="D313">
        <v>312</v>
      </c>
      <c r="E313">
        <v>6300</v>
      </c>
      <c r="F313" t="s">
        <v>59</v>
      </c>
      <c r="G313">
        <v>4</v>
      </c>
      <c r="H313" t="s">
        <v>133</v>
      </c>
      <c r="I313">
        <v>20</v>
      </c>
      <c r="J313" s="54">
        <f t="shared" si="4"/>
        <v>4</v>
      </c>
    </row>
    <row r="314" spans="1:10">
      <c r="A314" s="43">
        <v>43202</v>
      </c>
      <c r="B314">
        <v>1996</v>
      </c>
      <c r="C314">
        <v>1730</v>
      </c>
      <c r="D314">
        <v>313</v>
      </c>
      <c r="E314">
        <v>10350</v>
      </c>
      <c r="F314" t="s">
        <v>59</v>
      </c>
      <c r="G314">
        <v>6</v>
      </c>
      <c r="H314" t="s">
        <v>133</v>
      </c>
      <c r="I314">
        <v>23</v>
      </c>
      <c r="J314" s="54">
        <f t="shared" si="4"/>
        <v>6</v>
      </c>
    </row>
    <row r="315" spans="1:10">
      <c r="A315" s="43">
        <v>43201</v>
      </c>
      <c r="B315">
        <v>1998</v>
      </c>
      <c r="C315">
        <v>1730</v>
      </c>
      <c r="D315">
        <v>314</v>
      </c>
      <c r="E315">
        <v>10350</v>
      </c>
      <c r="F315" t="s">
        <v>59</v>
      </c>
      <c r="G315">
        <v>12</v>
      </c>
      <c r="H315" t="s">
        <v>133</v>
      </c>
      <c r="I315">
        <v>21</v>
      </c>
      <c r="J315" s="54">
        <f t="shared" si="4"/>
        <v>12</v>
      </c>
    </row>
    <row r="316" spans="1:10">
      <c r="A316" s="43">
        <v>43028</v>
      </c>
      <c r="B316">
        <v>1999</v>
      </c>
      <c r="C316">
        <v>1730</v>
      </c>
      <c r="D316">
        <v>315</v>
      </c>
      <c r="E316">
        <v>8000</v>
      </c>
      <c r="F316" t="s">
        <v>59</v>
      </c>
      <c r="G316">
        <v>7</v>
      </c>
      <c r="H316" t="s">
        <v>133</v>
      </c>
      <c r="I316">
        <v>20</v>
      </c>
      <c r="J316" s="54">
        <f t="shared" si="4"/>
        <v>7</v>
      </c>
    </row>
    <row r="317" spans="1:10">
      <c r="A317" s="43">
        <v>43019</v>
      </c>
      <c r="B317">
        <v>1996</v>
      </c>
      <c r="C317">
        <v>1730</v>
      </c>
      <c r="D317">
        <v>316</v>
      </c>
      <c r="E317">
        <v>7900</v>
      </c>
      <c r="F317" t="s">
        <v>59</v>
      </c>
      <c r="G317">
        <v>6</v>
      </c>
      <c r="H317" t="s">
        <v>133</v>
      </c>
      <c r="I317">
        <v>23</v>
      </c>
      <c r="J317" s="54">
        <f t="shared" si="4"/>
        <v>6</v>
      </c>
    </row>
    <row r="318" spans="1:10">
      <c r="A318" s="43">
        <v>42912</v>
      </c>
      <c r="B318">
        <v>1998</v>
      </c>
      <c r="C318">
        <v>1730</v>
      </c>
      <c r="D318">
        <v>317</v>
      </c>
      <c r="E318">
        <v>7100</v>
      </c>
      <c r="F318" t="s">
        <v>59</v>
      </c>
      <c r="G318">
        <v>8</v>
      </c>
      <c r="H318" t="s">
        <v>133</v>
      </c>
      <c r="I318">
        <v>21</v>
      </c>
      <c r="J318" s="54">
        <f t="shared" si="4"/>
        <v>8</v>
      </c>
    </row>
    <row r="319" spans="1:10">
      <c r="A319" s="43">
        <v>42900</v>
      </c>
      <c r="B319">
        <v>1999</v>
      </c>
      <c r="C319">
        <v>1730</v>
      </c>
      <c r="D319">
        <v>318</v>
      </c>
      <c r="E319">
        <v>6750</v>
      </c>
      <c r="F319" t="s">
        <v>59</v>
      </c>
      <c r="G319">
        <v>35</v>
      </c>
      <c r="H319" t="s">
        <v>60</v>
      </c>
      <c r="I319">
        <v>20</v>
      </c>
      <c r="J319" s="54">
        <f t="shared" si="4"/>
        <v>1</v>
      </c>
    </row>
    <row r="320" spans="1:10">
      <c r="A320" s="43">
        <v>42874</v>
      </c>
      <c r="B320">
        <v>1996</v>
      </c>
      <c r="C320">
        <v>1730</v>
      </c>
      <c r="D320">
        <v>319</v>
      </c>
      <c r="E320">
        <v>6300</v>
      </c>
      <c r="F320" t="s">
        <v>59</v>
      </c>
      <c r="G320">
        <v>5</v>
      </c>
      <c r="H320" t="s">
        <v>133</v>
      </c>
      <c r="I320">
        <v>23</v>
      </c>
      <c r="J320" s="54">
        <f t="shared" si="4"/>
        <v>5</v>
      </c>
    </row>
    <row r="321" spans="1:10">
      <c r="A321" s="43">
        <v>42846</v>
      </c>
      <c r="B321">
        <v>1999</v>
      </c>
      <c r="C321">
        <v>1730</v>
      </c>
      <c r="D321">
        <v>320</v>
      </c>
      <c r="E321">
        <v>7000</v>
      </c>
      <c r="F321" t="s">
        <v>59</v>
      </c>
      <c r="G321">
        <v>45</v>
      </c>
      <c r="H321" t="s">
        <v>60</v>
      </c>
      <c r="I321">
        <v>20</v>
      </c>
      <c r="J321" s="54">
        <f t="shared" si="4"/>
        <v>2</v>
      </c>
    </row>
    <row r="322" spans="1:10">
      <c r="A322" s="43">
        <v>42774</v>
      </c>
      <c r="B322">
        <v>1999</v>
      </c>
      <c r="C322">
        <v>1730</v>
      </c>
      <c r="D322">
        <v>321</v>
      </c>
      <c r="E322">
        <v>6000</v>
      </c>
      <c r="F322" t="s">
        <v>59</v>
      </c>
      <c r="G322">
        <v>4</v>
      </c>
      <c r="H322" t="s">
        <v>133</v>
      </c>
      <c r="I322">
        <v>20</v>
      </c>
      <c r="J322" s="54">
        <f t="shared" ref="J322:J385" si="5">IF(H322="days",ROUND(G322/30,0),IF(H322="years",G322*12,G322))</f>
        <v>4</v>
      </c>
    </row>
    <row r="323" spans="1:10">
      <c r="A323" s="43">
        <v>42773</v>
      </c>
      <c r="B323">
        <v>1996</v>
      </c>
      <c r="C323">
        <v>1730</v>
      </c>
      <c r="D323">
        <v>322</v>
      </c>
      <c r="E323">
        <v>6000</v>
      </c>
      <c r="F323" t="s">
        <v>59</v>
      </c>
      <c r="G323">
        <v>5</v>
      </c>
      <c r="H323" t="s">
        <v>133</v>
      </c>
      <c r="I323">
        <v>23</v>
      </c>
      <c r="J323" s="54">
        <f t="shared" si="5"/>
        <v>5</v>
      </c>
    </row>
    <row r="324" spans="1:10">
      <c r="A324" s="43">
        <v>42772</v>
      </c>
      <c r="B324">
        <v>1996</v>
      </c>
      <c r="C324">
        <v>1730</v>
      </c>
      <c r="D324">
        <v>323</v>
      </c>
      <c r="E324">
        <v>5500</v>
      </c>
      <c r="F324" t="s">
        <v>59</v>
      </c>
      <c r="G324">
        <v>12</v>
      </c>
      <c r="H324" t="s">
        <v>133</v>
      </c>
      <c r="I324">
        <v>23</v>
      </c>
      <c r="J324" s="54">
        <f t="shared" si="5"/>
        <v>12</v>
      </c>
    </row>
    <row r="325" spans="1:10">
      <c r="A325" s="43">
        <v>42705</v>
      </c>
      <c r="B325">
        <v>1996</v>
      </c>
      <c r="C325">
        <v>1730</v>
      </c>
      <c r="D325">
        <v>324</v>
      </c>
      <c r="E325">
        <v>6000</v>
      </c>
      <c r="F325" t="s">
        <v>59</v>
      </c>
      <c r="G325">
        <v>40</v>
      </c>
      <c r="H325" t="s">
        <v>60</v>
      </c>
      <c r="I325">
        <v>23</v>
      </c>
      <c r="J325" s="54">
        <f t="shared" si="5"/>
        <v>1</v>
      </c>
    </row>
    <row r="326" spans="1:10">
      <c r="A326" s="43">
        <v>42704</v>
      </c>
      <c r="B326">
        <v>1999</v>
      </c>
      <c r="C326">
        <v>1730</v>
      </c>
      <c r="D326">
        <v>325</v>
      </c>
      <c r="E326">
        <v>6000</v>
      </c>
      <c r="F326" t="s">
        <v>59</v>
      </c>
      <c r="G326">
        <v>12</v>
      </c>
      <c r="H326" t="s">
        <v>133</v>
      </c>
      <c r="I326">
        <v>20</v>
      </c>
      <c r="J326" s="54">
        <f t="shared" si="5"/>
        <v>12</v>
      </c>
    </row>
    <row r="327" spans="1:10">
      <c r="A327" s="43">
        <v>42656</v>
      </c>
      <c r="B327">
        <v>1996</v>
      </c>
      <c r="C327">
        <v>1730</v>
      </c>
      <c r="D327">
        <v>326</v>
      </c>
      <c r="E327">
        <v>6000</v>
      </c>
      <c r="F327" t="s">
        <v>59</v>
      </c>
      <c r="G327">
        <v>6</v>
      </c>
      <c r="H327" t="s">
        <v>133</v>
      </c>
      <c r="I327">
        <v>23</v>
      </c>
      <c r="J327" s="54">
        <f t="shared" si="5"/>
        <v>6</v>
      </c>
    </row>
    <row r="328" spans="1:10">
      <c r="A328" s="43">
        <v>42618</v>
      </c>
      <c r="B328">
        <v>1998</v>
      </c>
      <c r="C328">
        <v>1730</v>
      </c>
      <c r="D328">
        <v>327</v>
      </c>
      <c r="E328">
        <v>6500</v>
      </c>
      <c r="F328" t="s">
        <v>59</v>
      </c>
      <c r="G328">
        <v>5</v>
      </c>
      <c r="H328" t="s">
        <v>133</v>
      </c>
      <c r="I328">
        <v>21</v>
      </c>
      <c r="J328" s="54">
        <f t="shared" si="5"/>
        <v>5</v>
      </c>
    </row>
    <row r="329" spans="1:10">
      <c r="A329" s="43">
        <v>42612</v>
      </c>
      <c r="B329">
        <v>1996</v>
      </c>
      <c r="C329">
        <v>1730</v>
      </c>
      <c r="D329">
        <v>328</v>
      </c>
      <c r="E329">
        <v>6000</v>
      </c>
      <c r="F329" t="s">
        <v>59</v>
      </c>
      <c r="G329">
        <v>9</v>
      </c>
      <c r="H329" t="s">
        <v>133</v>
      </c>
      <c r="I329">
        <v>23</v>
      </c>
      <c r="J329" s="54">
        <f t="shared" si="5"/>
        <v>9</v>
      </c>
    </row>
    <row r="330" spans="1:10">
      <c r="A330" s="43">
        <v>42578</v>
      </c>
      <c r="B330">
        <v>1997</v>
      </c>
      <c r="C330">
        <v>1730</v>
      </c>
      <c r="D330">
        <v>329</v>
      </c>
      <c r="E330">
        <v>7000</v>
      </c>
      <c r="F330" t="s">
        <v>59</v>
      </c>
      <c r="G330">
        <v>9</v>
      </c>
      <c r="H330" t="s">
        <v>133</v>
      </c>
      <c r="I330">
        <v>22</v>
      </c>
      <c r="J330" s="54">
        <f t="shared" si="5"/>
        <v>9</v>
      </c>
    </row>
    <row r="331" spans="1:10">
      <c r="A331" s="43">
        <v>42552</v>
      </c>
      <c r="B331">
        <v>1999</v>
      </c>
      <c r="C331">
        <v>1730</v>
      </c>
      <c r="D331">
        <v>330</v>
      </c>
      <c r="E331">
        <v>6000</v>
      </c>
      <c r="F331" t="s">
        <v>59</v>
      </c>
      <c r="G331">
        <v>9</v>
      </c>
      <c r="H331" t="s">
        <v>133</v>
      </c>
      <c r="I331">
        <v>20</v>
      </c>
      <c r="J331" s="54">
        <f t="shared" si="5"/>
        <v>9</v>
      </c>
    </row>
    <row r="332" spans="1:10">
      <c r="A332" s="43">
        <v>42515</v>
      </c>
      <c r="B332">
        <v>1998</v>
      </c>
      <c r="C332">
        <v>1730</v>
      </c>
      <c r="D332">
        <v>331</v>
      </c>
      <c r="E332">
        <v>7800</v>
      </c>
      <c r="F332" t="s">
        <v>59</v>
      </c>
      <c r="G332">
        <v>6</v>
      </c>
      <c r="H332" t="s">
        <v>133</v>
      </c>
      <c r="I332">
        <v>21</v>
      </c>
      <c r="J332" s="54">
        <f t="shared" si="5"/>
        <v>6</v>
      </c>
    </row>
    <row r="333" spans="1:10">
      <c r="A333" s="43">
        <v>42478</v>
      </c>
      <c r="B333">
        <v>1999</v>
      </c>
      <c r="C333">
        <v>1730</v>
      </c>
      <c r="D333">
        <v>332</v>
      </c>
      <c r="E333">
        <v>5750</v>
      </c>
      <c r="F333" t="s">
        <v>59</v>
      </c>
      <c r="G333">
        <v>7</v>
      </c>
      <c r="H333" t="s">
        <v>133</v>
      </c>
      <c r="I333">
        <v>20</v>
      </c>
      <c r="J333" s="54">
        <f t="shared" si="5"/>
        <v>7</v>
      </c>
    </row>
    <row r="334" spans="1:10">
      <c r="A334" s="43">
        <v>42419</v>
      </c>
      <c r="B334">
        <v>1999</v>
      </c>
      <c r="C334">
        <v>1730</v>
      </c>
      <c r="D334">
        <v>333</v>
      </c>
      <c r="E334">
        <v>6500</v>
      </c>
      <c r="F334" t="s">
        <v>59</v>
      </c>
      <c r="G334">
        <v>8</v>
      </c>
      <c r="H334" t="s">
        <v>133</v>
      </c>
      <c r="I334">
        <v>20</v>
      </c>
      <c r="J334" s="54">
        <f t="shared" si="5"/>
        <v>8</v>
      </c>
    </row>
    <row r="335" spans="1:10">
      <c r="A335" s="43">
        <v>42396</v>
      </c>
      <c r="B335">
        <v>1997</v>
      </c>
      <c r="C335">
        <v>1730</v>
      </c>
      <c r="D335">
        <v>334</v>
      </c>
      <c r="E335">
        <v>6500</v>
      </c>
      <c r="F335" t="s">
        <v>59</v>
      </c>
      <c r="G335">
        <v>6</v>
      </c>
      <c r="H335" t="s">
        <v>133</v>
      </c>
      <c r="I335">
        <v>22</v>
      </c>
      <c r="J335" s="54">
        <f t="shared" si="5"/>
        <v>6</v>
      </c>
    </row>
    <row r="336" spans="1:10">
      <c r="A336" s="43">
        <v>43508</v>
      </c>
      <c r="B336">
        <v>1999</v>
      </c>
      <c r="C336">
        <v>1732</v>
      </c>
      <c r="D336">
        <v>335</v>
      </c>
      <c r="E336">
        <v>6700</v>
      </c>
      <c r="F336" t="s">
        <v>59</v>
      </c>
      <c r="G336">
        <v>12</v>
      </c>
      <c r="H336" t="s">
        <v>133</v>
      </c>
      <c r="I336">
        <v>20</v>
      </c>
      <c r="J336" s="54">
        <f t="shared" si="5"/>
        <v>12</v>
      </c>
    </row>
    <row r="337" spans="1:10">
      <c r="A337" s="43">
        <v>43216</v>
      </c>
      <c r="B337">
        <v>1999</v>
      </c>
      <c r="C337">
        <v>1732</v>
      </c>
      <c r="D337">
        <v>336</v>
      </c>
      <c r="E337">
        <v>10500</v>
      </c>
      <c r="F337" t="s">
        <v>59</v>
      </c>
      <c r="G337">
        <v>6</v>
      </c>
      <c r="H337" t="s">
        <v>133</v>
      </c>
      <c r="I337">
        <v>20</v>
      </c>
      <c r="J337" s="54">
        <f t="shared" si="5"/>
        <v>6</v>
      </c>
    </row>
    <row r="338" spans="1:10">
      <c r="A338" s="43">
        <v>42948</v>
      </c>
      <c r="B338">
        <v>1999</v>
      </c>
      <c r="C338">
        <v>1732</v>
      </c>
      <c r="D338">
        <v>337</v>
      </c>
      <c r="E338">
        <v>7000</v>
      </c>
      <c r="F338" t="s">
        <v>59</v>
      </c>
      <c r="G338">
        <v>8</v>
      </c>
      <c r="H338" t="s">
        <v>133</v>
      </c>
      <c r="I338">
        <v>20</v>
      </c>
      <c r="J338" s="54">
        <f t="shared" si="5"/>
        <v>8</v>
      </c>
    </row>
    <row r="339" spans="1:10">
      <c r="A339" s="43">
        <v>42800</v>
      </c>
      <c r="B339">
        <v>1999</v>
      </c>
      <c r="C339">
        <v>1732</v>
      </c>
      <c r="D339">
        <v>338</v>
      </c>
      <c r="E339">
        <v>6500</v>
      </c>
      <c r="F339" t="s">
        <v>59</v>
      </c>
      <c r="G339">
        <v>6</v>
      </c>
      <c r="H339" t="s">
        <v>133</v>
      </c>
      <c r="I339">
        <v>20</v>
      </c>
      <c r="J339" s="54">
        <f t="shared" si="5"/>
        <v>6</v>
      </c>
    </row>
    <row r="340" spans="1:10">
      <c r="A340" s="43">
        <v>42388</v>
      </c>
      <c r="B340">
        <v>1992</v>
      </c>
      <c r="C340">
        <v>1742</v>
      </c>
      <c r="D340">
        <v>339</v>
      </c>
      <c r="E340">
        <v>6500</v>
      </c>
      <c r="F340" t="s">
        <v>59</v>
      </c>
      <c r="G340">
        <v>6</v>
      </c>
      <c r="H340" t="s">
        <v>133</v>
      </c>
      <c r="I340">
        <v>27</v>
      </c>
      <c r="J340" s="54">
        <f t="shared" si="5"/>
        <v>6</v>
      </c>
    </row>
    <row r="341" spans="1:10">
      <c r="A341" s="43">
        <v>43266</v>
      </c>
      <c r="B341">
        <v>1998</v>
      </c>
      <c r="C341">
        <v>1748</v>
      </c>
      <c r="D341">
        <v>340</v>
      </c>
      <c r="E341">
        <v>10150</v>
      </c>
      <c r="F341" t="s">
        <v>59</v>
      </c>
      <c r="G341">
        <v>6</v>
      </c>
      <c r="H341" t="s">
        <v>133</v>
      </c>
      <c r="I341">
        <v>21</v>
      </c>
      <c r="J341" s="54">
        <f t="shared" si="5"/>
        <v>6</v>
      </c>
    </row>
    <row r="342" spans="1:10">
      <c r="A342" s="43">
        <v>43185</v>
      </c>
      <c r="B342">
        <v>1998</v>
      </c>
      <c r="C342">
        <v>1748</v>
      </c>
      <c r="D342">
        <v>341</v>
      </c>
      <c r="E342">
        <v>9450</v>
      </c>
      <c r="F342" t="s">
        <v>59</v>
      </c>
      <c r="G342">
        <v>2</v>
      </c>
      <c r="H342" t="s">
        <v>133</v>
      </c>
      <c r="I342">
        <v>21</v>
      </c>
      <c r="J342" s="54">
        <f t="shared" si="5"/>
        <v>2</v>
      </c>
    </row>
    <row r="343" spans="1:10">
      <c r="A343" s="43">
        <v>43070</v>
      </c>
      <c r="B343">
        <v>1998</v>
      </c>
      <c r="C343">
        <v>1748</v>
      </c>
      <c r="D343">
        <v>342</v>
      </c>
      <c r="E343">
        <v>7500</v>
      </c>
      <c r="F343" t="s">
        <v>59</v>
      </c>
      <c r="G343">
        <v>12</v>
      </c>
      <c r="H343" t="s">
        <v>133</v>
      </c>
      <c r="I343">
        <v>21</v>
      </c>
      <c r="J343" s="54">
        <f t="shared" si="5"/>
        <v>12</v>
      </c>
    </row>
    <row r="344" spans="1:10">
      <c r="A344" s="43">
        <v>42508</v>
      </c>
      <c r="B344">
        <v>1998</v>
      </c>
      <c r="C344">
        <v>1748</v>
      </c>
      <c r="D344">
        <v>343</v>
      </c>
      <c r="E344">
        <v>6000</v>
      </c>
      <c r="F344" t="s">
        <v>59</v>
      </c>
      <c r="G344">
        <v>90</v>
      </c>
      <c r="H344" t="s">
        <v>60</v>
      </c>
      <c r="I344">
        <v>21</v>
      </c>
      <c r="J344" s="54">
        <f t="shared" si="5"/>
        <v>3</v>
      </c>
    </row>
    <row r="345" spans="1:10">
      <c r="A345" s="43">
        <v>43290</v>
      </c>
      <c r="B345">
        <v>1997</v>
      </c>
      <c r="C345">
        <v>1900</v>
      </c>
      <c r="D345">
        <v>344</v>
      </c>
      <c r="E345">
        <v>8800</v>
      </c>
      <c r="F345" t="s">
        <v>59</v>
      </c>
      <c r="G345">
        <v>3</v>
      </c>
      <c r="H345" t="s">
        <v>133</v>
      </c>
      <c r="I345">
        <v>22</v>
      </c>
      <c r="J345" s="54">
        <f t="shared" si="5"/>
        <v>3</v>
      </c>
    </row>
    <row r="346" spans="1:10">
      <c r="A346" s="43">
        <v>43508</v>
      </c>
      <c r="B346">
        <v>1998</v>
      </c>
      <c r="C346">
        <v>2008</v>
      </c>
      <c r="D346">
        <v>345</v>
      </c>
      <c r="E346">
        <v>7500</v>
      </c>
      <c r="F346" t="s">
        <v>59</v>
      </c>
      <c r="G346">
        <v>7</v>
      </c>
      <c r="H346" t="s">
        <v>133</v>
      </c>
      <c r="I346">
        <v>21</v>
      </c>
      <c r="J346" s="54">
        <f t="shared" si="5"/>
        <v>7</v>
      </c>
    </row>
    <row r="347" spans="1:10">
      <c r="A347" s="43">
        <v>42920</v>
      </c>
      <c r="B347">
        <v>1998</v>
      </c>
      <c r="C347">
        <v>2008</v>
      </c>
      <c r="D347">
        <v>346</v>
      </c>
      <c r="E347">
        <v>7750</v>
      </c>
      <c r="F347" t="s">
        <v>59</v>
      </c>
      <c r="G347">
        <v>10</v>
      </c>
      <c r="H347" t="s">
        <v>133</v>
      </c>
      <c r="I347">
        <v>21</v>
      </c>
      <c r="J347" s="54">
        <f t="shared" si="5"/>
        <v>10</v>
      </c>
    </row>
    <row r="348" spans="1:10">
      <c r="A348" s="43">
        <v>42895</v>
      </c>
      <c r="B348">
        <v>1998</v>
      </c>
      <c r="C348">
        <v>2008</v>
      </c>
      <c r="D348">
        <v>347</v>
      </c>
      <c r="E348">
        <v>8000</v>
      </c>
      <c r="F348" t="s">
        <v>59</v>
      </c>
      <c r="G348">
        <v>30</v>
      </c>
      <c r="H348" t="s">
        <v>60</v>
      </c>
      <c r="I348">
        <v>21</v>
      </c>
      <c r="J348" s="54">
        <f t="shared" si="5"/>
        <v>1</v>
      </c>
    </row>
    <row r="349" spans="1:10">
      <c r="A349" s="43">
        <v>42739</v>
      </c>
      <c r="B349">
        <v>1998</v>
      </c>
      <c r="C349">
        <v>2008</v>
      </c>
      <c r="D349">
        <v>348</v>
      </c>
      <c r="E349">
        <v>6000</v>
      </c>
      <c r="F349" t="s">
        <v>59</v>
      </c>
      <c r="G349">
        <v>6</v>
      </c>
      <c r="H349" t="s">
        <v>133</v>
      </c>
      <c r="I349">
        <v>21</v>
      </c>
      <c r="J349" s="54">
        <f t="shared" si="5"/>
        <v>6</v>
      </c>
    </row>
    <row r="350" spans="1:10">
      <c r="A350" s="43">
        <v>42491</v>
      </c>
      <c r="B350">
        <v>1998</v>
      </c>
      <c r="C350">
        <v>2008</v>
      </c>
      <c r="D350">
        <v>349</v>
      </c>
      <c r="E350">
        <v>7500</v>
      </c>
      <c r="F350" t="s">
        <v>59</v>
      </c>
      <c r="G350">
        <v>13</v>
      </c>
      <c r="H350" t="s">
        <v>133</v>
      </c>
      <c r="I350">
        <v>21</v>
      </c>
      <c r="J350" s="54">
        <f t="shared" si="5"/>
        <v>13</v>
      </c>
    </row>
    <row r="351" spans="1:10">
      <c r="A351" s="43">
        <v>42388</v>
      </c>
      <c r="B351">
        <v>1998</v>
      </c>
      <c r="C351">
        <v>2008</v>
      </c>
      <c r="D351">
        <v>350</v>
      </c>
      <c r="E351">
        <v>7000</v>
      </c>
      <c r="F351" t="s">
        <v>59</v>
      </c>
      <c r="G351">
        <v>12</v>
      </c>
      <c r="H351" t="s">
        <v>133</v>
      </c>
      <c r="I351">
        <v>21</v>
      </c>
      <c r="J351" s="54">
        <f t="shared" si="5"/>
        <v>12</v>
      </c>
    </row>
    <row r="352" spans="1:10">
      <c r="A352" s="43">
        <v>42487</v>
      </c>
      <c r="B352">
        <v>1991</v>
      </c>
      <c r="C352">
        <v>2023</v>
      </c>
      <c r="D352">
        <v>351</v>
      </c>
      <c r="E352">
        <v>6800</v>
      </c>
      <c r="F352" t="s">
        <v>59</v>
      </c>
      <c r="G352">
        <v>13</v>
      </c>
      <c r="H352" t="s">
        <v>133</v>
      </c>
      <c r="I352">
        <v>28</v>
      </c>
      <c r="J352" s="54">
        <f t="shared" si="5"/>
        <v>13</v>
      </c>
    </row>
    <row r="353" spans="1:10">
      <c r="A353" s="43">
        <v>42487</v>
      </c>
      <c r="B353">
        <v>1991</v>
      </c>
      <c r="C353">
        <v>2023</v>
      </c>
      <c r="D353">
        <v>352</v>
      </c>
      <c r="E353">
        <v>6800</v>
      </c>
      <c r="F353" t="s">
        <v>59</v>
      </c>
      <c r="G353">
        <v>13</v>
      </c>
      <c r="H353" t="s">
        <v>133</v>
      </c>
      <c r="I353">
        <v>28</v>
      </c>
      <c r="J353" s="54">
        <f t="shared" si="5"/>
        <v>13</v>
      </c>
    </row>
    <row r="354" spans="1:10">
      <c r="A354" s="43">
        <v>42487</v>
      </c>
      <c r="B354">
        <v>1992</v>
      </c>
      <c r="C354">
        <v>2024</v>
      </c>
      <c r="D354">
        <v>353</v>
      </c>
      <c r="E354">
        <v>6800</v>
      </c>
      <c r="F354" t="s">
        <v>59</v>
      </c>
      <c r="G354">
        <v>13</v>
      </c>
      <c r="H354" t="s">
        <v>133</v>
      </c>
      <c r="I354">
        <v>27</v>
      </c>
      <c r="J354" s="54">
        <f t="shared" si="5"/>
        <v>13</v>
      </c>
    </row>
    <row r="355" spans="1:10">
      <c r="A355" s="43">
        <v>42389</v>
      </c>
      <c r="B355">
        <v>1997</v>
      </c>
      <c r="C355">
        <v>2054</v>
      </c>
      <c r="D355">
        <v>354</v>
      </c>
      <c r="E355">
        <v>6000</v>
      </c>
      <c r="F355" t="s">
        <v>59</v>
      </c>
      <c r="G355">
        <v>2</v>
      </c>
      <c r="H355" t="s">
        <v>133</v>
      </c>
      <c r="I355">
        <v>22</v>
      </c>
      <c r="J355" s="54">
        <f t="shared" si="5"/>
        <v>2</v>
      </c>
    </row>
    <row r="356" spans="1:10">
      <c r="A356" s="43">
        <v>42411</v>
      </c>
      <c r="B356">
        <v>1997</v>
      </c>
      <c r="C356">
        <v>2072</v>
      </c>
      <c r="D356">
        <v>355</v>
      </c>
      <c r="E356">
        <v>6500</v>
      </c>
      <c r="F356" t="s">
        <v>59</v>
      </c>
      <c r="G356">
        <v>12</v>
      </c>
      <c r="H356" t="s">
        <v>133</v>
      </c>
      <c r="I356">
        <v>22</v>
      </c>
      <c r="J356" s="54">
        <f t="shared" si="5"/>
        <v>12</v>
      </c>
    </row>
    <row r="357" spans="1:10">
      <c r="A357" s="43">
        <v>43291</v>
      </c>
      <c r="B357">
        <v>1996</v>
      </c>
      <c r="C357">
        <v>2078</v>
      </c>
      <c r="D357">
        <v>356</v>
      </c>
      <c r="E357">
        <v>9750</v>
      </c>
      <c r="F357" t="s">
        <v>59</v>
      </c>
      <c r="G357">
        <v>6</v>
      </c>
      <c r="H357" t="s">
        <v>133</v>
      </c>
      <c r="I357">
        <v>23</v>
      </c>
      <c r="J357" s="54">
        <f t="shared" si="5"/>
        <v>6</v>
      </c>
    </row>
    <row r="358" spans="1:10">
      <c r="A358" s="43">
        <v>43166</v>
      </c>
      <c r="B358">
        <v>1996</v>
      </c>
      <c r="C358">
        <v>2078</v>
      </c>
      <c r="D358">
        <v>357</v>
      </c>
      <c r="E358">
        <v>8900</v>
      </c>
      <c r="F358" t="s">
        <v>59</v>
      </c>
      <c r="G358">
        <v>4</v>
      </c>
      <c r="H358" t="s">
        <v>133</v>
      </c>
      <c r="I358">
        <v>23</v>
      </c>
      <c r="J358" s="54">
        <f t="shared" si="5"/>
        <v>4</v>
      </c>
    </row>
    <row r="359" spans="1:10">
      <c r="A359" s="43">
        <v>43053</v>
      </c>
      <c r="B359">
        <v>1996</v>
      </c>
      <c r="C359">
        <v>2078</v>
      </c>
      <c r="D359">
        <v>358</v>
      </c>
      <c r="E359">
        <v>8000</v>
      </c>
      <c r="F359" t="s">
        <v>59</v>
      </c>
      <c r="G359">
        <v>7</v>
      </c>
      <c r="H359" t="s">
        <v>133</v>
      </c>
      <c r="I359">
        <v>23</v>
      </c>
      <c r="J359" s="54">
        <f t="shared" si="5"/>
        <v>7</v>
      </c>
    </row>
    <row r="360" spans="1:10">
      <c r="A360" s="43">
        <v>42941</v>
      </c>
      <c r="B360">
        <v>1995</v>
      </c>
      <c r="C360">
        <v>2078</v>
      </c>
      <c r="D360">
        <v>359</v>
      </c>
      <c r="E360">
        <v>7300</v>
      </c>
      <c r="F360" t="s">
        <v>59</v>
      </c>
      <c r="G360">
        <v>4</v>
      </c>
      <c r="H360" t="s">
        <v>133</v>
      </c>
      <c r="I360">
        <v>24</v>
      </c>
      <c r="J360" s="54">
        <f t="shared" si="5"/>
        <v>4</v>
      </c>
    </row>
    <row r="361" spans="1:10">
      <c r="A361" s="43">
        <v>42786</v>
      </c>
      <c r="B361">
        <v>1996</v>
      </c>
      <c r="C361">
        <v>2078</v>
      </c>
      <c r="D361">
        <v>360</v>
      </c>
      <c r="E361">
        <v>5500</v>
      </c>
      <c r="F361" t="s">
        <v>59</v>
      </c>
      <c r="G361">
        <v>9</v>
      </c>
      <c r="H361" t="s">
        <v>133</v>
      </c>
      <c r="I361">
        <v>23</v>
      </c>
      <c r="J361" s="54">
        <f t="shared" si="5"/>
        <v>9</v>
      </c>
    </row>
    <row r="362" spans="1:10">
      <c r="A362" s="43">
        <v>42649</v>
      </c>
      <c r="B362">
        <v>1995</v>
      </c>
      <c r="C362">
        <v>2078</v>
      </c>
      <c r="D362">
        <v>361</v>
      </c>
      <c r="E362">
        <v>5950</v>
      </c>
      <c r="F362" t="s">
        <v>59</v>
      </c>
      <c r="G362">
        <v>12</v>
      </c>
      <c r="H362" t="s">
        <v>133</v>
      </c>
      <c r="I362">
        <v>24</v>
      </c>
      <c r="J362" s="54">
        <f t="shared" si="5"/>
        <v>12</v>
      </c>
    </row>
    <row r="363" spans="1:10">
      <c r="A363" s="43">
        <v>42564</v>
      </c>
      <c r="B363">
        <v>1995</v>
      </c>
      <c r="C363">
        <v>2078</v>
      </c>
      <c r="D363">
        <v>362</v>
      </c>
      <c r="E363">
        <v>6175</v>
      </c>
      <c r="F363" t="s">
        <v>59</v>
      </c>
      <c r="G363">
        <v>4</v>
      </c>
      <c r="H363" t="s">
        <v>133</v>
      </c>
      <c r="I363">
        <v>24</v>
      </c>
      <c r="J363" s="54">
        <f t="shared" si="5"/>
        <v>4</v>
      </c>
    </row>
    <row r="364" spans="1:10">
      <c r="A364" s="43">
        <v>42480</v>
      </c>
      <c r="B364">
        <v>1996</v>
      </c>
      <c r="C364">
        <v>2078</v>
      </c>
      <c r="D364">
        <v>363</v>
      </c>
      <c r="E364">
        <v>6000</v>
      </c>
      <c r="F364" t="s">
        <v>59</v>
      </c>
      <c r="G364">
        <v>6</v>
      </c>
      <c r="H364" t="s">
        <v>133</v>
      </c>
      <c r="I364">
        <v>23</v>
      </c>
      <c r="J364" s="54">
        <f t="shared" si="5"/>
        <v>6</v>
      </c>
    </row>
    <row r="365" spans="1:10">
      <c r="A365" s="43">
        <v>42430</v>
      </c>
      <c r="B365">
        <v>1996</v>
      </c>
      <c r="C365">
        <v>2078</v>
      </c>
      <c r="D365">
        <v>364</v>
      </c>
      <c r="E365">
        <v>5850</v>
      </c>
      <c r="F365" t="s">
        <v>59</v>
      </c>
      <c r="G365">
        <v>8</v>
      </c>
      <c r="H365" t="s">
        <v>133</v>
      </c>
      <c r="I365">
        <v>23</v>
      </c>
      <c r="J365" s="54">
        <f t="shared" si="5"/>
        <v>8</v>
      </c>
    </row>
    <row r="366" spans="1:10">
      <c r="A366" s="43">
        <v>42401</v>
      </c>
      <c r="B366">
        <v>1991</v>
      </c>
      <c r="C366">
        <v>2098</v>
      </c>
      <c r="D366">
        <v>365</v>
      </c>
      <c r="E366">
        <v>6300</v>
      </c>
      <c r="F366" t="s">
        <v>59</v>
      </c>
      <c r="G366">
        <v>12</v>
      </c>
      <c r="H366" t="s">
        <v>133</v>
      </c>
      <c r="I366">
        <v>28</v>
      </c>
      <c r="J366" s="54">
        <f t="shared" si="5"/>
        <v>12</v>
      </c>
    </row>
    <row r="367" spans="1:10">
      <c r="A367" s="43">
        <v>42439</v>
      </c>
      <c r="B367">
        <v>1997</v>
      </c>
      <c r="C367">
        <v>2113</v>
      </c>
      <c r="D367">
        <v>366</v>
      </c>
      <c r="E367">
        <v>7100</v>
      </c>
      <c r="F367" t="s">
        <v>59</v>
      </c>
      <c r="G367">
        <v>11</v>
      </c>
      <c r="H367" t="s">
        <v>133</v>
      </c>
      <c r="I367">
        <v>22</v>
      </c>
      <c r="J367" s="54">
        <f t="shared" si="5"/>
        <v>11</v>
      </c>
    </row>
    <row r="368" spans="1:10">
      <c r="A368" s="43">
        <v>43542</v>
      </c>
      <c r="B368">
        <v>1999</v>
      </c>
      <c r="C368">
        <v>2169</v>
      </c>
      <c r="D368">
        <v>367</v>
      </c>
      <c r="E368">
        <v>7000</v>
      </c>
      <c r="F368" t="s">
        <v>59</v>
      </c>
      <c r="G368">
        <v>12</v>
      </c>
      <c r="H368" t="s">
        <v>133</v>
      </c>
      <c r="I368">
        <v>20</v>
      </c>
      <c r="J368" s="54">
        <f t="shared" si="5"/>
        <v>12</v>
      </c>
    </row>
    <row r="369" spans="1:10">
      <c r="A369" s="43">
        <v>43266</v>
      </c>
      <c r="B369">
        <v>1999</v>
      </c>
      <c r="C369">
        <v>2169</v>
      </c>
      <c r="D369">
        <v>368</v>
      </c>
      <c r="E369">
        <v>12500</v>
      </c>
      <c r="F369" t="s">
        <v>59</v>
      </c>
      <c r="G369">
        <v>6</v>
      </c>
      <c r="H369" t="s">
        <v>133</v>
      </c>
      <c r="I369">
        <v>20</v>
      </c>
      <c r="J369" s="54">
        <f t="shared" si="5"/>
        <v>6</v>
      </c>
    </row>
    <row r="370" spans="1:10">
      <c r="A370" s="43">
        <v>43255</v>
      </c>
      <c r="B370">
        <v>1999</v>
      </c>
      <c r="C370">
        <v>2169</v>
      </c>
      <c r="D370">
        <v>369</v>
      </c>
      <c r="E370">
        <v>12500</v>
      </c>
      <c r="F370" t="s">
        <v>59</v>
      </c>
      <c r="G370">
        <v>6</v>
      </c>
      <c r="H370" t="s">
        <v>133</v>
      </c>
      <c r="I370">
        <v>20</v>
      </c>
      <c r="J370" s="54">
        <f t="shared" si="5"/>
        <v>6</v>
      </c>
    </row>
    <row r="371" spans="1:10">
      <c r="A371" s="43">
        <v>43102</v>
      </c>
      <c r="B371">
        <v>1999</v>
      </c>
      <c r="C371">
        <v>2169</v>
      </c>
      <c r="D371">
        <v>370</v>
      </c>
      <c r="E371">
        <v>10250</v>
      </c>
      <c r="F371" t="s">
        <v>59</v>
      </c>
      <c r="G371">
        <v>6</v>
      </c>
      <c r="H371" t="s">
        <v>133</v>
      </c>
      <c r="I371">
        <v>20</v>
      </c>
      <c r="J371" s="54">
        <f t="shared" si="5"/>
        <v>6</v>
      </c>
    </row>
    <row r="372" spans="1:10">
      <c r="A372" s="43">
        <v>43083</v>
      </c>
      <c r="B372">
        <v>1999</v>
      </c>
      <c r="C372">
        <v>2169</v>
      </c>
      <c r="D372">
        <v>371</v>
      </c>
      <c r="E372">
        <v>10250</v>
      </c>
      <c r="F372" t="s">
        <v>59</v>
      </c>
      <c r="G372">
        <v>5</v>
      </c>
      <c r="H372" t="s">
        <v>133</v>
      </c>
      <c r="I372">
        <v>20</v>
      </c>
      <c r="J372" s="54">
        <f t="shared" si="5"/>
        <v>5</v>
      </c>
    </row>
    <row r="373" spans="1:10">
      <c r="A373" s="43">
        <v>42914</v>
      </c>
      <c r="B373">
        <v>1999</v>
      </c>
      <c r="C373">
        <v>2169</v>
      </c>
      <c r="D373">
        <v>372</v>
      </c>
      <c r="E373">
        <v>8500</v>
      </c>
      <c r="F373" t="s">
        <v>59</v>
      </c>
      <c r="G373">
        <v>5</v>
      </c>
      <c r="H373" t="s">
        <v>133</v>
      </c>
      <c r="I373">
        <v>20</v>
      </c>
      <c r="J373" s="54">
        <f t="shared" si="5"/>
        <v>5</v>
      </c>
    </row>
    <row r="374" spans="1:10">
      <c r="A374" s="43">
        <v>42795</v>
      </c>
      <c r="B374">
        <v>1999</v>
      </c>
      <c r="C374">
        <v>2169</v>
      </c>
      <c r="D374">
        <v>373</v>
      </c>
      <c r="E374">
        <v>6400</v>
      </c>
      <c r="F374" t="s">
        <v>59</v>
      </c>
      <c r="G374">
        <v>4</v>
      </c>
      <c r="H374" t="s">
        <v>133</v>
      </c>
      <c r="I374">
        <v>20</v>
      </c>
      <c r="J374" s="54">
        <f t="shared" si="5"/>
        <v>4</v>
      </c>
    </row>
    <row r="375" spans="1:10">
      <c r="A375" s="43">
        <v>42758</v>
      </c>
      <c r="B375">
        <v>1998</v>
      </c>
      <c r="C375">
        <v>2169</v>
      </c>
      <c r="D375">
        <v>374</v>
      </c>
      <c r="E375">
        <v>6500</v>
      </c>
      <c r="F375" t="s">
        <v>59</v>
      </c>
      <c r="G375">
        <v>5</v>
      </c>
      <c r="H375" t="s">
        <v>133</v>
      </c>
      <c r="I375">
        <v>21</v>
      </c>
      <c r="J375" s="54">
        <f t="shared" si="5"/>
        <v>5</v>
      </c>
    </row>
    <row r="376" spans="1:10">
      <c r="A376" s="43">
        <v>42629</v>
      </c>
      <c r="B376">
        <v>1999</v>
      </c>
      <c r="C376">
        <v>2169</v>
      </c>
      <c r="D376">
        <v>375</v>
      </c>
      <c r="E376">
        <v>5850</v>
      </c>
      <c r="F376" t="s">
        <v>59</v>
      </c>
      <c r="G376">
        <v>5</v>
      </c>
      <c r="H376" t="s">
        <v>133</v>
      </c>
      <c r="I376">
        <v>20</v>
      </c>
      <c r="J376" s="54">
        <f t="shared" si="5"/>
        <v>5</v>
      </c>
    </row>
    <row r="377" spans="1:10">
      <c r="A377" s="43">
        <v>42614</v>
      </c>
      <c r="B377">
        <v>1999</v>
      </c>
      <c r="C377">
        <v>2169</v>
      </c>
      <c r="D377">
        <v>376</v>
      </c>
      <c r="E377">
        <v>5850</v>
      </c>
      <c r="F377" t="s">
        <v>59</v>
      </c>
      <c r="G377">
        <v>6</v>
      </c>
      <c r="H377" t="s">
        <v>133</v>
      </c>
      <c r="I377">
        <v>20</v>
      </c>
      <c r="J377" s="54">
        <f t="shared" si="5"/>
        <v>6</v>
      </c>
    </row>
    <row r="378" spans="1:10">
      <c r="A378" s="43">
        <v>42479</v>
      </c>
      <c r="B378">
        <v>1999</v>
      </c>
      <c r="C378">
        <v>2169</v>
      </c>
      <c r="D378">
        <v>377</v>
      </c>
      <c r="E378">
        <v>6000</v>
      </c>
      <c r="F378" t="s">
        <v>59</v>
      </c>
      <c r="G378">
        <v>5</v>
      </c>
      <c r="H378" t="s">
        <v>133</v>
      </c>
      <c r="I378">
        <v>20</v>
      </c>
      <c r="J378" s="54">
        <f t="shared" si="5"/>
        <v>5</v>
      </c>
    </row>
    <row r="379" spans="1:10">
      <c r="A379" s="43">
        <v>42401</v>
      </c>
      <c r="B379">
        <v>1998</v>
      </c>
      <c r="C379">
        <v>2169</v>
      </c>
      <c r="D379">
        <v>378</v>
      </c>
      <c r="E379">
        <v>6000</v>
      </c>
      <c r="F379" t="s">
        <v>59</v>
      </c>
      <c r="G379">
        <v>12</v>
      </c>
      <c r="H379" t="s">
        <v>133</v>
      </c>
      <c r="I379">
        <v>21</v>
      </c>
      <c r="J379" s="54">
        <f t="shared" si="5"/>
        <v>12</v>
      </c>
    </row>
    <row r="380" spans="1:10">
      <c r="A380" s="43">
        <v>42401</v>
      </c>
      <c r="B380">
        <v>1998</v>
      </c>
      <c r="C380">
        <v>2169</v>
      </c>
      <c r="D380">
        <v>379</v>
      </c>
      <c r="E380">
        <v>6300</v>
      </c>
      <c r="F380" t="s">
        <v>59</v>
      </c>
      <c r="G380">
        <v>12</v>
      </c>
      <c r="H380" t="s">
        <v>133</v>
      </c>
      <c r="I380">
        <v>21</v>
      </c>
      <c r="J380" s="54">
        <f t="shared" si="5"/>
        <v>12</v>
      </c>
    </row>
    <row r="381" spans="1:10">
      <c r="A381" s="43">
        <v>42394</v>
      </c>
      <c r="B381">
        <v>1999</v>
      </c>
      <c r="C381">
        <v>2169</v>
      </c>
      <c r="D381">
        <v>380</v>
      </c>
      <c r="E381">
        <v>5925</v>
      </c>
      <c r="F381" t="s">
        <v>59</v>
      </c>
      <c r="G381">
        <v>6</v>
      </c>
      <c r="H381" t="s">
        <v>133</v>
      </c>
      <c r="I381">
        <v>20</v>
      </c>
      <c r="J381" s="54">
        <f t="shared" si="5"/>
        <v>6</v>
      </c>
    </row>
    <row r="382" spans="1:10">
      <c r="A382" s="43">
        <v>42465</v>
      </c>
      <c r="B382">
        <v>1998</v>
      </c>
      <c r="C382">
        <v>2171</v>
      </c>
      <c r="D382">
        <v>381</v>
      </c>
      <c r="E382">
        <v>6500</v>
      </c>
      <c r="F382" t="s">
        <v>59</v>
      </c>
      <c r="G382">
        <v>13</v>
      </c>
      <c r="H382" t="s">
        <v>133</v>
      </c>
      <c r="I382">
        <v>21</v>
      </c>
      <c r="J382" s="54">
        <f t="shared" si="5"/>
        <v>13</v>
      </c>
    </row>
    <row r="383" spans="1:10">
      <c r="A383" s="43">
        <v>43637</v>
      </c>
      <c r="B383">
        <v>1998</v>
      </c>
      <c r="C383">
        <v>2200</v>
      </c>
      <c r="D383">
        <v>382</v>
      </c>
      <c r="E383">
        <v>8475</v>
      </c>
      <c r="F383" t="s">
        <v>59</v>
      </c>
      <c r="G383">
        <v>4</v>
      </c>
      <c r="H383" t="s">
        <v>133</v>
      </c>
      <c r="I383">
        <v>21</v>
      </c>
      <c r="J383" s="54">
        <f t="shared" si="5"/>
        <v>4</v>
      </c>
    </row>
    <row r="384" spans="1:10">
      <c r="A384" s="43">
        <v>43570</v>
      </c>
      <c r="B384">
        <v>1997</v>
      </c>
      <c r="C384">
        <v>2200</v>
      </c>
      <c r="D384">
        <v>383</v>
      </c>
      <c r="E384">
        <v>7500</v>
      </c>
      <c r="F384" t="s">
        <v>59</v>
      </c>
      <c r="G384">
        <v>7</v>
      </c>
      <c r="H384" t="s">
        <v>133</v>
      </c>
      <c r="I384">
        <v>22</v>
      </c>
      <c r="J384" s="54">
        <f t="shared" si="5"/>
        <v>7</v>
      </c>
    </row>
    <row r="385" spans="1:10">
      <c r="A385" s="43">
        <v>43525</v>
      </c>
      <c r="B385">
        <v>1997</v>
      </c>
      <c r="C385">
        <v>2200</v>
      </c>
      <c r="D385">
        <v>384</v>
      </c>
      <c r="E385">
        <v>7750</v>
      </c>
      <c r="F385" t="s">
        <v>59</v>
      </c>
      <c r="G385">
        <v>7</v>
      </c>
      <c r="H385" t="s">
        <v>133</v>
      </c>
      <c r="I385">
        <v>22</v>
      </c>
      <c r="J385" s="54">
        <f t="shared" si="5"/>
        <v>7</v>
      </c>
    </row>
    <row r="386" spans="1:10">
      <c r="A386" s="43">
        <v>43523</v>
      </c>
      <c r="B386">
        <v>1997</v>
      </c>
      <c r="C386">
        <v>2200</v>
      </c>
      <c r="D386">
        <v>385</v>
      </c>
      <c r="E386">
        <v>7650</v>
      </c>
      <c r="F386" t="s">
        <v>59</v>
      </c>
      <c r="G386">
        <v>7</v>
      </c>
      <c r="H386" t="s">
        <v>133</v>
      </c>
      <c r="I386">
        <v>22</v>
      </c>
      <c r="J386" s="54">
        <f t="shared" ref="J386:J449" si="6">IF(H386="days",ROUND(G386/30,0),IF(H386="years",G386*12,G386))</f>
        <v>7</v>
      </c>
    </row>
    <row r="387" spans="1:10">
      <c r="A387" s="43">
        <v>43507</v>
      </c>
      <c r="B387">
        <v>1997</v>
      </c>
      <c r="C387">
        <v>2200</v>
      </c>
      <c r="D387">
        <v>386</v>
      </c>
      <c r="E387">
        <v>7800</v>
      </c>
      <c r="F387" t="s">
        <v>59</v>
      </c>
      <c r="G387">
        <v>7</v>
      </c>
      <c r="H387" t="s">
        <v>133</v>
      </c>
      <c r="I387">
        <v>22</v>
      </c>
      <c r="J387" s="54">
        <f t="shared" si="6"/>
        <v>7</v>
      </c>
    </row>
    <row r="388" spans="1:10">
      <c r="A388" s="43">
        <v>43507</v>
      </c>
      <c r="B388">
        <v>1998</v>
      </c>
      <c r="C388">
        <v>2200</v>
      </c>
      <c r="D388">
        <v>387</v>
      </c>
      <c r="E388">
        <v>7500</v>
      </c>
      <c r="F388" t="s">
        <v>59</v>
      </c>
      <c r="G388">
        <v>9</v>
      </c>
      <c r="H388" t="s">
        <v>133</v>
      </c>
      <c r="I388">
        <v>21</v>
      </c>
      <c r="J388" s="54">
        <f t="shared" si="6"/>
        <v>9</v>
      </c>
    </row>
    <row r="389" spans="1:10">
      <c r="A389" s="43">
        <v>43468</v>
      </c>
      <c r="B389">
        <v>1998</v>
      </c>
      <c r="C389">
        <v>2200</v>
      </c>
      <c r="D389">
        <v>388</v>
      </c>
      <c r="E389">
        <v>7500</v>
      </c>
      <c r="F389" t="s">
        <v>59</v>
      </c>
      <c r="G389">
        <v>50</v>
      </c>
      <c r="H389" t="s">
        <v>60</v>
      </c>
      <c r="I389">
        <v>21</v>
      </c>
      <c r="J389" s="54">
        <f t="shared" si="6"/>
        <v>2</v>
      </c>
    </row>
    <row r="390" spans="1:10">
      <c r="A390" s="43">
        <v>43417</v>
      </c>
      <c r="B390">
        <v>1998</v>
      </c>
      <c r="C390">
        <v>2200</v>
      </c>
      <c r="D390">
        <v>389</v>
      </c>
      <c r="E390">
        <v>8250</v>
      </c>
      <c r="F390" t="s">
        <v>59</v>
      </c>
      <c r="G390">
        <v>5</v>
      </c>
      <c r="H390" t="s">
        <v>133</v>
      </c>
      <c r="I390">
        <v>21</v>
      </c>
      <c r="J390" s="54">
        <f t="shared" si="6"/>
        <v>5</v>
      </c>
    </row>
    <row r="391" spans="1:10">
      <c r="A391" s="43">
        <v>43391</v>
      </c>
      <c r="B391">
        <v>1997</v>
      </c>
      <c r="C391">
        <v>2200</v>
      </c>
      <c r="D391">
        <v>390</v>
      </c>
      <c r="E391">
        <v>8000</v>
      </c>
      <c r="F391" t="s">
        <v>59</v>
      </c>
      <c r="G391">
        <v>12</v>
      </c>
      <c r="H391" t="s">
        <v>133</v>
      </c>
      <c r="I391">
        <v>22</v>
      </c>
      <c r="J391" s="54">
        <f t="shared" si="6"/>
        <v>12</v>
      </c>
    </row>
    <row r="392" spans="1:10">
      <c r="A392" s="43">
        <v>43370</v>
      </c>
      <c r="B392">
        <v>1997</v>
      </c>
      <c r="C392">
        <v>2200</v>
      </c>
      <c r="D392">
        <v>391</v>
      </c>
      <c r="E392">
        <v>8500</v>
      </c>
      <c r="F392" t="s">
        <v>59</v>
      </c>
      <c r="G392">
        <v>10</v>
      </c>
      <c r="H392" t="s">
        <v>133</v>
      </c>
      <c r="I392">
        <v>22</v>
      </c>
      <c r="J392" s="54">
        <f t="shared" si="6"/>
        <v>10</v>
      </c>
    </row>
    <row r="393" spans="1:10">
      <c r="A393" s="43">
        <v>43370</v>
      </c>
      <c r="B393">
        <v>1998</v>
      </c>
      <c r="C393">
        <v>2200</v>
      </c>
      <c r="D393">
        <v>392</v>
      </c>
      <c r="E393">
        <v>8500</v>
      </c>
      <c r="F393" t="s">
        <v>59</v>
      </c>
      <c r="G393">
        <v>12</v>
      </c>
      <c r="H393" t="s">
        <v>133</v>
      </c>
      <c r="I393">
        <v>21</v>
      </c>
      <c r="J393" s="54">
        <f t="shared" si="6"/>
        <v>12</v>
      </c>
    </row>
    <row r="394" spans="1:10">
      <c r="A394" s="43">
        <v>43315</v>
      </c>
      <c r="B394">
        <v>1997</v>
      </c>
      <c r="C394">
        <v>2200</v>
      </c>
      <c r="D394">
        <v>393</v>
      </c>
      <c r="E394">
        <v>9150</v>
      </c>
      <c r="F394" t="s">
        <v>59</v>
      </c>
      <c r="G394">
        <v>6</v>
      </c>
      <c r="H394" t="s">
        <v>133</v>
      </c>
      <c r="I394">
        <v>22</v>
      </c>
      <c r="J394" s="54">
        <f t="shared" si="6"/>
        <v>6</v>
      </c>
    </row>
    <row r="395" spans="1:10">
      <c r="A395" s="43">
        <v>43272</v>
      </c>
      <c r="B395">
        <v>1997</v>
      </c>
      <c r="C395">
        <v>2200</v>
      </c>
      <c r="D395">
        <v>394</v>
      </c>
      <c r="E395">
        <v>10500</v>
      </c>
      <c r="F395" t="s">
        <v>59</v>
      </c>
      <c r="G395">
        <v>9</v>
      </c>
      <c r="H395" t="s">
        <v>133</v>
      </c>
      <c r="I395">
        <v>22</v>
      </c>
      <c r="J395" s="54">
        <f t="shared" si="6"/>
        <v>9</v>
      </c>
    </row>
    <row r="396" spans="1:10">
      <c r="A396" s="43">
        <v>43241</v>
      </c>
      <c r="B396">
        <v>1998</v>
      </c>
      <c r="C396">
        <v>2200</v>
      </c>
      <c r="D396">
        <v>395</v>
      </c>
      <c r="E396">
        <v>11000</v>
      </c>
      <c r="F396" t="s">
        <v>59</v>
      </c>
      <c r="G396">
        <v>6</v>
      </c>
      <c r="H396" t="s">
        <v>133</v>
      </c>
      <c r="I396">
        <v>21</v>
      </c>
      <c r="J396" s="54">
        <f t="shared" si="6"/>
        <v>6</v>
      </c>
    </row>
    <row r="397" spans="1:10">
      <c r="A397" s="43">
        <v>43174</v>
      </c>
      <c r="B397">
        <v>1998</v>
      </c>
      <c r="C397">
        <v>2200</v>
      </c>
      <c r="D397">
        <v>396</v>
      </c>
      <c r="E397">
        <v>9900</v>
      </c>
      <c r="F397" t="s">
        <v>59</v>
      </c>
      <c r="G397">
        <v>7</v>
      </c>
      <c r="H397" t="s">
        <v>133</v>
      </c>
      <c r="I397">
        <v>21</v>
      </c>
      <c r="J397" s="54">
        <f t="shared" si="6"/>
        <v>7</v>
      </c>
    </row>
    <row r="398" spans="1:10">
      <c r="A398" s="43">
        <v>43174</v>
      </c>
      <c r="B398">
        <v>1997</v>
      </c>
      <c r="C398">
        <v>2200</v>
      </c>
      <c r="D398">
        <v>397</v>
      </c>
      <c r="E398">
        <v>8850</v>
      </c>
      <c r="F398" t="s">
        <v>59</v>
      </c>
      <c r="G398">
        <v>7</v>
      </c>
      <c r="H398" t="s">
        <v>133</v>
      </c>
      <c r="I398">
        <v>22</v>
      </c>
      <c r="J398" s="54">
        <f t="shared" si="6"/>
        <v>7</v>
      </c>
    </row>
    <row r="399" spans="1:10">
      <c r="A399" s="43">
        <v>43153</v>
      </c>
      <c r="B399">
        <v>1997</v>
      </c>
      <c r="C399">
        <v>2200</v>
      </c>
      <c r="D399">
        <v>398</v>
      </c>
      <c r="E399">
        <v>8700</v>
      </c>
      <c r="F399" t="s">
        <v>59</v>
      </c>
      <c r="G399">
        <v>9</v>
      </c>
      <c r="H399" t="s">
        <v>133</v>
      </c>
      <c r="I399">
        <v>22</v>
      </c>
      <c r="J399" s="54">
        <f t="shared" si="6"/>
        <v>9</v>
      </c>
    </row>
    <row r="400" spans="1:10">
      <c r="A400" s="43">
        <v>43126</v>
      </c>
      <c r="B400">
        <v>1998</v>
      </c>
      <c r="C400">
        <v>2200</v>
      </c>
      <c r="D400">
        <v>399</v>
      </c>
      <c r="E400">
        <v>8600</v>
      </c>
      <c r="F400" t="s">
        <v>59</v>
      </c>
      <c r="G400">
        <v>10</v>
      </c>
      <c r="H400" t="s">
        <v>133</v>
      </c>
      <c r="I400">
        <v>21</v>
      </c>
      <c r="J400" s="54">
        <f t="shared" si="6"/>
        <v>10</v>
      </c>
    </row>
    <row r="401" spans="1:10">
      <c r="A401" s="43">
        <v>43112</v>
      </c>
      <c r="B401">
        <v>1998</v>
      </c>
      <c r="C401">
        <v>2200</v>
      </c>
      <c r="D401">
        <v>400</v>
      </c>
      <c r="E401">
        <v>8400</v>
      </c>
      <c r="F401" t="s">
        <v>59</v>
      </c>
      <c r="G401">
        <v>1</v>
      </c>
      <c r="H401" t="s">
        <v>133</v>
      </c>
      <c r="I401">
        <v>21</v>
      </c>
      <c r="J401" s="54">
        <f t="shared" si="6"/>
        <v>1</v>
      </c>
    </row>
    <row r="402" spans="1:10">
      <c r="A402" s="43">
        <v>43109</v>
      </c>
      <c r="B402">
        <v>1998</v>
      </c>
      <c r="C402">
        <v>2200</v>
      </c>
      <c r="D402">
        <v>401</v>
      </c>
      <c r="E402">
        <v>8400</v>
      </c>
      <c r="F402" t="s">
        <v>59</v>
      </c>
      <c r="G402">
        <v>35</v>
      </c>
      <c r="H402" t="s">
        <v>60</v>
      </c>
      <c r="I402">
        <v>21</v>
      </c>
      <c r="J402" s="54">
        <f t="shared" si="6"/>
        <v>1</v>
      </c>
    </row>
    <row r="403" spans="1:10">
      <c r="A403" s="43">
        <v>43073</v>
      </c>
      <c r="B403">
        <v>1998</v>
      </c>
      <c r="C403">
        <v>2200</v>
      </c>
      <c r="D403">
        <v>402</v>
      </c>
      <c r="E403">
        <v>7600</v>
      </c>
      <c r="F403" t="s">
        <v>59</v>
      </c>
      <c r="G403">
        <v>4</v>
      </c>
      <c r="H403" t="s">
        <v>133</v>
      </c>
      <c r="I403">
        <v>21</v>
      </c>
      <c r="J403" s="54">
        <f t="shared" si="6"/>
        <v>4</v>
      </c>
    </row>
    <row r="404" spans="1:10">
      <c r="A404" s="43">
        <v>43038</v>
      </c>
      <c r="B404">
        <v>1997</v>
      </c>
      <c r="C404">
        <v>2200</v>
      </c>
      <c r="D404">
        <v>403</v>
      </c>
      <c r="E404">
        <v>7500</v>
      </c>
      <c r="F404" t="s">
        <v>59</v>
      </c>
      <c r="G404">
        <v>12</v>
      </c>
      <c r="H404" t="s">
        <v>133</v>
      </c>
      <c r="I404">
        <v>22</v>
      </c>
      <c r="J404" s="54">
        <f t="shared" si="6"/>
        <v>12</v>
      </c>
    </row>
    <row r="405" spans="1:10">
      <c r="A405" s="43">
        <v>42982</v>
      </c>
      <c r="B405">
        <v>1997</v>
      </c>
      <c r="C405">
        <v>2200</v>
      </c>
      <c r="D405">
        <v>404</v>
      </c>
      <c r="E405">
        <v>7000</v>
      </c>
      <c r="F405" t="s">
        <v>59</v>
      </c>
      <c r="G405">
        <v>10</v>
      </c>
      <c r="H405" t="s">
        <v>133</v>
      </c>
      <c r="I405">
        <v>22</v>
      </c>
      <c r="J405" s="54">
        <f t="shared" si="6"/>
        <v>10</v>
      </c>
    </row>
    <row r="406" spans="1:10">
      <c r="A406" s="43">
        <v>42968</v>
      </c>
      <c r="B406">
        <v>1997</v>
      </c>
      <c r="C406">
        <v>2200</v>
      </c>
      <c r="D406">
        <v>405</v>
      </c>
      <c r="E406">
        <v>7000</v>
      </c>
      <c r="F406" t="s">
        <v>59</v>
      </c>
      <c r="G406">
        <v>6</v>
      </c>
      <c r="H406" t="s">
        <v>133</v>
      </c>
      <c r="I406">
        <v>22</v>
      </c>
      <c r="J406" s="54">
        <f t="shared" si="6"/>
        <v>6</v>
      </c>
    </row>
    <row r="407" spans="1:10">
      <c r="A407" s="43">
        <v>42948</v>
      </c>
      <c r="B407">
        <v>1997</v>
      </c>
      <c r="C407">
        <v>2200</v>
      </c>
      <c r="D407">
        <v>406</v>
      </c>
      <c r="E407">
        <v>7200</v>
      </c>
      <c r="F407" t="s">
        <v>59</v>
      </c>
      <c r="G407">
        <v>60</v>
      </c>
      <c r="H407" t="s">
        <v>60</v>
      </c>
      <c r="I407">
        <v>22</v>
      </c>
      <c r="J407" s="54">
        <f t="shared" si="6"/>
        <v>2</v>
      </c>
    </row>
    <row r="408" spans="1:10">
      <c r="A408" s="43">
        <v>42891</v>
      </c>
      <c r="B408">
        <v>1997</v>
      </c>
      <c r="C408">
        <v>2200</v>
      </c>
      <c r="D408">
        <v>407</v>
      </c>
      <c r="E408">
        <v>8250</v>
      </c>
      <c r="F408" t="s">
        <v>59</v>
      </c>
      <c r="G408">
        <v>10</v>
      </c>
      <c r="H408" t="s">
        <v>133</v>
      </c>
      <c r="I408">
        <v>22</v>
      </c>
      <c r="J408" s="54">
        <f t="shared" si="6"/>
        <v>10</v>
      </c>
    </row>
    <row r="409" spans="1:10">
      <c r="A409" s="43">
        <v>43558</v>
      </c>
      <c r="B409">
        <v>1998</v>
      </c>
      <c r="C409">
        <v>2226</v>
      </c>
      <c r="D409">
        <v>408</v>
      </c>
      <c r="E409">
        <v>8000</v>
      </c>
      <c r="F409" t="s">
        <v>59</v>
      </c>
      <c r="G409">
        <v>9</v>
      </c>
      <c r="H409" t="s">
        <v>133</v>
      </c>
      <c r="I409">
        <v>21</v>
      </c>
      <c r="J409" s="54">
        <f t="shared" si="6"/>
        <v>9</v>
      </c>
    </row>
    <row r="410" spans="1:10">
      <c r="A410" s="43">
        <v>43410</v>
      </c>
      <c r="B410">
        <v>1998</v>
      </c>
      <c r="C410">
        <v>2226</v>
      </c>
      <c r="D410">
        <v>409</v>
      </c>
      <c r="E410">
        <v>8500</v>
      </c>
      <c r="F410" t="s">
        <v>59</v>
      </c>
      <c r="G410">
        <v>8</v>
      </c>
      <c r="H410" t="s">
        <v>133</v>
      </c>
      <c r="I410">
        <v>21</v>
      </c>
      <c r="J410" s="54">
        <f t="shared" si="6"/>
        <v>8</v>
      </c>
    </row>
    <row r="411" spans="1:10">
      <c r="A411" s="43">
        <v>42804</v>
      </c>
      <c r="B411">
        <v>1998</v>
      </c>
      <c r="C411">
        <v>2226</v>
      </c>
      <c r="D411">
        <v>410</v>
      </c>
      <c r="E411">
        <v>6300</v>
      </c>
      <c r="F411" t="s">
        <v>59</v>
      </c>
      <c r="G411">
        <v>7</v>
      </c>
      <c r="H411" t="s">
        <v>133</v>
      </c>
      <c r="I411">
        <v>21</v>
      </c>
      <c r="J411" s="54">
        <f t="shared" si="6"/>
        <v>7</v>
      </c>
    </row>
    <row r="412" spans="1:10">
      <c r="A412" s="43">
        <v>42790</v>
      </c>
      <c r="B412">
        <v>1997</v>
      </c>
      <c r="C412">
        <v>2226</v>
      </c>
      <c r="D412">
        <v>411</v>
      </c>
      <c r="E412">
        <v>6000</v>
      </c>
      <c r="F412" t="s">
        <v>59</v>
      </c>
      <c r="G412">
        <v>12</v>
      </c>
      <c r="H412" t="s">
        <v>133</v>
      </c>
      <c r="I412">
        <v>22</v>
      </c>
      <c r="J412" s="54">
        <f t="shared" si="6"/>
        <v>12</v>
      </c>
    </row>
    <row r="413" spans="1:10">
      <c r="A413" s="43">
        <v>42578</v>
      </c>
      <c r="B413">
        <v>1998</v>
      </c>
      <c r="C413">
        <v>2226</v>
      </c>
      <c r="D413">
        <v>412</v>
      </c>
      <c r="E413">
        <v>6150</v>
      </c>
      <c r="F413" t="s">
        <v>59</v>
      </c>
      <c r="G413">
        <v>8</v>
      </c>
      <c r="H413" t="s">
        <v>133</v>
      </c>
      <c r="I413">
        <v>21</v>
      </c>
      <c r="J413" s="54">
        <f t="shared" si="6"/>
        <v>8</v>
      </c>
    </row>
    <row r="414" spans="1:10">
      <c r="A414" s="43">
        <v>42552</v>
      </c>
      <c r="B414">
        <v>1998</v>
      </c>
      <c r="C414">
        <v>2226</v>
      </c>
      <c r="D414">
        <v>413</v>
      </c>
      <c r="E414">
        <v>6150</v>
      </c>
      <c r="F414" t="s">
        <v>59</v>
      </c>
      <c r="G414">
        <v>8</v>
      </c>
      <c r="H414" t="s">
        <v>133</v>
      </c>
      <c r="I414">
        <v>21</v>
      </c>
      <c r="J414" s="54">
        <f t="shared" si="6"/>
        <v>8</v>
      </c>
    </row>
    <row r="415" spans="1:10">
      <c r="A415" s="43">
        <v>42430</v>
      </c>
      <c r="B415">
        <v>1998</v>
      </c>
      <c r="C415">
        <v>2226</v>
      </c>
      <c r="D415">
        <v>414</v>
      </c>
      <c r="E415">
        <v>6300</v>
      </c>
      <c r="F415" t="s">
        <v>59</v>
      </c>
      <c r="G415">
        <v>13</v>
      </c>
      <c r="H415" t="s">
        <v>133</v>
      </c>
      <c r="I415">
        <v>21</v>
      </c>
      <c r="J415" s="54">
        <f t="shared" si="6"/>
        <v>13</v>
      </c>
    </row>
    <row r="416" spans="1:10">
      <c r="A416" s="43">
        <v>42430</v>
      </c>
      <c r="B416">
        <v>1998</v>
      </c>
      <c r="C416">
        <v>2226</v>
      </c>
      <c r="D416">
        <v>415</v>
      </c>
      <c r="E416">
        <v>6300</v>
      </c>
      <c r="F416" t="s">
        <v>59</v>
      </c>
      <c r="G416">
        <v>13</v>
      </c>
      <c r="H416" t="s">
        <v>133</v>
      </c>
      <c r="I416">
        <v>21</v>
      </c>
      <c r="J416" s="54">
        <f t="shared" si="6"/>
        <v>13</v>
      </c>
    </row>
    <row r="417" spans="1:10">
      <c r="A417" s="43">
        <v>43297</v>
      </c>
      <c r="B417">
        <v>1999</v>
      </c>
      <c r="C417">
        <v>2262</v>
      </c>
      <c r="D417">
        <v>416</v>
      </c>
      <c r="E417">
        <v>10000</v>
      </c>
      <c r="F417" t="s">
        <v>59</v>
      </c>
      <c r="G417">
        <v>7</v>
      </c>
      <c r="H417" t="s">
        <v>133</v>
      </c>
      <c r="I417">
        <v>20</v>
      </c>
      <c r="J417" s="54">
        <f t="shared" si="6"/>
        <v>7</v>
      </c>
    </row>
    <row r="418" spans="1:10">
      <c r="A418" s="43">
        <v>42948</v>
      </c>
      <c r="B418">
        <v>1999</v>
      </c>
      <c r="C418">
        <v>2262</v>
      </c>
      <c r="D418">
        <v>417</v>
      </c>
      <c r="E418">
        <v>7800</v>
      </c>
      <c r="F418" t="s">
        <v>59</v>
      </c>
      <c r="G418">
        <v>12</v>
      </c>
      <c r="H418" t="s">
        <v>133</v>
      </c>
      <c r="I418">
        <v>20</v>
      </c>
      <c r="J418" s="54">
        <f t="shared" si="6"/>
        <v>12</v>
      </c>
    </row>
    <row r="419" spans="1:10">
      <c r="A419" s="43">
        <v>42830</v>
      </c>
      <c r="B419">
        <v>1999</v>
      </c>
      <c r="C419">
        <v>2262</v>
      </c>
      <c r="D419">
        <v>418</v>
      </c>
      <c r="E419">
        <v>8000</v>
      </c>
      <c r="F419" t="s">
        <v>59</v>
      </c>
      <c r="G419">
        <v>35</v>
      </c>
      <c r="H419" t="s">
        <v>60</v>
      </c>
      <c r="I419">
        <v>20</v>
      </c>
      <c r="J419" s="54">
        <f t="shared" si="6"/>
        <v>1</v>
      </c>
    </row>
    <row r="420" spans="1:10">
      <c r="A420" s="43">
        <v>42643</v>
      </c>
      <c r="B420">
        <v>1999</v>
      </c>
      <c r="C420">
        <v>2262</v>
      </c>
      <c r="D420">
        <v>419</v>
      </c>
      <c r="E420">
        <v>6000</v>
      </c>
      <c r="F420" t="s">
        <v>59</v>
      </c>
      <c r="G420">
        <v>100</v>
      </c>
      <c r="H420" t="s">
        <v>60</v>
      </c>
      <c r="I420">
        <v>20</v>
      </c>
      <c r="J420" s="54">
        <f t="shared" si="6"/>
        <v>3</v>
      </c>
    </row>
    <row r="421" spans="1:10">
      <c r="A421" s="43">
        <v>42433</v>
      </c>
      <c r="B421">
        <v>1999</v>
      </c>
      <c r="C421">
        <v>2262</v>
      </c>
      <c r="D421">
        <v>420</v>
      </c>
      <c r="E421">
        <v>6000</v>
      </c>
      <c r="F421" t="s">
        <v>59</v>
      </c>
      <c r="G421">
        <v>9</v>
      </c>
      <c r="H421" t="s">
        <v>133</v>
      </c>
      <c r="I421">
        <v>20</v>
      </c>
      <c r="J421" s="54">
        <f t="shared" si="6"/>
        <v>9</v>
      </c>
    </row>
    <row r="422" spans="1:10">
      <c r="A422" s="43">
        <v>43594</v>
      </c>
      <c r="B422">
        <v>1998</v>
      </c>
      <c r="C422">
        <v>2442</v>
      </c>
      <c r="D422">
        <v>421</v>
      </c>
      <c r="E422">
        <v>8500</v>
      </c>
      <c r="F422" t="s">
        <v>59</v>
      </c>
      <c r="G422">
        <v>6</v>
      </c>
      <c r="H422" t="s">
        <v>133</v>
      </c>
      <c r="I422">
        <v>21</v>
      </c>
      <c r="J422" s="54">
        <f t="shared" si="6"/>
        <v>6</v>
      </c>
    </row>
    <row r="423" spans="1:10">
      <c r="A423" s="43">
        <v>43255</v>
      </c>
      <c r="B423">
        <v>1998</v>
      </c>
      <c r="C423">
        <v>2442</v>
      </c>
      <c r="D423">
        <v>422</v>
      </c>
      <c r="E423">
        <v>12500</v>
      </c>
      <c r="F423" t="s">
        <v>59</v>
      </c>
      <c r="G423">
        <v>12</v>
      </c>
      <c r="H423" t="s">
        <v>133</v>
      </c>
      <c r="I423">
        <v>21</v>
      </c>
      <c r="J423" s="54">
        <f t="shared" si="6"/>
        <v>12</v>
      </c>
    </row>
    <row r="424" spans="1:10">
      <c r="A424" s="43">
        <v>43178</v>
      </c>
      <c r="B424">
        <v>1998</v>
      </c>
      <c r="C424">
        <v>2442</v>
      </c>
      <c r="D424">
        <v>423</v>
      </c>
      <c r="E424">
        <v>11750</v>
      </c>
      <c r="F424" t="s">
        <v>59</v>
      </c>
      <c r="G424">
        <v>4</v>
      </c>
      <c r="H424" t="s">
        <v>133</v>
      </c>
      <c r="I424">
        <v>21</v>
      </c>
      <c r="J424" s="54">
        <f t="shared" si="6"/>
        <v>4</v>
      </c>
    </row>
    <row r="425" spans="1:10">
      <c r="A425" s="43">
        <v>42972</v>
      </c>
      <c r="B425">
        <v>1997</v>
      </c>
      <c r="C425">
        <v>2442</v>
      </c>
      <c r="D425">
        <v>424</v>
      </c>
      <c r="E425">
        <v>8300</v>
      </c>
      <c r="F425" t="s">
        <v>59</v>
      </c>
      <c r="G425">
        <v>8</v>
      </c>
      <c r="H425" t="s">
        <v>133</v>
      </c>
      <c r="I425">
        <v>22</v>
      </c>
      <c r="J425" s="54">
        <f t="shared" si="6"/>
        <v>8</v>
      </c>
    </row>
    <row r="426" spans="1:10">
      <c r="A426" s="43">
        <v>42971</v>
      </c>
      <c r="B426">
        <v>1997</v>
      </c>
      <c r="C426">
        <v>2442</v>
      </c>
      <c r="D426">
        <v>425</v>
      </c>
      <c r="E426">
        <v>8350</v>
      </c>
      <c r="F426" t="s">
        <v>59</v>
      </c>
      <c r="G426">
        <v>6</v>
      </c>
      <c r="H426" t="s">
        <v>133</v>
      </c>
      <c r="I426">
        <v>22</v>
      </c>
      <c r="J426" s="54">
        <f t="shared" si="6"/>
        <v>6</v>
      </c>
    </row>
    <row r="427" spans="1:10">
      <c r="A427" s="43">
        <v>42865</v>
      </c>
      <c r="B427">
        <v>1997</v>
      </c>
      <c r="C427">
        <v>2442</v>
      </c>
      <c r="D427">
        <v>426</v>
      </c>
      <c r="E427">
        <v>9400</v>
      </c>
      <c r="F427" t="s">
        <v>59</v>
      </c>
      <c r="G427">
        <v>6</v>
      </c>
      <c r="H427" t="s">
        <v>133</v>
      </c>
      <c r="I427">
        <v>22</v>
      </c>
      <c r="J427" s="54">
        <f t="shared" si="6"/>
        <v>6</v>
      </c>
    </row>
    <row r="428" spans="1:10">
      <c r="A428" s="43">
        <v>42815</v>
      </c>
      <c r="B428">
        <v>1997</v>
      </c>
      <c r="C428">
        <v>2442</v>
      </c>
      <c r="D428">
        <v>427</v>
      </c>
      <c r="E428">
        <v>7000</v>
      </c>
      <c r="F428" t="s">
        <v>59</v>
      </c>
      <c r="G428">
        <v>3</v>
      </c>
      <c r="H428" t="s">
        <v>133</v>
      </c>
      <c r="I428">
        <v>22</v>
      </c>
      <c r="J428" s="54">
        <f t="shared" si="6"/>
        <v>3</v>
      </c>
    </row>
    <row r="429" spans="1:10">
      <c r="A429" s="43">
        <v>42658</v>
      </c>
      <c r="B429">
        <v>1997</v>
      </c>
      <c r="C429">
        <v>2442</v>
      </c>
      <c r="D429">
        <v>428</v>
      </c>
      <c r="E429">
        <v>5500</v>
      </c>
      <c r="F429" t="s">
        <v>59</v>
      </c>
      <c r="G429">
        <v>12</v>
      </c>
      <c r="H429" t="s">
        <v>133</v>
      </c>
      <c r="I429">
        <v>22</v>
      </c>
      <c r="J429" s="54">
        <f t="shared" si="6"/>
        <v>12</v>
      </c>
    </row>
    <row r="430" spans="1:10">
      <c r="A430" s="43">
        <v>42452</v>
      </c>
      <c r="B430">
        <v>1997</v>
      </c>
      <c r="C430">
        <v>2442</v>
      </c>
      <c r="D430">
        <v>429</v>
      </c>
      <c r="E430">
        <v>6000</v>
      </c>
      <c r="F430" t="s">
        <v>59</v>
      </c>
      <c r="G430">
        <v>12</v>
      </c>
      <c r="H430" t="s">
        <v>133</v>
      </c>
      <c r="I430">
        <v>22</v>
      </c>
      <c r="J430" s="54">
        <f t="shared" si="6"/>
        <v>12</v>
      </c>
    </row>
    <row r="431" spans="1:10">
      <c r="A431" s="43">
        <v>42384</v>
      </c>
      <c r="B431">
        <v>1997</v>
      </c>
      <c r="C431">
        <v>2442</v>
      </c>
      <c r="D431">
        <v>430</v>
      </c>
      <c r="E431">
        <v>6000</v>
      </c>
      <c r="F431" t="s">
        <v>59</v>
      </c>
      <c r="G431">
        <v>10</v>
      </c>
      <c r="H431" t="s">
        <v>133</v>
      </c>
      <c r="I431">
        <v>22</v>
      </c>
      <c r="J431" s="54">
        <f t="shared" si="6"/>
        <v>10</v>
      </c>
    </row>
    <row r="432" spans="1:10">
      <c r="A432" s="43">
        <v>43474</v>
      </c>
      <c r="B432">
        <v>1997</v>
      </c>
      <c r="C432">
        <v>2446</v>
      </c>
      <c r="D432">
        <v>431</v>
      </c>
      <c r="E432">
        <v>8750</v>
      </c>
      <c r="F432" t="s">
        <v>59</v>
      </c>
      <c r="G432">
        <v>6</v>
      </c>
      <c r="H432" t="s">
        <v>133</v>
      </c>
      <c r="I432">
        <v>22</v>
      </c>
      <c r="J432" s="54">
        <f t="shared" si="6"/>
        <v>6</v>
      </c>
    </row>
    <row r="433" spans="1:10">
      <c r="A433" s="43">
        <v>42388</v>
      </c>
      <c r="B433">
        <v>1999</v>
      </c>
      <c r="C433">
        <v>2452</v>
      </c>
      <c r="D433">
        <v>432</v>
      </c>
      <c r="E433">
        <v>5975</v>
      </c>
      <c r="F433" t="s">
        <v>59</v>
      </c>
      <c r="G433">
        <v>180</v>
      </c>
      <c r="H433" t="s">
        <v>60</v>
      </c>
      <c r="I433">
        <v>20</v>
      </c>
      <c r="J433" s="54">
        <f t="shared" si="6"/>
        <v>6</v>
      </c>
    </row>
    <row r="434" spans="1:10">
      <c r="A434" s="43">
        <v>43556</v>
      </c>
      <c r="B434">
        <v>1997</v>
      </c>
      <c r="C434">
        <v>2456</v>
      </c>
      <c r="D434">
        <v>433</v>
      </c>
      <c r="E434">
        <v>8500</v>
      </c>
      <c r="F434" t="s">
        <v>59</v>
      </c>
      <c r="G434">
        <v>6</v>
      </c>
      <c r="H434" t="s">
        <v>133</v>
      </c>
      <c r="I434">
        <v>22</v>
      </c>
      <c r="J434" s="54">
        <f t="shared" si="6"/>
        <v>6</v>
      </c>
    </row>
    <row r="435" spans="1:10">
      <c r="A435" s="43">
        <v>43396</v>
      </c>
      <c r="B435">
        <v>1997</v>
      </c>
      <c r="C435">
        <v>2456</v>
      </c>
      <c r="D435">
        <v>434</v>
      </c>
      <c r="E435">
        <v>9850</v>
      </c>
      <c r="F435" t="s">
        <v>59</v>
      </c>
      <c r="G435">
        <v>4</v>
      </c>
      <c r="H435" t="s">
        <v>133</v>
      </c>
      <c r="I435">
        <v>22</v>
      </c>
      <c r="J435" s="54">
        <f t="shared" si="6"/>
        <v>4</v>
      </c>
    </row>
    <row r="436" spans="1:10">
      <c r="A436" s="43">
        <v>43087</v>
      </c>
      <c r="B436">
        <v>1997</v>
      </c>
      <c r="C436">
        <v>2456</v>
      </c>
      <c r="D436">
        <v>435</v>
      </c>
      <c r="E436">
        <v>8750</v>
      </c>
      <c r="F436" t="s">
        <v>59</v>
      </c>
      <c r="G436">
        <v>12</v>
      </c>
      <c r="H436" t="s">
        <v>133</v>
      </c>
      <c r="I436">
        <v>22</v>
      </c>
      <c r="J436" s="54">
        <f t="shared" si="6"/>
        <v>12</v>
      </c>
    </row>
    <row r="437" spans="1:10">
      <c r="A437" s="43">
        <v>42982</v>
      </c>
      <c r="B437">
        <v>1998</v>
      </c>
      <c r="C437">
        <v>2456</v>
      </c>
      <c r="D437">
        <v>436</v>
      </c>
      <c r="E437">
        <v>8400</v>
      </c>
      <c r="F437" t="s">
        <v>59</v>
      </c>
      <c r="G437">
        <v>3</v>
      </c>
      <c r="H437" t="s">
        <v>133</v>
      </c>
      <c r="I437">
        <v>21</v>
      </c>
      <c r="J437" s="54">
        <f t="shared" si="6"/>
        <v>3</v>
      </c>
    </row>
    <row r="438" spans="1:10">
      <c r="A438" s="43">
        <v>42933</v>
      </c>
      <c r="B438">
        <v>1998</v>
      </c>
      <c r="C438">
        <v>2456</v>
      </c>
      <c r="D438">
        <v>437</v>
      </c>
      <c r="E438">
        <v>8000</v>
      </c>
      <c r="F438" t="s">
        <v>59</v>
      </c>
      <c r="G438">
        <v>5</v>
      </c>
      <c r="H438" t="s">
        <v>133</v>
      </c>
      <c r="I438">
        <v>21</v>
      </c>
      <c r="J438" s="54">
        <f t="shared" si="6"/>
        <v>5</v>
      </c>
    </row>
    <row r="439" spans="1:10">
      <c r="A439" s="43">
        <v>42814</v>
      </c>
      <c r="B439">
        <v>1998</v>
      </c>
      <c r="C439">
        <v>2456</v>
      </c>
      <c r="D439">
        <v>438</v>
      </c>
      <c r="E439">
        <v>6900</v>
      </c>
      <c r="F439" t="s">
        <v>59</v>
      </c>
      <c r="G439">
        <v>3</v>
      </c>
      <c r="H439" t="s">
        <v>133</v>
      </c>
      <c r="I439">
        <v>21</v>
      </c>
      <c r="J439" s="54">
        <f t="shared" si="6"/>
        <v>3</v>
      </c>
    </row>
    <row r="440" spans="1:10">
      <c r="A440" s="43">
        <v>42754</v>
      </c>
      <c r="B440">
        <v>1998</v>
      </c>
      <c r="C440">
        <v>2456</v>
      </c>
      <c r="D440">
        <v>439</v>
      </c>
      <c r="E440">
        <v>5750</v>
      </c>
      <c r="F440" t="s">
        <v>59</v>
      </c>
      <c r="G440">
        <v>35</v>
      </c>
      <c r="H440" t="s">
        <v>60</v>
      </c>
      <c r="I440">
        <v>21</v>
      </c>
      <c r="J440" s="54">
        <f t="shared" si="6"/>
        <v>1</v>
      </c>
    </row>
    <row r="441" spans="1:10">
      <c r="A441" s="43">
        <v>42620</v>
      </c>
      <c r="B441">
        <v>1998</v>
      </c>
      <c r="C441">
        <v>2456</v>
      </c>
      <c r="D441">
        <v>440</v>
      </c>
      <c r="E441">
        <v>6000</v>
      </c>
      <c r="F441" t="s">
        <v>59</v>
      </c>
      <c r="G441">
        <v>90</v>
      </c>
      <c r="H441" t="s">
        <v>60</v>
      </c>
      <c r="I441">
        <v>21</v>
      </c>
      <c r="J441" s="54">
        <f t="shared" si="6"/>
        <v>3</v>
      </c>
    </row>
    <row r="442" spans="1:10">
      <c r="A442" s="43">
        <v>42422</v>
      </c>
      <c r="B442">
        <v>1997</v>
      </c>
      <c r="C442">
        <v>2456</v>
      </c>
      <c r="D442">
        <v>441</v>
      </c>
      <c r="E442">
        <v>6000</v>
      </c>
      <c r="F442" t="s">
        <v>59</v>
      </c>
      <c r="G442">
        <v>10</v>
      </c>
      <c r="H442" t="s">
        <v>133</v>
      </c>
      <c r="I442">
        <v>22</v>
      </c>
      <c r="J442" s="54">
        <f t="shared" si="6"/>
        <v>10</v>
      </c>
    </row>
    <row r="443" spans="1:10">
      <c r="A443" s="43">
        <v>42380</v>
      </c>
      <c r="B443">
        <v>1998</v>
      </c>
      <c r="C443">
        <v>2456</v>
      </c>
      <c r="D443">
        <v>442</v>
      </c>
      <c r="E443">
        <v>6000</v>
      </c>
      <c r="F443" t="s">
        <v>59</v>
      </c>
      <c r="G443">
        <v>12</v>
      </c>
      <c r="H443" t="s">
        <v>133</v>
      </c>
      <c r="I443">
        <v>21</v>
      </c>
      <c r="J443" s="54">
        <f t="shared" si="6"/>
        <v>12</v>
      </c>
    </row>
    <row r="444" spans="1:10">
      <c r="A444" s="43">
        <v>42593</v>
      </c>
      <c r="B444">
        <v>1997</v>
      </c>
      <c r="C444">
        <v>2468</v>
      </c>
      <c r="D444">
        <v>443</v>
      </c>
      <c r="E444">
        <v>5950</v>
      </c>
      <c r="F444" t="s">
        <v>59</v>
      </c>
      <c r="G444">
        <v>6</v>
      </c>
      <c r="H444" t="s">
        <v>133</v>
      </c>
      <c r="I444">
        <v>22</v>
      </c>
      <c r="J444" s="54">
        <f t="shared" si="6"/>
        <v>6</v>
      </c>
    </row>
    <row r="445" spans="1:10">
      <c r="A445" s="43">
        <v>42436</v>
      </c>
      <c r="B445">
        <v>1997</v>
      </c>
      <c r="C445">
        <v>2468</v>
      </c>
      <c r="D445">
        <v>444</v>
      </c>
      <c r="E445">
        <v>6000</v>
      </c>
      <c r="F445" t="s">
        <v>59</v>
      </c>
      <c r="G445">
        <v>8</v>
      </c>
      <c r="H445" t="s">
        <v>133</v>
      </c>
      <c r="I445">
        <v>22</v>
      </c>
      <c r="J445" s="54">
        <f t="shared" si="6"/>
        <v>8</v>
      </c>
    </row>
    <row r="446" spans="1:10">
      <c r="A446" s="43">
        <v>42423</v>
      </c>
      <c r="B446">
        <v>1998</v>
      </c>
      <c r="C446">
        <v>2470</v>
      </c>
      <c r="D446">
        <v>445</v>
      </c>
      <c r="E446">
        <v>6000</v>
      </c>
      <c r="F446" t="s">
        <v>59</v>
      </c>
      <c r="G446">
        <v>9</v>
      </c>
      <c r="H446" t="s">
        <v>133</v>
      </c>
      <c r="I446">
        <v>21</v>
      </c>
      <c r="J446" s="54">
        <f t="shared" si="6"/>
        <v>9</v>
      </c>
    </row>
    <row r="447" spans="1:10">
      <c r="A447" s="43">
        <v>42384</v>
      </c>
      <c r="B447">
        <v>1998</v>
      </c>
      <c r="C447">
        <v>2470</v>
      </c>
      <c r="D447">
        <v>446</v>
      </c>
      <c r="E447">
        <v>6900</v>
      </c>
      <c r="F447" t="s">
        <v>59</v>
      </c>
      <c r="G447">
        <v>13</v>
      </c>
      <c r="H447" t="s">
        <v>133</v>
      </c>
      <c r="I447">
        <v>21</v>
      </c>
      <c r="J447" s="54">
        <f t="shared" si="6"/>
        <v>13</v>
      </c>
    </row>
    <row r="448" spans="1:10">
      <c r="A448" s="43">
        <v>42438</v>
      </c>
      <c r="B448">
        <v>1997</v>
      </c>
      <c r="C448">
        <v>2472</v>
      </c>
      <c r="D448">
        <v>447</v>
      </c>
      <c r="E448">
        <v>6000</v>
      </c>
      <c r="F448" t="s">
        <v>59</v>
      </c>
      <c r="G448">
        <v>8</v>
      </c>
      <c r="H448" t="s">
        <v>133</v>
      </c>
      <c r="I448">
        <v>22</v>
      </c>
      <c r="J448" s="54">
        <f t="shared" si="6"/>
        <v>8</v>
      </c>
    </row>
    <row r="449" spans="1:10">
      <c r="A449" s="43">
        <v>43535</v>
      </c>
      <c r="B449">
        <v>1999</v>
      </c>
      <c r="C449">
        <v>2474</v>
      </c>
      <c r="D449">
        <v>448</v>
      </c>
      <c r="E449">
        <v>9200</v>
      </c>
      <c r="F449" t="s">
        <v>59</v>
      </c>
      <c r="G449">
        <v>3</v>
      </c>
      <c r="H449" t="s">
        <v>133</v>
      </c>
      <c r="I449">
        <v>20</v>
      </c>
      <c r="J449" s="54">
        <f t="shared" si="6"/>
        <v>3</v>
      </c>
    </row>
    <row r="450" spans="1:10">
      <c r="A450" s="43">
        <v>43181</v>
      </c>
      <c r="B450">
        <v>1999</v>
      </c>
      <c r="C450">
        <v>2474</v>
      </c>
      <c r="D450">
        <v>449</v>
      </c>
      <c r="E450">
        <v>9750</v>
      </c>
      <c r="F450" t="s">
        <v>59</v>
      </c>
      <c r="G450">
        <v>2</v>
      </c>
      <c r="H450" t="s">
        <v>133</v>
      </c>
      <c r="I450">
        <v>20</v>
      </c>
      <c r="J450" s="54">
        <f t="shared" ref="J450:J467" si="7">IF(H450="days",ROUND(G450/30,0),IF(H450="years",G450*12,G450))</f>
        <v>2</v>
      </c>
    </row>
    <row r="451" spans="1:10">
      <c r="A451" s="43">
        <v>43110</v>
      </c>
      <c r="B451">
        <v>1999</v>
      </c>
      <c r="C451">
        <v>2474</v>
      </c>
      <c r="D451">
        <v>450</v>
      </c>
      <c r="E451">
        <v>9750</v>
      </c>
      <c r="F451" t="s">
        <v>59</v>
      </c>
      <c r="G451">
        <v>6</v>
      </c>
      <c r="H451" t="s">
        <v>133</v>
      </c>
      <c r="I451">
        <v>20</v>
      </c>
      <c r="J451" s="54">
        <f t="shared" si="7"/>
        <v>6</v>
      </c>
    </row>
    <row r="452" spans="1:10">
      <c r="A452" s="43">
        <v>42781</v>
      </c>
      <c r="B452">
        <v>1999</v>
      </c>
      <c r="C452">
        <v>2474</v>
      </c>
      <c r="D452">
        <v>451</v>
      </c>
      <c r="E452">
        <v>6000</v>
      </c>
      <c r="F452" t="s">
        <v>59</v>
      </c>
      <c r="G452">
        <v>8</v>
      </c>
      <c r="H452" t="s">
        <v>133</v>
      </c>
      <c r="I452">
        <v>20</v>
      </c>
      <c r="J452" s="54">
        <f t="shared" si="7"/>
        <v>8</v>
      </c>
    </row>
    <row r="453" spans="1:10">
      <c r="A453" s="43">
        <v>42748</v>
      </c>
      <c r="B453">
        <v>1999</v>
      </c>
      <c r="C453">
        <v>2474</v>
      </c>
      <c r="D453">
        <v>452</v>
      </c>
      <c r="E453">
        <v>5500</v>
      </c>
      <c r="F453" t="s">
        <v>59</v>
      </c>
      <c r="G453">
        <v>12</v>
      </c>
      <c r="H453" t="s">
        <v>133</v>
      </c>
      <c r="I453">
        <v>20</v>
      </c>
      <c r="J453" s="54">
        <f t="shared" si="7"/>
        <v>12</v>
      </c>
    </row>
    <row r="454" spans="1:10">
      <c r="A454" s="43">
        <v>42452</v>
      </c>
      <c r="B454">
        <v>1998</v>
      </c>
      <c r="C454">
        <v>2474</v>
      </c>
      <c r="D454">
        <v>453</v>
      </c>
      <c r="E454">
        <v>6000</v>
      </c>
      <c r="F454" t="s">
        <v>59</v>
      </c>
      <c r="G454">
        <v>12</v>
      </c>
      <c r="H454" t="s">
        <v>133</v>
      </c>
      <c r="I454">
        <v>21</v>
      </c>
      <c r="J454" s="54">
        <f t="shared" si="7"/>
        <v>12</v>
      </c>
    </row>
    <row r="455" spans="1:10">
      <c r="A455" s="43">
        <v>43536</v>
      </c>
      <c r="B455">
        <v>1999</v>
      </c>
      <c r="C455">
        <v>2526</v>
      </c>
      <c r="D455">
        <v>454</v>
      </c>
      <c r="E455">
        <v>9250</v>
      </c>
      <c r="F455" t="s">
        <v>59</v>
      </c>
      <c r="G455">
        <v>4</v>
      </c>
      <c r="H455" t="s">
        <v>133</v>
      </c>
      <c r="I455">
        <v>20</v>
      </c>
      <c r="J455" s="54">
        <f t="shared" si="7"/>
        <v>4</v>
      </c>
    </row>
    <row r="456" spans="1:10">
      <c r="A456" s="43">
        <v>43229</v>
      </c>
      <c r="B456">
        <v>1999</v>
      </c>
      <c r="C456">
        <v>2526</v>
      </c>
      <c r="D456">
        <v>455</v>
      </c>
      <c r="E456">
        <v>11000</v>
      </c>
      <c r="F456" t="s">
        <v>59</v>
      </c>
      <c r="G456">
        <v>12</v>
      </c>
      <c r="H456" t="s">
        <v>133</v>
      </c>
      <c r="I456">
        <v>20</v>
      </c>
      <c r="J456" s="54">
        <f t="shared" si="7"/>
        <v>12</v>
      </c>
    </row>
    <row r="457" spans="1:10">
      <c r="A457" s="43">
        <v>43021</v>
      </c>
      <c r="B457">
        <v>1999</v>
      </c>
      <c r="C457">
        <v>2526</v>
      </c>
      <c r="D457">
        <v>456</v>
      </c>
      <c r="E457">
        <v>8250</v>
      </c>
      <c r="F457" t="s">
        <v>59</v>
      </c>
      <c r="G457">
        <v>6</v>
      </c>
      <c r="H457" t="s">
        <v>133</v>
      </c>
      <c r="I457">
        <v>20</v>
      </c>
      <c r="J457" s="54">
        <f t="shared" si="7"/>
        <v>6</v>
      </c>
    </row>
    <row r="458" spans="1:10">
      <c r="A458" s="43">
        <v>42796</v>
      </c>
      <c r="B458">
        <v>1999</v>
      </c>
      <c r="C458">
        <v>2526</v>
      </c>
      <c r="D458">
        <v>457</v>
      </c>
      <c r="E458">
        <v>6200</v>
      </c>
      <c r="F458" t="s">
        <v>59</v>
      </c>
      <c r="G458">
        <v>12</v>
      </c>
      <c r="H458" t="s">
        <v>133</v>
      </c>
      <c r="I458">
        <v>20</v>
      </c>
      <c r="J458" s="54">
        <f t="shared" si="7"/>
        <v>12</v>
      </c>
    </row>
    <row r="459" spans="1:10">
      <c r="A459" s="43">
        <v>42546</v>
      </c>
      <c r="B459">
        <v>1999</v>
      </c>
      <c r="C459">
        <v>2526</v>
      </c>
      <c r="D459">
        <v>458</v>
      </c>
      <c r="E459">
        <v>8500</v>
      </c>
      <c r="F459" t="s">
        <v>59</v>
      </c>
      <c r="G459">
        <v>6</v>
      </c>
      <c r="H459" t="s">
        <v>133</v>
      </c>
      <c r="I459">
        <v>20</v>
      </c>
      <c r="J459" s="54">
        <f t="shared" si="7"/>
        <v>6</v>
      </c>
    </row>
    <row r="460" spans="1:10">
      <c r="A460" s="43">
        <v>43397</v>
      </c>
      <c r="B460">
        <v>1999</v>
      </c>
      <c r="C460">
        <v>2546</v>
      </c>
      <c r="D460">
        <v>459</v>
      </c>
      <c r="E460">
        <v>10000</v>
      </c>
      <c r="F460" t="s">
        <v>59</v>
      </c>
      <c r="G460">
        <v>6</v>
      </c>
      <c r="H460" t="s">
        <v>133</v>
      </c>
      <c r="I460">
        <v>20</v>
      </c>
      <c r="J460" s="54">
        <f t="shared" si="7"/>
        <v>6</v>
      </c>
    </row>
    <row r="461" spans="1:10">
      <c r="A461" s="43">
        <v>43235</v>
      </c>
      <c r="B461">
        <v>1999</v>
      </c>
      <c r="C461">
        <v>2546</v>
      </c>
      <c r="D461">
        <v>460</v>
      </c>
      <c r="E461">
        <v>12450</v>
      </c>
      <c r="F461" t="s">
        <v>59</v>
      </c>
      <c r="G461">
        <v>5</v>
      </c>
      <c r="H461" t="s">
        <v>133</v>
      </c>
      <c r="I461">
        <v>20</v>
      </c>
      <c r="J461" s="54">
        <f t="shared" si="7"/>
        <v>5</v>
      </c>
    </row>
    <row r="462" spans="1:10">
      <c r="A462" s="43">
        <v>43018</v>
      </c>
      <c r="B462">
        <v>1999</v>
      </c>
      <c r="C462">
        <v>2546</v>
      </c>
      <c r="D462">
        <v>461</v>
      </c>
      <c r="E462">
        <v>8500</v>
      </c>
      <c r="F462" t="s">
        <v>59</v>
      </c>
      <c r="G462">
        <v>8</v>
      </c>
      <c r="H462" t="s">
        <v>133</v>
      </c>
      <c r="I462">
        <v>20</v>
      </c>
      <c r="J462" s="54">
        <f t="shared" si="7"/>
        <v>8</v>
      </c>
    </row>
    <row r="463" spans="1:10">
      <c r="A463" s="43">
        <v>42795</v>
      </c>
      <c r="B463">
        <v>1999</v>
      </c>
      <c r="C463">
        <v>2546</v>
      </c>
      <c r="D463">
        <v>462</v>
      </c>
      <c r="E463">
        <v>6500</v>
      </c>
      <c r="F463" t="s">
        <v>59</v>
      </c>
      <c r="G463">
        <v>7</v>
      </c>
      <c r="H463" t="s">
        <v>133</v>
      </c>
      <c r="I463">
        <v>20</v>
      </c>
      <c r="J463" s="54">
        <f t="shared" si="7"/>
        <v>7</v>
      </c>
    </row>
    <row r="464" spans="1:10">
      <c r="A464" s="43">
        <v>42538</v>
      </c>
      <c r="B464">
        <v>1999</v>
      </c>
      <c r="C464">
        <v>2546</v>
      </c>
      <c r="D464">
        <v>463</v>
      </c>
      <c r="E464">
        <v>6250</v>
      </c>
      <c r="F464" t="s">
        <v>59</v>
      </c>
      <c r="G464">
        <v>4</v>
      </c>
      <c r="H464" t="s">
        <v>133</v>
      </c>
      <c r="I464">
        <v>20</v>
      </c>
      <c r="J464" s="54">
        <f t="shared" si="7"/>
        <v>4</v>
      </c>
    </row>
    <row r="465" spans="1:10">
      <c r="A465" s="43">
        <v>42584</v>
      </c>
      <c r="B465">
        <v>1996</v>
      </c>
      <c r="C465">
        <v>2682</v>
      </c>
      <c r="D465">
        <v>464</v>
      </c>
      <c r="E465">
        <v>6000</v>
      </c>
      <c r="F465" t="s">
        <v>59</v>
      </c>
      <c r="G465">
        <v>2</v>
      </c>
      <c r="H465" t="s">
        <v>133</v>
      </c>
      <c r="I465">
        <v>23</v>
      </c>
      <c r="J465" s="54">
        <f t="shared" si="7"/>
        <v>2</v>
      </c>
    </row>
    <row r="466" spans="1:10">
      <c r="A466" s="43">
        <v>42493</v>
      </c>
      <c r="B466">
        <v>1997</v>
      </c>
      <c r="C466">
        <v>2959</v>
      </c>
      <c r="D466">
        <v>465</v>
      </c>
      <c r="E466">
        <v>6000</v>
      </c>
      <c r="F466" t="s">
        <v>59</v>
      </c>
      <c r="G466">
        <v>40</v>
      </c>
      <c r="H466" t="s">
        <v>60</v>
      </c>
      <c r="I466">
        <v>22</v>
      </c>
      <c r="J466" s="54">
        <f t="shared" si="7"/>
        <v>1</v>
      </c>
    </row>
    <row r="467" spans="1:10">
      <c r="A467" s="43">
        <v>42451</v>
      </c>
      <c r="B467">
        <v>1996</v>
      </c>
      <c r="C467">
        <v>2959</v>
      </c>
      <c r="D467">
        <v>466</v>
      </c>
      <c r="E467">
        <v>5500</v>
      </c>
      <c r="F467" t="s">
        <v>59</v>
      </c>
      <c r="G467">
        <v>12</v>
      </c>
      <c r="H467" t="s">
        <v>133</v>
      </c>
      <c r="I467">
        <v>23</v>
      </c>
      <c r="J467" s="54">
        <f t="shared" si="7"/>
        <v>12</v>
      </c>
    </row>
  </sheetData>
  <autoFilter ref="A1:J467" xr:uid="{00000000-0009-0000-0000-000009000000}">
    <sortState xmlns:xlrd2="http://schemas.microsoft.com/office/spreadsheetml/2017/richdata2" ref="A2:J467">
      <sortCondition ref="C1:C467"/>
    </sortState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42"/>
  <sheetViews>
    <sheetView topLeftCell="A19" workbookViewId="0">
      <selection activeCell="A4" sqref="A4"/>
    </sheetView>
  </sheetViews>
  <sheetFormatPr defaultColWidth="11.5546875" defaultRowHeight="14.4"/>
  <cols>
    <col min="1" max="1" width="16.109375" customWidth="1"/>
    <col min="2" max="2" width="15.44140625" customWidth="1"/>
    <col min="6" max="6" width="15" customWidth="1"/>
    <col min="10" max="10" width="25.6640625" customWidth="1"/>
    <col min="14" max="14" width="20.33203125" customWidth="1"/>
    <col min="16" max="16" width="15.109375" customWidth="1"/>
    <col min="17" max="17" width="13" customWidth="1"/>
  </cols>
  <sheetData>
    <row r="1" spans="1:16" ht="15.6">
      <c r="B1" t="s">
        <v>61</v>
      </c>
      <c r="J1" s="44" t="s">
        <v>62</v>
      </c>
      <c r="N1" s="46"/>
      <c r="P1" s="47"/>
    </row>
    <row r="2" spans="1:16" ht="15.6">
      <c r="A2">
        <v>0</v>
      </c>
      <c r="B2">
        <v>10550</v>
      </c>
      <c r="E2" s="45"/>
      <c r="F2" s="45"/>
      <c r="J2" s="46" t="s">
        <v>63</v>
      </c>
      <c r="K2" s="49">
        <f>MIN(E3:E5)</f>
        <v>4.0036396724294813E-2</v>
      </c>
      <c r="N2" s="49"/>
      <c r="O2" s="47"/>
      <c r="P2" s="47"/>
    </row>
    <row r="3" spans="1:16" ht="15.6">
      <c r="A3">
        <v>1</v>
      </c>
      <c r="B3">
        <v>10990</v>
      </c>
      <c r="D3">
        <f t="shared" ref="D3:D4" si="0">B3-B2</f>
        <v>440</v>
      </c>
      <c r="E3" s="45">
        <f t="shared" ref="E3:E4" si="1">D3/$B$3</f>
        <v>4.0036396724294813E-2</v>
      </c>
      <c r="F3" s="45"/>
      <c r="J3" s="46" t="s">
        <v>64</v>
      </c>
      <c r="K3" s="49">
        <f>MAX(E3:E5)</f>
        <v>0.12556869881710647</v>
      </c>
      <c r="N3" s="49"/>
      <c r="O3" s="47"/>
      <c r="P3" s="47"/>
    </row>
    <row r="4" spans="1:16" ht="15.6">
      <c r="A4">
        <v>2</v>
      </c>
      <c r="B4">
        <v>12370</v>
      </c>
      <c r="D4">
        <f t="shared" si="0"/>
        <v>1380</v>
      </c>
      <c r="E4" s="45">
        <f t="shared" si="1"/>
        <v>0.12556869881710647</v>
      </c>
      <c r="F4" s="45"/>
      <c r="J4" t="s">
        <v>65</v>
      </c>
      <c r="K4" s="45">
        <f>B30</f>
        <v>8.161137440758294E-2</v>
      </c>
      <c r="N4" s="49"/>
      <c r="O4" s="47"/>
      <c r="P4" s="47"/>
    </row>
    <row r="5" spans="1:16" ht="15.6">
      <c r="A5">
        <v>3</v>
      </c>
      <c r="B5">
        <v>12960</v>
      </c>
      <c r="D5">
        <f>B5-B4</f>
        <v>590</v>
      </c>
      <c r="E5" s="45">
        <f>D5/$B$3</f>
        <v>5.3685168334849862E-2</v>
      </c>
      <c r="F5" s="45"/>
      <c r="J5" t="s">
        <v>66</v>
      </c>
      <c r="K5" s="47">
        <f>D42</f>
        <v>4.6870993599224912E-3</v>
      </c>
      <c r="N5" s="49"/>
      <c r="O5" s="47"/>
      <c r="P5" s="47"/>
    </row>
    <row r="6" spans="1:16" ht="15.6">
      <c r="N6" s="49"/>
      <c r="O6" s="47"/>
      <c r="P6" s="47"/>
    </row>
    <row r="7" spans="1:16" ht="15.6">
      <c r="J7" t="s">
        <v>67</v>
      </c>
      <c r="K7">
        <f>(K4-K2)/(K3-K2)</f>
        <v>0.48607340929716647</v>
      </c>
      <c r="N7" s="49"/>
      <c r="O7" s="47"/>
      <c r="P7" s="47"/>
    </row>
    <row r="8" spans="1:16" ht="15.6">
      <c r="J8" t="s">
        <v>68</v>
      </c>
      <c r="K8">
        <f>K7^(-1)-1</f>
        <v>1.0573024174392529</v>
      </c>
      <c r="N8" s="49"/>
      <c r="O8" s="47"/>
      <c r="P8" s="47"/>
    </row>
    <row r="9" spans="1:16" ht="15.6">
      <c r="J9" t="s">
        <v>69</v>
      </c>
      <c r="K9">
        <f>K5/K4</f>
        <v>5.7431937569317401E-2</v>
      </c>
      <c r="N9" s="49"/>
      <c r="O9" s="47"/>
      <c r="P9" s="47"/>
    </row>
    <row r="10" spans="1:16" ht="15.6">
      <c r="J10" s="46" t="s">
        <v>70</v>
      </c>
      <c r="K10" s="46">
        <f>((K8/(K9)^2)-1)/(1+K8)</f>
        <v>155.32350495226623</v>
      </c>
      <c r="N10" s="49"/>
      <c r="O10" s="47"/>
      <c r="P10" s="47"/>
    </row>
    <row r="11" spans="1:16" ht="15.6">
      <c r="J11" s="46" t="s">
        <v>71</v>
      </c>
      <c r="K11" s="46">
        <f>K8*K10</f>
        <v>164.22391727116886</v>
      </c>
      <c r="N11" s="49"/>
      <c r="O11" s="47"/>
      <c r="P11" s="47"/>
    </row>
    <row r="12" spans="1:16" ht="15.6">
      <c r="A12" t="s">
        <v>72</v>
      </c>
      <c r="N12" s="49"/>
      <c r="O12" s="47"/>
      <c r="P12" s="47"/>
    </row>
    <row r="13" spans="1:16" ht="16.2" thickBot="1">
      <c r="N13" s="49"/>
      <c r="O13" s="47"/>
      <c r="P13" s="47"/>
    </row>
    <row r="14" spans="1:16" ht="15.6">
      <c r="A14" s="48" t="s">
        <v>73</v>
      </c>
      <c r="B14" s="48"/>
      <c r="N14" s="49"/>
      <c r="O14" s="47"/>
      <c r="P14" s="47"/>
    </row>
    <row r="15" spans="1:16" ht="15.6">
      <c r="A15" t="s">
        <v>74</v>
      </c>
      <c r="B15">
        <v>0.97969083972793991</v>
      </c>
      <c r="N15" s="49"/>
      <c r="O15" s="47"/>
      <c r="P15" s="47"/>
    </row>
    <row r="16" spans="1:16" ht="15.6">
      <c r="A16" t="s">
        <v>75</v>
      </c>
      <c r="B16">
        <v>0.95979414144683606</v>
      </c>
      <c r="N16" s="49"/>
      <c r="O16" s="47"/>
      <c r="P16" s="47"/>
    </row>
    <row r="17" spans="1:16" ht="15.6">
      <c r="A17" t="s">
        <v>76</v>
      </c>
      <c r="B17">
        <v>0.93969121217025409</v>
      </c>
      <c r="N17" s="49"/>
      <c r="O17" s="47"/>
      <c r="P17" s="47"/>
    </row>
    <row r="18" spans="1:16" ht="15.6">
      <c r="A18" t="s">
        <v>77</v>
      </c>
      <c r="B18">
        <v>278.63057980056669</v>
      </c>
      <c r="N18" s="49"/>
      <c r="O18" s="47"/>
      <c r="P18" s="47"/>
    </row>
    <row r="19" spans="1:16" ht="16.2" thickBot="1">
      <c r="A19" s="50" t="s">
        <v>78</v>
      </c>
      <c r="B19" s="50">
        <v>4</v>
      </c>
      <c r="N19" s="49"/>
      <c r="O19" s="47"/>
      <c r="P19" s="47"/>
    </row>
    <row r="20" spans="1:16" ht="15.6">
      <c r="N20" s="49"/>
      <c r="O20" s="47"/>
      <c r="P20" s="47"/>
    </row>
    <row r="21" spans="1:16" ht="16.2" thickBot="1">
      <c r="A21" t="s">
        <v>79</v>
      </c>
      <c r="N21" s="49"/>
      <c r="O21" s="47"/>
      <c r="P21" s="47"/>
    </row>
    <row r="22" spans="1:16" ht="15.6">
      <c r="A22" s="51"/>
      <c r="B22" s="51" t="s">
        <v>80</v>
      </c>
      <c r="C22" s="51" t="s">
        <v>81</v>
      </c>
      <c r="D22" s="51" t="s">
        <v>82</v>
      </c>
      <c r="E22" s="51" t="s">
        <v>83</v>
      </c>
      <c r="F22" s="51" t="s">
        <v>84</v>
      </c>
      <c r="N22" s="49"/>
      <c r="O22" s="47"/>
      <c r="P22" s="47"/>
    </row>
    <row r="23" spans="1:16" ht="15.6">
      <c r="A23" t="s">
        <v>85</v>
      </c>
      <c r="B23">
        <v>1</v>
      </c>
      <c r="C23">
        <v>3706605</v>
      </c>
      <c r="D23">
        <v>3706605</v>
      </c>
      <c r="E23">
        <v>47.743994332453163</v>
      </c>
      <c r="F23">
        <v>2.0309160272060076E-2</v>
      </c>
      <c r="N23" s="49"/>
      <c r="O23" s="47"/>
      <c r="P23" s="47"/>
    </row>
    <row r="24" spans="1:16" ht="15.6">
      <c r="A24" t="s">
        <v>86</v>
      </c>
      <c r="B24">
        <v>2</v>
      </c>
      <c r="C24">
        <v>155269.99999999994</v>
      </c>
      <c r="D24">
        <v>77634.999999999971</v>
      </c>
      <c r="N24" s="49"/>
      <c r="O24" s="47"/>
      <c r="P24" s="47"/>
    </row>
    <row r="25" spans="1:16" ht="16.2" thickBot="1">
      <c r="A25" s="50" t="s">
        <v>87</v>
      </c>
      <c r="B25" s="50">
        <v>3</v>
      </c>
      <c r="C25" s="50">
        <v>3861875</v>
      </c>
      <c r="D25" s="50"/>
      <c r="E25" s="50"/>
      <c r="F25" s="50"/>
      <c r="N25" s="49"/>
      <c r="O25" s="47"/>
      <c r="P25" s="47"/>
    </row>
    <row r="26" spans="1:16" ht="16.2" thickBot="1">
      <c r="N26" s="49"/>
      <c r="O26" s="47"/>
      <c r="P26" s="47"/>
    </row>
    <row r="27" spans="1:16" ht="15.6">
      <c r="A27" s="51"/>
      <c r="B27" s="51" t="s">
        <v>88</v>
      </c>
      <c r="C27" s="51" t="s">
        <v>77</v>
      </c>
      <c r="D27" s="51" t="s">
        <v>89</v>
      </c>
      <c r="E27" s="51" t="s">
        <v>90</v>
      </c>
      <c r="F27" s="51" t="s">
        <v>91</v>
      </c>
      <c r="G27" s="51" t="s">
        <v>92</v>
      </c>
      <c r="H27" s="51" t="s">
        <v>93</v>
      </c>
      <c r="I27" s="51" t="s">
        <v>94</v>
      </c>
      <c r="N27" s="49"/>
      <c r="O27" s="47"/>
      <c r="P27" s="47"/>
    </row>
    <row r="28" spans="1:16" ht="15.6">
      <c r="A28" t="s">
        <v>95</v>
      </c>
      <c r="B28">
        <v>10426</v>
      </c>
      <c r="C28">
        <v>233.11906828914698</v>
      </c>
      <c r="D28">
        <v>44.723926174362589</v>
      </c>
      <c r="E28">
        <v>4.9956801166891826E-4</v>
      </c>
      <c r="F28">
        <v>9422.96960446905</v>
      </c>
      <c r="G28">
        <v>11429.03039553095</v>
      </c>
      <c r="H28">
        <v>9422.96960446905</v>
      </c>
      <c r="I28">
        <v>11429.03039553095</v>
      </c>
      <c r="N28" s="49"/>
      <c r="O28" s="47"/>
      <c r="P28" s="47"/>
    </row>
    <row r="29" spans="1:16" ht="16.2" thickBot="1">
      <c r="A29" s="50" t="s">
        <v>96</v>
      </c>
      <c r="B29" s="50">
        <v>861</v>
      </c>
      <c r="C29" s="50">
        <v>124.60738340884939</v>
      </c>
      <c r="D29" s="50">
        <v>6.9097029120254634</v>
      </c>
      <c r="E29" s="50">
        <v>2.0309160272060072E-2</v>
      </c>
      <c r="F29" s="50">
        <v>324.8577016289762</v>
      </c>
      <c r="G29" s="50">
        <v>1397.1422983710238</v>
      </c>
      <c r="H29" s="50">
        <v>324.8577016289762</v>
      </c>
      <c r="I29" s="50">
        <v>1397.1422983710238</v>
      </c>
      <c r="N29" s="49"/>
      <c r="O29" s="47"/>
      <c r="P29" s="47"/>
    </row>
    <row r="30" spans="1:16" ht="15.6">
      <c r="B30" s="56">
        <f>B29/B2</f>
        <v>8.161137440758294E-2</v>
      </c>
      <c r="N30" s="49"/>
      <c r="O30" s="47"/>
      <c r="P30" s="47"/>
    </row>
    <row r="31" spans="1:16" ht="15.6">
      <c r="N31" s="49"/>
      <c r="O31" s="47"/>
      <c r="P31" s="47"/>
    </row>
    <row r="32" spans="1:16" ht="15.6">
      <c r="N32" s="49"/>
      <c r="O32" s="47"/>
      <c r="P32" s="47"/>
    </row>
    <row r="33" spans="1:4">
      <c r="A33" t="s">
        <v>97</v>
      </c>
    </row>
    <row r="34" spans="1:4" ht="15" thickBot="1"/>
    <row r="35" spans="1:4" ht="15.6">
      <c r="A35" s="51" t="s">
        <v>98</v>
      </c>
      <c r="B35" s="51" t="s">
        <v>99</v>
      </c>
      <c r="C35" s="51" t="s">
        <v>100</v>
      </c>
    </row>
    <row r="36" spans="1:4">
      <c r="A36">
        <v>1</v>
      </c>
      <c r="B36">
        <v>10426</v>
      </c>
      <c r="C36">
        <v>124</v>
      </c>
      <c r="D36" s="45">
        <f>C36/B36</f>
        <v>1.1893343564166508E-2</v>
      </c>
    </row>
    <row r="37" spans="1:4">
      <c r="A37">
        <v>2</v>
      </c>
      <c r="B37">
        <v>11287</v>
      </c>
      <c r="C37">
        <v>-297</v>
      </c>
      <c r="D37" s="45">
        <f>C37/B37</f>
        <v>-2.6313457960485516E-2</v>
      </c>
    </row>
    <row r="38" spans="1:4">
      <c r="A38">
        <v>3</v>
      </c>
      <c r="B38">
        <v>12148</v>
      </c>
      <c r="C38">
        <v>222</v>
      </c>
      <c r="D38" s="45">
        <f>C38/B38</f>
        <v>1.8274613105037866E-2</v>
      </c>
    </row>
    <row r="39" spans="1:4" ht="15" thickBot="1">
      <c r="A39" s="50">
        <v>4</v>
      </c>
      <c r="B39" s="50">
        <v>13009</v>
      </c>
      <c r="C39" s="50">
        <v>-49</v>
      </c>
      <c r="D39" s="52">
        <f>C39/B39</f>
        <v>-3.7666231070797142E-3</v>
      </c>
    </row>
    <row r="40" spans="1:4">
      <c r="D40" s="45">
        <f>SUM(D36:D39)</f>
        <v>8.7875601639143298E-5</v>
      </c>
    </row>
    <row r="41" spans="1:4">
      <c r="D41" s="45">
        <f>D40/4</f>
        <v>2.1968900409785825E-5</v>
      </c>
    </row>
    <row r="42" spans="1:4">
      <c r="D42" s="56">
        <f>D41^(0.5)</f>
        <v>4.6870993599224912E-3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 filterMode="1"/>
  <dimension ref="A1:H367"/>
  <sheetViews>
    <sheetView topLeftCell="A4" workbookViewId="0">
      <selection activeCell="F10" sqref="F10"/>
    </sheetView>
  </sheetViews>
  <sheetFormatPr defaultColWidth="11.44140625" defaultRowHeight="14.4"/>
  <cols>
    <col min="1" max="1" width="17.6640625" customWidth="1"/>
    <col min="2" max="2" width="17.109375" style="63" customWidth="1"/>
    <col min="3" max="3" width="15.44140625" customWidth="1"/>
    <col min="6" max="6" width="26.109375" customWidth="1"/>
    <col min="7" max="7" width="22.6640625" customWidth="1"/>
  </cols>
  <sheetData>
    <row r="1" spans="1:8" ht="15.6">
      <c r="A1" s="62" t="s">
        <v>135</v>
      </c>
      <c r="G1" s="44" t="s">
        <v>62</v>
      </c>
    </row>
    <row r="2" spans="1:8" ht="15.6">
      <c r="G2" s="46" t="s">
        <v>63</v>
      </c>
      <c r="H2" s="93">
        <f>MIN(C15:C365)</f>
        <v>0.98229452291527453</v>
      </c>
    </row>
    <row r="3" spans="1:8" ht="15.6">
      <c r="A3" t="s">
        <v>136</v>
      </c>
      <c r="G3" s="46" t="s">
        <v>64</v>
      </c>
      <c r="H3" s="93">
        <f>MAX(C15:C365)</f>
        <v>1.0137684854665987</v>
      </c>
    </row>
    <row r="4" spans="1:8">
      <c r="A4" t="s">
        <v>137</v>
      </c>
      <c r="G4" t="s">
        <v>65</v>
      </c>
      <c r="H4" s="94">
        <f>AVERAGE(C15:C365)</f>
        <v>1.001979543177997</v>
      </c>
    </row>
    <row r="5" spans="1:8">
      <c r="A5" t="s">
        <v>138</v>
      </c>
      <c r="G5" t="s">
        <v>66</v>
      </c>
      <c r="H5" s="47">
        <f>STDEV(C15:C365)</f>
        <v>2.56594572735158E-3</v>
      </c>
    </row>
    <row r="6" spans="1:8">
      <c r="A6" t="s">
        <v>139</v>
      </c>
    </row>
    <row r="7" spans="1:8">
      <c r="A7" t="s">
        <v>140</v>
      </c>
      <c r="G7" t="s">
        <v>67</v>
      </c>
      <c r="H7">
        <f>(H4-H2)/(H3-H2)</f>
        <v>0.62543825648335027</v>
      </c>
    </row>
    <row r="8" spans="1:8">
      <c r="A8" t="s">
        <v>141</v>
      </c>
      <c r="G8" t="s">
        <v>68</v>
      </c>
      <c r="H8">
        <f>H7^(-1)-1</f>
        <v>0.59887884956493842</v>
      </c>
    </row>
    <row r="9" spans="1:8">
      <c r="G9" t="s">
        <v>69</v>
      </c>
      <c r="H9">
        <f>H5/H4</f>
        <v>2.5608763620194506E-3</v>
      </c>
    </row>
    <row r="10" spans="1:8" ht="15.6">
      <c r="A10" t="s">
        <v>142</v>
      </c>
      <c r="B10" t="s">
        <v>143</v>
      </c>
      <c r="G10" s="46" t="s">
        <v>70</v>
      </c>
      <c r="H10" s="46">
        <f>((H8/(H9)^2)-1)/(1+H8)</f>
        <v>57113.850347656626</v>
      </c>
    </row>
    <row r="11" spans="1:8" ht="15.6">
      <c r="G11" s="46" t="s">
        <v>71</v>
      </c>
      <c r="H11" s="46">
        <f>H8*H10</f>
        <v>34204.276990428662</v>
      </c>
    </row>
    <row r="13" spans="1:8">
      <c r="A13" s="15" t="s">
        <v>5</v>
      </c>
      <c r="B13" s="64" t="s">
        <v>144</v>
      </c>
      <c r="C13" t="s">
        <v>145</v>
      </c>
      <c r="D13" t="s">
        <v>146</v>
      </c>
    </row>
    <row r="14" spans="1:8" hidden="1">
      <c r="A14" s="65">
        <v>32874</v>
      </c>
      <c r="B14" s="66">
        <v>127.5</v>
      </c>
      <c r="C14" s="67"/>
    </row>
    <row r="15" spans="1:8" hidden="1">
      <c r="A15" s="65">
        <v>32905</v>
      </c>
      <c r="B15" s="66">
        <v>128</v>
      </c>
      <c r="C15" s="67">
        <f>B15/B14</f>
        <v>1.003921568627451</v>
      </c>
      <c r="D15" s="45">
        <f>C15-1</f>
        <v>3.9215686274509665E-3</v>
      </c>
    </row>
    <row r="16" spans="1:8" hidden="1">
      <c r="A16" s="65">
        <v>32933</v>
      </c>
      <c r="B16" s="66">
        <v>128.6</v>
      </c>
      <c r="C16" s="67">
        <f t="shared" ref="C16:C79" si="0">B16/B15</f>
        <v>1.0046875</v>
      </c>
      <c r="D16" s="45">
        <f t="shared" ref="D16:D79" si="1">C16-1</f>
        <v>4.6874999999999556E-3</v>
      </c>
    </row>
    <row r="17" spans="1:4" hidden="1">
      <c r="A17" s="65">
        <v>32964</v>
      </c>
      <c r="B17" s="66">
        <v>128.9</v>
      </c>
      <c r="C17" s="67">
        <f t="shared" si="0"/>
        <v>1.0023328149300157</v>
      </c>
      <c r="D17" s="45">
        <f t="shared" si="1"/>
        <v>2.332814930015692E-3</v>
      </c>
    </row>
    <row r="18" spans="1:4" hidden="1">
      <c r="A18" s="65">
        <v>32994</v>
      </c>
      <c r="B18" s="66">
        <v>129.1</v>
      </c>
      <c r="C18" s="67">
        <f t="shared" si="0"/>
        <v>1.0015515903801395</v>
      </c>
      <c r="D18" s="45">
        <f t="shared" si="1"/>
        <v>1.5515903801395226E-3</v>
      </c>
    </row>
    <row r="19" spans="1:4" hidden="1">
      <c r="A19" s="65">
        <v>33025</v>
      </c>
      <c r="B19" s="66">
        <v>129.9</v>
      </c>
      <c r="C19" s="67">
        <f t="shared" si="0"/>
        <v>1.0061967467079784</v>
      </c>
      <c r="D19" s="45">
        <f t="shared" si="1"/>
        <v>6.1967467079784289E-3</v>
      </c>
    </row>
    <row r="20" spans="1:4" hidden="1">
      <c r="A20" s="65">
        <v>33055</v>
      </c>
      <c r="B20" s="66">
        <v>130.5</v>
      </c>
      <c r="C20" s="67">
        <f t="shared" si="0"/>
        <v>1.0046189376443417</v>
      </c>
      <c r="D20" s="45">
        <f t="shared" si="1"/>
        <v>4.6189376443417363E-3</v>
      </c>
    </row>
    <row r="21" spans="1:4" hidden="1">
      <c r="A21" s="65">
        <v>33086</v>
      </c>
      <c r="B21" s="66">
        <v>131.6</v>
      </c>
      <c r="C21" s="67">
        <f t="shared" si="0"/>
        <v>1.0084291187739463</v>
      </c>
      <c r="D21" s="45">
        <f t="shared" si="1"/>
        <v>8.4291187739462536E-3</v>
      </c>
    </row>
    <row r="22" spans="1:4" hidden="1">
      <c r="A22" s="65">
        <v>33117</v>
      </c>
      <c r="B22" s="66">
        <v>132.5</v>
      </c>
      <c r="C22" s="67">
        <f t="shared" si="0"/>
        <v>1.006838905775076</v>
      </c>
      <c r="D22" s="45">
        <f t="shared" si="1"/>
        <v>6.8389057750759541E-3</v>
      </c>
    </row>
    <row r="23" spans="1:4" hidden="1">
      <c r="A23" s="65">
        <v>33147</v>
      </c>
      <c r="B23" s="66">
        <v>133.4</v>
      </c>
      <c r="C23" s="67">
        <f t="shared" si="0"/>
        <v>1.0067924528301888</v>
      </c>
      <c r="D23" s="45">
        <f t="shared" si="1"/>
        <v>6.792452830188811E-3</v>
      </c>
    </row>
    <row r="24" spans="1:4" hidden="1">
      <c r="A24" s="65">
        <v>33178</v>
      </c>
      <c r="B24" s="66">
        <v>133.69999999999999</v>
      </c>
      <c r="C24" s="67">
        <f t="shared" si="0"/>
        <v>1.0022488755622188</v>
      </c>
      <c r="D24" s="45">
        <f t="shared" si="1"/>
        <v>2.2488755622187551E-3</v>
      </c>
    </row>
    <row r="25" spans="1:4" hidden="1">
      <c r="A25" s="65">
        <v>33208</v>
      </c>
      <c r="B25" s="66">
        <v>134.19999999999999</v>
      </c>
      <c r="C25" s="67">
        <f t="shared" si="0"/>
        <v>1.0037397157816006</v>
      </c>
      <c r="D25" s="45">
        <f t="shared" si="1"/>
        <v>3.7397157816005944E-3</v>
      </c>
    </row>
    <row r="26" spans="1:4" hidden="1">
      <c r="A26" s="65">
        <v>33239</v>
      </c>
      <c r="B26" s="66">
        <v>134.69999999999999</v>
      </c>
      <c r="C26" s="67">
        <f t="shared" si="0"/>
        <v>1.0037257824143071</v>
      </c>
      <c r="D26" s="45">
        <f t="shared" si="1"/>
        <v>3.7257824143070994E-3</v>
      </c>
    </row>
    <row r="27" spans="1:4" hidden="1">
      <c r="A27" s="65">
        <v>33270</v>
      </c>
      <c r="B27" s="66">
        <v>134.80000000000001</v>
      </c>
      <c r="C27" s="67">
        <f t="shared" si="0"/>
        <v>1.0007423904974018</v>
      </c>
      <c r="D27" s="45">
        <f t="shared" si="1"/>
        <v>7.423904974017681E-4</v>
      </c>
    </row>
    <row r="28" spans="1:4" hidden="1">
      <c r="A28" s="65">
        <v>33298</v>
      </c>
      <c r="B28" s="66">
        <v>134.80000000000001</v>
      </c>
      <c r="C28" s="67">
        <f t="shared" si="0"/>
        <v>1</v>
      </c>
      <c r="D28" s="45">
        <f t="shared" si="1"/>
        <v>0</v>
      </c>
    </row>
    <row r="29" spans="1:4" hidden="1">
      <c r="A29" s="65">
        <v>33329</v>
      </c>
      <c r="B29" s="66">
        <v>135.1</v>
      </c>
      <c r="C29" s="67">
        <f t="shared" si="0"/>
        <v>1.0022255192878338</v>
      </c>
      <c r="D29" s="45">
        <f t="shared" si="1"/>
        <v>2.225519287833766E-3</v>
      </c>
    </row>
    <row r="30" spans="1:4" hidden="1">
      <c r="A30" s="65">
        <v>33359</v>
      </c>
      <c r="B30" s="66">
        <v>135.6</v>
      </c>
      <c r="C30" s="67">
        <f t="shared" si="0"/>
        <v>1.0037009622501851</v>
      </c>
      <c r="D30" s="45">
        <f t="shared" si="1"/>
        <v>3.7009622501851247E-3</v>
      </c>
    </row>
    <row r="31" spans="1:4" hidden="1">
      <c r="A31" s="65">
        <v>33390</v>
      </c>
      <c r="B31" s="66">
        <v>136</v>
      </c>
      <c r="C31" s="67">
        <f t="shared" si="0"/>
        <v>1.0029498525073748</v>
      </c>
      <c r="D31" s="45">
        <f t="shared" si="1"/>
        <v>2.9498525073747839E-3</v>
      </c>
    </row>
    <row r="32" spans="1:4" hidden="1">
      <c r="A32" s="65">
        <v>33420</v>
      </c>
      <c r="B32" s="66">
        <v>136.19999999999999</v>
      </c>
      <c r="C32" s="67">
        <f t="shared" si="0"/>
        <v>1.0014705882352941</v>
      </c>
      <c r="D32" s="45">
        <f t="shared" si="1"/>
        <v>1.4705882352941124E-3</v>
      </c>
    </row>
    <row r="33" spans="1:4" hidden="1">
      <c r="A33" s="65">
        <v>33451</v>
      </c>
      <c r="B33" s="66">
        <v>136.6</v>
      </c>
      <c r="C33" s="67">
        <f t="shared" si="0"/>
        <v>1.0029368575624082</v>
      </c>
      <c r="D33" s="45">
        <f t="shared" si="1"/>
        <v>2.936857562408246E-3</v>
      </c>
    </row>
    <row r="34" spans="1:4" hidden="1">
      <c r="A34" s="65">
        <v>33482</v>
      </c>
      <c r="B34" s="66">
        <v>137</v>
      </c>
      <c r="C34" s="67">
        <f t="shared" si="0"/>
        <v>1.0029282576866765</v>
      </c>
      <c r="D34" s="45">
        <f t="shared" si="1"/>
        <v>2.9282576866764831E-3</v>
      </c>
    </row>
    <row r="35" spans="1:4" hidden="1">
      <c r="A35" s="65">
        <v>33512</v>
      </c>
      <c r="B35" s="66">
        <v>137.19999999999999</v>
      </c>
      <c r="C35" s="67">
        <f t="shared" si="0"/>
        <v>1.0014598540145985</v>
      </c>
      <c r="D35" s="45">
        <f t="shared" si="1"/>
        <v>1.4598540145984717E-3</v>
      </c>
    </row>
    <row r="36" spans="1:4" hidden="1">
      <c r="A36" s="65">
        <v>33543</v>
      </c>
      <c r="B36" s="66">
        <v>137.80000000000001</v>
      </c>
      <c r="C36" s="67">
        <f t="shared" si="0"/>
        <v>1.0043731778425657</v>
      </c>
      <c r="D36" s="45">
        <f t="shared" si="1"/>
        <v>4.3731778425657453E-3</v>
      </c>
    </row>
    <row r="37" spans="1:4" hidden="1">
      <c r="A37" s="65">
        <v>33573</v>
      </c>
      <c r="B37" s="66">
        <v>138.19999999999999</v>
      </c>
      <c r="C37" s="67">
        <f t="shared" si="0"/>
        <v>1.0029027576197387</v>
      </c>
      <c r="D37" s="45">
        <f t="shared" si="1"/>
        <v>2.9027576197386828E-3</v>
      </c>
    </row>
    <row r="38" spans="1:4" hidden="1">
      <c r="A38" s="65">
        <v>33604</v>
      </c>
      <c r="B38" s="66">
        <v>138.30000000000001</v>
      </c>
      <c r="C38" s="67">
        <f t="shared" si="0"/>
        <v>1.0007235890014474</v>
      </c>
      <c r="D38" s="45">
        <f t="shared" si="1"/>
        <v>7.2358900144742222E-4</v>
      </c>
    </row>
    <row r="39" spans="1:4" hidden="1">
      <c r="A39" s="65">
        <v>33635</v>
      </c>
      <c r="B39" s="66">
        <v>138.6</v>
      </c>
      <c r="C39" s="67">
        <f t="shared" si="0"/>
        <v>1.0021691973969631</v>
      </c>
      <c r="D39" s="45">
        <f t="shared" si="1"/>
        <v>2.1691973969630851E-3</v>
      </c>
    </row>
    <row r="40" spans="1:4" hidden="1">
      <c r="A40" s="65">
        <v>33664</v>
      </c>
      <c r="B40" s="66">
        <v>139.1</v>
      </c>
      <c r="C40" s="67">
        <f t="shared" si="0"/>
        <v>1.0036075036075036</v>
      </c>
      <c r="D40" s="45">
        <f t="shared" si="1"/>
        <v>3.6075036075036149E-3</v>
      </c>
    </row>
    <row r="41" spans="1:4" hidden="1">
      <c r="A41" s="65">
        <v>33695</v>
      </c>
      <c r="B41" s="66">
        <v>139.4</v>
      </c>
      <c r="C41" s="67">
        <f t="shared" si="0"/>
        <v>1.0021567217828902</v>
      </c>
      <c r="D41" s="45">
        <f t="shared" si="1"/>
        <v>2.1567217828901697E-3</v>
      </c>
    </row>
    <row r="42" spans="1:4" hidden="1">
      <c r="A42" s="65">
        <v>33725</v>
      </c>
      <c r="B42" s="66">
        <v>139.69999999999999</v>
      </c>
      <c r="C42" s="67">
        <f t="shared" si="0"/>
        <v>1.0021520803443327</v>
      </c>
      <c r="D42" s="45">
        <f t="shared" si="1"/>
        <v>2.1520803443326741E-3</v>
      </c>
    </row>
    <row r="43" spans="1:4" hidden="1">
      <c r="A43" s="65">
        <v>33756</v>
      </c>
      <c r="B43" s="66">
        <v>140.1</v>
      </c>
      <c r="C43" s="67">
        <f t="shared" si="0"/>
        <v>1.0028632784538296</v>
      </c>
      <c r="D43" s="45">
        <f t="shared" si="1"/>
        <v>2.8632784538296097E-3</v>
      </c>
    </row>
    <row r="44" spans="1:4" hidden="1">
      <c r="A44" s="65">
        <v>33786</v>
      </c>
      <c r="B44" s="66">
        <v>140.5</v>
      </c>
      <c r="C44" s="67">
        <f t="shared" si="0"/>
        <v>1.0028551034975017</v>
      </c>
      <c r="D44" s="45">
        <f t="shared" si="1"/>
        <v>2.855103497501732E-3</v>
      </c>
    </row>
    <row r="45" spans="1:4" hidden="1">
      <c r="A45" s="65">
        <v>33817</v>
      </c>
      <c r="B45" s="66">
        <v>140.80000000000001</v>
      </c>
      <c r="C45" s="67">
        <f t="shared" si="0"/>
        <v>1.002135231316726</v>
      </c>
      <c r="D45" s="45">
        <f t="shared" si="1"/>
        <v>2.135231316725994E-3</v>
      </c>
    </row>
    <row r="46" spans="1:4" hidden="1">
      <c r="A46" s="65">
        <v>33848</v>
      </c>
      <c r="B46" s="66">
        <v>141.1</v>
      </c>
      <c r="C46" s="67">
        <f t="shared" si="0"/>
        <v>1.0021306818181817</v>
      </c>
      <c r="D46" s="45">
        <f t="shared" si="1"/>
        <v>2.1306818181816567E-3</v>
      </c>
    </row>
    <row r="47" spans="1:4" hidden="1">
      <c r="A47" s="65">
        <v>33878</v>
      </c>
      <c r="B47" s="66">
        <v>141.69999999999999</v>
      </c>
      <c r="C47" s="67">
        <f t="shared" si="0"/>
        <v>1.0042523033309709</v>
      </c>
      <c r="D47" s="45">
        <f t="shared" si="1"/>
        <v>4.2523033309709302E-3</v>
      </c>
    </row>
    <row r="48" spans="1:4" hidden="1">
      <c r="A48" s="65">
        <v>33909</v>
      </c>
      <c r="B48" s="66">
        <v>142.1</v>
      </c>
      <c r="C48" s="67">
        <f t="shared" si="0"/>
        <v>1.0028228652081863</v>
      </c>
      <c r="D48" s="45">
        <f t="shared" si="1"/>
        <v>2.8228652081863093E-3</v>
      </c>
    </row>
    <row r="49" spans="1:4" hidden="1">
      <c r="A49" s="65">
        <v>33939</v>
      </c>
      <c r="B49" s="66">
        <v>142.30000000000001</v>
      </c>
      <c r="C49" s="67">
        <f t="shared" si="0"/>
        <v>1.0014074595355384</v>
      </c>
      <c r="D49" s="45">
        <f t="shared" si="1"/>
        <v>1.4074595355384467E-3</v>
      </c>
    </row>
    <row r="50" spans="1:4" hidden="1">
      <c r="A50" s="65">
        <v>33970</v>
      </c>
      <c r="B50" s="66">
        <v>142.80000000000001</v>
      </c>
      <c r="C50" s="67">
        <f t="shared" si="0"/>
        <v>1.0035137034434294</v>
      </c>
      <c r="D50" s="45">
        <f t="shared" si="1"/>
        <v>3.5137034434293835E-3</v>
      </c>
    </row>
    <row r="51" spans="1:4" hidden="1">
      <c r="A51" s="65">
        <v>34001</v>
      </c>
      <c r="B51" s="66">
        <v>143.1</v>
      </c>
      <c r="C51" s="67">
        <f t="shared" si="0"/>
        <v>1.0021008403361342</v>
      </c>
      <c r="D51" s="45">
        <f t="shared" si="1"/>
        <v>2.1008403361342243E-3</v>
      </c>
    </row>
    <row r="52" spans="1:4" hidden="1">
      <c r="A52" s="65">
        <v>34029</v>
      </c>
      <c r="B52" s="66">
        <v>143.30000000000001</v>
      </c>
      <c r="C52" s="67">
        <f t="shared" si="0"/>
        <v>1.0013976240391336</v>
      </c>
      <c r="D52" s="45">
        <f t="shared" si="1"/>
        <v>1.3976240391335715E-3</v>
      </c>
    </row>
    <row r="53" spans="1:4" hidden="1">
      <c r="A53" s="65">
        <v>34060</v>
      </c>
      <c r="B53" s="66">
        <v>143.80000000000001</v>
      </c>
      <c r="C53" s="67">
        <f t="shared" si="0"/>
        <v>1.0034891835310538</v>
      </c>
      <c r="D53" s="45">
        <f t="shared" si="1"/>
        <v>3.4891835310537633E-3</v>
      </c>
    </row>
    <row r="54" spans="1:4" hidden="1">
      <c r="A54" s="65">
        <v>34090</v>
      </c>
      <c r="B54" s="66">
        <v>144.19999999999999</v>
      </c>
      <c r="C54" s="67">
        <f t="shared" si="0"/>
        <v>1.0027816411682891</v>
      </c>
      <c r="D54" s="45">
        <f t="shared" si="1"/>
        <v>2.7816411682890507E-3</v>
      </c>
    </row>
    <row r="55" spans="1:4" hidden="1">
      <c r="A55" s="65">
        <v>34121</v>
      </c>
      <c r="B55" s="66">
        <v>144.30000000000001</v>
      </c>
      <c r="C55" s="67">
        <f t="shared" si="0"/>
        <v>1.0006934812760058</v>
      </c>
      <c r="D55" s="45">
        <f t="shared" si="1"/>
        <v>6.9348127600576959E-4</v>
      </c>
    </row>
    <row r="56" spans="1:4" hidden="1">
      <c r="A56" s="65">
        <v>34151</v>
      </c>
      <c r="B56" s="66">
        <v>144.5</v>
      </c>
      <c r="C56" s="67">
        <f t="shared" si="0"/>
        <v>1.0013860013860012</v>
      </c>
      <c r="D56" s="45">
        <f t="shared" si="1"/>
        <v>1.386001386001201E-3</v>
      </c>
    </row>
    <row r="57" spans="1:4" hidden="1">
      <c r="A57" s="65">
        <v>34182</v>
      </c>
      <c r="B57" s="66">
        <v>144.80000000000001</v>
      </c>
      <c r="C57" s="67">
        <f t="shared" si="0"/>
        <v>1.0020761245674741</v>
      </c>
      <c r="D57" s="45">
        <f t="shared" si="1"/>
        <v>2.0761245674740803E-3</v>
      </c>
    </row>
    <row r="58" spans="1:4" hidden="1">
      <c r="A58" s="65">
        <v>34213</v>
      </c>
      <c r="B58" s="66">
        <v>145</v>
      </c>
      <c r="C58" s="67">
        <f t="shared" si="0"/>
        <v>1.0013812154696131</v>
      </c>
      <c r="D58" s="45">
        <f t="shared" si="1"/>
        <v>1.3812154696131174E-3</v>
      </c>
    </row>
    <row r="59" spans="1:4" hidden="1">
      <c r="A59" s="65">
        <v>34243</v>
      </c>
      <c r="B59" s="66">
        <v>145.6</v>
      </c>
      <c r="C59" s="67">
        <f t="shared" si="0"/>
        <v>1.0041379310344827</v>
      </c>
      <c r="D59" s="45">
        <f t="shared" si="1"/>
        <v>4.1379310344826781E-3</v>
      </c>
    </row>
    <row r="60" spans="1:4" hidden="1">
      <c r="A60" s="65">
        <v>34274</v>
      </c>
      <c r="B60" s="66">
        <v>146</v>
      </c>
      <c r="C60" s="67">
        <f t="shared" si="0"/>
        <v>1.0027472527472527</v>
      </c>
      <c r="D60" s="45">
        <f t="shared" si="1"/>
        <v>2.7472527472527375E-3</v>
      </c>
    </row>
    <row r="61" spans="1:4" hidden="1">
      <c r="A61" s="65">
        <v>34304</v>
      </c>
      <c r="B61" s="66">
        <v>146.30000000000001</v>
      </c>
      <c r="C61" s="67">
        <f t="shared" si="0"/>
        <v>1.002054794520548</v>
      </c>
      <c r="D61" s="45">
        <f t="shared" si="1"/>
        <v>2.05479452054802E-3</v>
      </c>
    </row>
    <row r="62" spans="1:4" hidden="1">
      <c r="A62" s="65">
        <v>34335</v>
      </c>
      <c r="B62" s="66">
        <v>146.30000000000001</v>
      </c>
      <c r="C62" s="67">
        <f t="shared" si="0"/>
        <v>1</v>
      </c>
      <c r="D62" s="45">
        <f t="shared" si="1"/>
        <v>0</v>
      </c>
    </row>
    <row r="63" spans="1:4" hidden="1">
      <c r="A63" s="65">
        <v>34366</v>
      </c>
      <c r="B63" s="66">
        <v>146.69999999999999</v>
      </c>
      <c r="C63" s="67">
        <f t="shared" si="0"/>
        <v>1.0027341079972658</v>
      </c>
      <c r="D63" s="45">
        <f t="shared" si="1"/>
        <v>2.7341079972658111E-3</v>
      </c>
    </row>
    <row r="64" spans="1:4" hidden="1">
      <c r="A64" s="65">
        <v>34394</v>
      </c>
      <c r="B64" s="66">
        <v>147.1</v>
      </c>
      <c r="C64" s="67">
        <f t="shared" si="0"/>
        <v>1.0027266530334016</v>
      </c>
      <c r="D64" s="45">
        <f t="shared" si="1"/>
        <v>2.7266530334015826E-3</v>
      </c>
    </row>
    <row r="65" spans="1:4" hidden="1">
      <c r="A65" s="65">
        <v>34425</v>
      </c>
      <c r="B65" s="66">
        <v>147.19999999999999</v>
      </c>
      <c r="C65" s="67">
        <f t="shared" si="0"/>
        <v>1.0006798096532969</v>
      </c>
      <c r="D65" s="45">
        <f t="shared" si="1"/>
        <v>6.7980965329694776E-4</v>
      </c>
    </row>
    <row r="66" spans="1:4" hidden="1">
      <c r="A66" s="65">
        <v>34455</v>
      </c>
      <c r="B66" s="66">
        <v>147.5</v>
      </c>
      <c r="C66" s="67">
        <f t="shared" si="0"/>
        <v>1.002038043478261</v>
      </c>
      <c r="D66" s="45">
        <f t="shared" si="1"/>
        <v>2.0380434782609758E-3</v>
      </c>
    </row>
    <row r="67" spans="1:4" hidden="1">
      <c r="A67" s="65">
        <v>34486</v>
      </c>
      <c r="B67" s="66">
        <v>147.9</v>
      </c>
      <c r="C67" s="67">
        <f t="shared" si="0"/>
        <v>1.0027118644067796</v>
      </c>
      <c r="D67" s="45">
        <f t="shared" si="1"/>
        <v>2.7118644067796183E-3</v>
      </c>
    </row>
    <row r="68" spans="1:4" hidden="1">
      <c r="A68" s="65">
        <v>34516</v>
      </c>
      <c r="B68" s="66">
        <v>148.4</v>
      </c>
      <c r="C68" s="67">
        <f t="shared" si="0"/>
        <v>1.0033806626098716</v>
      </c>
      <c r="D68" s="45">
        <f t="shared" si="1"/>
        <v>3.3806626098715764E-3</v>
      </c>
    </row>
    <row r="69" spans="1:4" hidden="1">
      <c r="A69" s="65">
        <v>34547</v>
      </c>
      <c r="B69" s="66">
        <v>149</v>
      </c>
      <c r="C69" s="67">
        <f t="shared" si="0"/>
        <v>1.0040431266846361</v>
      </c>
      <c r="D69" s="45">
        <f t="shared" si="1"/>
        <v>4.0431266846361336E-3</v>
      </c>
    </row>
    <row r="70" spans="1:4" hidden="1">
      <c r="A70" s="65">
        <v>34578</v>
      </c>
      <c r="B70" s="66">
        <v>149.30000000000001</v>
      </c>
      <c r="C70" s="67">
        <f t="shared" si="0"/>
        <v>1.002013422818792</v>
      </c>
      <c r="D70" s="45">
        <f t="shared" si="1"/>
        <v>2.0134228187920211E-3</v>
      </c>
    </row>
    <row r="71" spans="1:4" hidden="1">
      <c r="A71" s="65">
        <v>34608</v>
      </c>
      <c r="B71" s="66">
        <v>149.4</v>
      </c>
      <c r="C71" s="67">
        <f t="shared" si="0"/>
        <v>1.000669792364367</v>
      </c>
      <c r="D71" s="45">
        <f t="shared" si="1"/>
        <v>6.6979236436703893E-4</v>
      </c>
    </row>
    <row r="72" spans="1:4" hidden="1">
      <c r="A72" s="65">
        <v>34639</v>
      </c>
      <c r="B72" s="66">
        <v>149.80000000000001</v>
      </c>
      <c r="C72" s="67">
        <f t="shared" si="0"/>
        <v>1.0026773761713521</v>
      </c>
      <c r="D72" s="45">
        <f t="shared" si="1"/>
        <v>2.6773761713521083E-3</v>
      </c>
    </row>
    <row r="73" spans="1:4" hidden="1">
      <c r="A73" s="65">
        <v>34669</v>
      </c>
      <c r="B73" s="66">
        <v>150.1</v>
      </c>
      <c r="C73" s="67">
        <f t="shared" si="0"/>
        <v>1.0020026702269691</v>
      </c>
      <c r="D73" s="45">
        <f t="shared" si="1"/>
        <v>2.0026702269690944E-3</v>
      </c>
    </row>
    <row r="74" spans="1:4" hidden="1">
      <c r="A74" s="65">
        <v>34700</v>
      </c>
      <c r="B74" s="66">
        <v>150.5</v>
      </c>
      <c r="C74" s="67">
        <f t="shared" si="0"/>
        <v>1.0026648900732844</v>
      </c>
      <c r="D74" s="45">
        <f t="shared" si="1"/>
        <v>2.6648900732844094E-3</v>
      </c>
    </row>
    <row r="75" spans="1:4" hidden="1">
      <c r="A75" s="65">
        <v>34731</v>
      </c>
      <c r="B75" s="66">
        <v>150.9</v>
      </c>
      <c r="C75" s="67">
        <f t="shared" si="0"/>
        <v>1.00265780730897</v>
      </c>
      <c r="D75" s="45">
        <f t="shared" si="1"/>
        <v>2.6578073089700283E-3</v>
      </c>
    </row>
    <row r="76" spans="1:4" hidden="1">
      <c r="A76" s="65">
        <v>34759</v>
      </c>
      <c r="B76" s="66">
        <v>151.19999999999999</v>
      </c>
      <c r="C76" s="67">
        <f t="shared" si="0"/>
        <v>1.0019880715705765</v>
      </c>
      <c r="D76" s="45">
        <f t="shared" si="1"/>
        <v>1.9880715705764551E-3</v>
      </c>
    </row>
    <row r="77" spans="1:4" hidden="1">
      <c r="A77" s="65">
        <v>34790</v>
      </c>
      <c r="B77" s="66">
        <v>151.80000000000001</v>
      </c>
      <c r="C77" s="67">
        <f t="shared" si="0"/>
        <v>1.0039682539682542</v>
      </c>
      <c r="D77" s="45">
        <f t="shared" si="1"/>
        <v>3.9682539682541762E-3</v>
      </c>
    </row>
    <row r="78" spans="1:4" hidden="1">
      <c r="A78" s="65">
        <v>34820</v>
      </c>
      <c r="B78" s="66">
        <v>152.1</v>
      </c>
      <c r="C78" s="67">
        <f t="shared" si="0"/>
        <v>1.0019762845849802</v>
      </c>
      <c r="D78" s="45">
        <f t="shared" si="1"/>
        <v>1.9762845849802257E-3</v>
      </c>
    </row>
    <row r="79" spans="1:4" hidden="1">
      <c r="A79" s="65">
        <v>34851</v>
      </c>
      <c r="B79" s="66">
        <v>152.4</v>
      </c>
      <c r="C79" s="67">
        <f t="shared" si="0"/>
        <v>1.0019723865877712</v>
      </c>
      <c r="D79" s="45">
        <f t="shared" si="1"/>
        <v>1.9723865877712132E-3</v>
      </c>
    </row>
    <row r="80" spans="1:4" hidden="1">
      <c r="A80" s="65">
        <v>34881</v>
      </c>
      <c r="B80" s="66">
        <v>152.6</v>
      </c>
      <c r="C80" s="67">
        <f t="shared" ref="C80:C143" si="2">B80/B79</f>
        <v>1.0013123359580052</v>
      </c>
      <c r="D80" s="45">
        <f t="shared" ref="D80:D143" si="3">C80-1</f>
        <v>1.312335958005173E-3</v>
      </c>
    </row>
    <row r="81" spans="1:4" hidden="1">
      <c r="A81" s="65">
        <v>34912</v>
      </c>
      <c r="B81" s="66">
        <v>152.9</v>
      </c>
      <c r="C81" s="67">
        <f t="shared" si="2"/>
        <v>1.0019659239842726</v>
      </c>
      <c r="D81" s="45">
        <f t="shared" si="3"/>
        <v>1.9659239842726439E-3</v>
      </c>
    </row>
    <row r="82" spans="1:4" hidden="1">
      <c r="A82" s="65">
        <v>34943</v>
      </c>
      <c r="B82" s="66">
        <v>153.1</v>
      </c>
      <c r="C82" s="67">
        <f t="shared" si="2"/>
        <v>1.0013080444735121</v>
      </c>
      <c r="D82" s="45">
        <f t="shared" si="3"/>
        <v>1.3080444735120711E-3</v>
      </c>
    </row>
    <row r="83" spans="1:4" hidden="1">
      <c r="A83" s="65">
        <v>34973</v>
      </c>
      <c r="B83" s="66">
        <v>153.5</v>
      </c>
      <c r="C83" s="67">
        <f t="shared" si="2"/>
        <v>1.0026126714565644</v>
      </c>
      <c r="D83" s="45">
        <f t="shared" si="3"/>
        <v>2.6126714565644082E-3</v>
      </c>
    </row>
    <row r="84" spans="1:4" hidden="1">
      <c r="A84" s="65">
        <v>35004</v>
      </c>
      <c r="B84" s="66">
        <v>153.69999999999999</v>
      </c>
      <c r="C84" s="67">
        <f t="shared" si="2"/>
        <v>1.0013029315960911</v>
      </c>
      <c r="D84" s="45">
        <f t="shared" si="3"/>
        <v>1.3029315960910726E-3</v>
      </c>
    </row>
    <row r="85" spans="1:4" hidden="1">
      <c r="A85" s="65">
        <v>35034</v>
      </c>
      <c r="B85" s="66">
        <v>153.9</v>
      </c>
      <c r="C85" s="67">
        <f t="shared" si="2"/>
        <v>1.0013012361743658</v>
      </c>
      <c r="D85" s="45">
        <f t="shared" si="3"/>
        <v>1.3012361743658385E-3</v>
      </c>
    </row>
    <row r="86" spans="1:4" hidden="1">
      <c r="A86" s="65">
        <v>35065</v>
      </c>
      <c r="B86" s="66">
        <v>154.69999999999999</v>
      </c>
      <c r="C86" s="67">
        <f t="shared" si="2"/>
        <v>1.0051981806367771</v>
      </c>
      <c r="D86" s="45">
        <f t="shared" si="3"/>
        <v>5.1981806367771277E-3</v>
      </c>
    </row>
    <row r="87" spans="1:4" hidden="1">
      <c r="A87" s="65">
        <v>35096</v>
      </c>
      <c r="B87" s="66">
        <v>155</v>
      </c>
      <c r="C87" s="67">
        <f t="shared" si="2"/>
        <v>1.0019392372333549</v>
      </c>
      <c r="D87" s="45">
        <f t="shared" si="3"/>
        <v>1.9392372333548735E-3</v>
      </c>
    </row>
    <row r="88" spans="1:4" hidden="1">
      <c r="A88" s="65">
        <v>35125</v>
      </c>
      <c r="B88" s="66">
        <v>155.5</v>
      </c>
      <c r="C88" s="67">
        <f t="shared" si="2"/>
        <v>1.0032258064516129</v>
      </c>
      <c r="D88" s="45">
        <f t="shared" si="3"/>
        <v>3.225806451612856E-3</v>
      </c>
    </row>
    <row r="89" spans="1:4" hidden="1">
      <c r="A89" s="65">
        <v>35156</v>
      </c>
      <c r="B89" s="66">
        <v>156.1</v>
      </c>
      <c r="C89" s="67">
        <f t="shared" si="2"/>
        <v>1.0038585209003215</v>
      </c>
      <c r="D89" s="45">
        <f t="shared" si="3"/>
        <v>3.8585209003214604E-3</v>
      </c>
    </row>
    <row r="90" spans="1:4" hidden="1">
      <c r="A90" s="65">
        <v>35186</v>
      </c>
      <c r="B90" s="66">
        <v>156.4</v>
      </c>
      <c r="C90" s="67">
        <f t="shared" si="2"/>
        <v>1.0019218449711724</v>
      </c>
      <c r="D90" s="45">
        <f t="shared" si="3"/>
        <v>1.9218449711724261E-3</v>
      </c>
    </row>
    <row r="91" spans="1:4" hidden="1">
      <c r="A91" s="65">
        <v>35217</v>
      </c>
      <c r="B91" s="66">
        <v>156.69999999999999</v>
      </c>
      <c r="C91" s="67">
        <f t="shared" si="2"/>
        <v>1.0019181585677748</v>
      </c>
      <c r="D91" s="45">
        <f t="shared" si="3"/>
        <v>1.9181585677747748E-3</v>
      </c>
    </row>
    <row r="92" spans="1:4" hidden="1">
      <c r="A92" s="65">
        <v>35247</v>
      </c>
      <c r="B92" s="66">
        <v>157</v>
      </c>
      <c r="C92" s="67">
        <f t="shared" si="2"/>
        <v>1.0019144862795151</v>
      </c>
      <c r="D92" s="45">
        <f t="shared" si="3"/>
        <v>1.9144862795150708E-3</v>
      </c>
    </row>
    <row r="93" spans="1:4" hidden="1">
      <c r="A93" s="65">
        <v>35278</v>
      </c>
      <c r="B93" s="66">
        <v>157.19999999999999</v>
      </c>
      <c r="C93" s="67">
        <f t="shared" si="2"/>
        <v>1.0012738853503185</v>
      </c>
      <c r="D93" s="45">
        <f t="shared" si="3"/>
        <v>1.2738853503184711E-3</v>
      </c>
    </row>
    <row r="94" spans="1:4" hidden="1">
      <c r="A94" s="65">
        <v>35309</v>
      </c>
      <c r="B94" s="66">
        <v>157.69999999999999</v>
      </c>
      <c r="C94" s="67">
        <f t="shared" si="2"/>
        <v>1.0031806615776082</v>
      </c>
      <c r="D94" s="45">
        <f t="shared" si="3"/>
        <v>3.1806615776082126E-3</v>
      </c>
    </row>
    <row r="95" spans="1:4" hidden="1">
      <c r="A95" s="65">
        <v>35339</v>
      </c>
      <c r="B95" s="66">
        <v>158.19999999999999</v>
      </c>
      <c r="C95" s="67">
        <f t="shared" si="2"/>
        <v>1.0031705770450221</v>
      </c>
      <c r="D95" s="45">
        <f t="shared" si="3"/>
        <v>3.1705770450221049E-3</v>
      </c>
    </row>
    <row r="96" spans="1:4" hidden="1">
      <c r="A96" s="65">
        <v>35370</v>
      </c>
      <c r="B96" s="66">
        <v>158.69999999999999</v>
      </c>
      <c r="C96" s="67">
        <f t="shared" si="2"/>
        <v>1.0031605562579013</v>
      </c>
      <c r="D96" s="45">
        <f t="shared" si="3"/>
        <v>3.160556257901348E-3</v>
      </c>
    </row>
    <row r="97" spans="1:4" hidden="1">
      <c r="A97" s="65">
        <v>35400</v>
      </c>
      <c r="B97" s="66">
        <v>159.1</v>
      </c>
      <c r="C97" s="67">
        <f t="shared" si="2"/>
        <v>1.0025204788909894</v>
      </c>
      <c r="D97" s="45">
        <f t="shared" si="3"/>
        <v>2.520478890989386E-3</v>
      </c>
    </row>
    <row r="98" spans="1:4" hidden="1">
      <c r="A98" s="65">
        <v>35431</v>
      </c>
      <c r="B98" s="66">
        <v>159.4</v>
      </c>
      <c r="C98" s="67">
        <f t="shared" si="2"/>
        <v>1.0018856065367694</v>
      </c>
      <c r="D98" s="45">
        <f t="shared" si="3"/>
        <v>1.8856065367693908E-3</v>
      </c>
    </row>
    <row r="99" spans="1:4" hidden="1">
      <c r="A99" s="65">
        <v>35462</v>
      </c>
      <c r="B99" s="66">
        <v>159.69999999999999</v>
      </c>
      <c r="C99" s="67">
        <f t="shared" si="2"/>
        <v>1.0018820577164365</v>
      </c>
      <c r="D99" s="45">
        <f t="shared" si="3"/>
        <v>1.8820577164364583E-3</v>
      </c>
    </row>
    <row r="100" spans="1:4" hidden="1">
      <c r="A100" s="65">
        <v>35490</v>
      </c>
      <c r="B100" s="66">
        <v>159.80000000000001</v>
      </c>
      <c r="C100" s="67">
        <f t="shared" si="2"/>
        <v>1.0006261740763933</v>
      </c>
      <c r="D100" s="45">
        <f t="shared" si="3"/>
        <v>6.2617407639331546E-4</v>
      </c>
    </row>
    <row r="101" spans="1:4" hidden="1">
      <c r="A101" s="65">
        <v>35521</v>
      </c>
      <c r="B101" s="66">
        <v>159.9</v>
      </c>
      <c r="C101" s="67">
        <f t="shared" si="2"/>
        <v>1.0006257822277846</v>
      </c>
      <c r="D101" s="45">
        <f t="shared" si="3"/>
        <v>6.2578222778464365E-4</v>
      </c>
    </row>
    <row r="102" spans="1:4" hidden="1">
      <c r="A102" s="65">
        <v>35551</v>
      </c>
      <c r="B102" s="66">
        <v>159.9</v>
      </c>
      <c r="C102" s="67">
        <f t="shared" si="2"/>
        <v>1</v>
      </c>
      <c r="D102" s="45">
        <f t="shared" si="3"/>
        <v>0</v>
      </c>
    </row>
    <row r="103" spans="1:4" hidden="1">
      <c r="A103" s="65">
        <v>35582</v>
      </c>
      <c r="B103" s="66">
        <v>160.19999999999999</v>
      </c>
      <c r="C103" s="67">
        <f t="shared" si="2"/>
        <v>1.0018761726078798</v>
      </c>
      <c r="D103" s="45">
        <f t="shared" si="3"/>
        <v>1.8761726078797558E-3</v>
      </c>
    </row>
    <row r="104" spans="1:4" hidden="1">
      <c r="A104" s="65">
        <v>35612</v>
      </c>
      <c r="B104" s="66">
        <v>160.4</v>
      </c>
      <c r="C104" s="67">
        <f t="shared" si="2"/>
        <v>1.0012484394506866</v>
      </c>
      <c r="D104" s="45">
        <f t="shared" si="3"/>
        <v>1.2484394506866447E-3</v>
      </c>
    </row>
    <row r="105" spans="1:4" hidden="1">
      <c r="A105" s="65">
        <v>35643</v>
      </c>
      <c r="B105" s="66">
        <v>160.80000000000001</v>
      </c>
      <c r="C105" s="67">
        <f t="shared" si="2"/>
        <v>1.0024937655860349</v>
      </c>
      <c r="D105" s="45">
        <f t="shared" si="3"/>
        <v>2.4937655860348684E-3</v>
      </c>
    </row>
    <row r="106" spans="1:4" hidden="1">
      <c r="A106" s="65">
        <v>35674</v>
      </c>
      <c r="B106" s="66">
        <v>161.19999999999999</v>
      </c>
      <c r="C106" s="67">
        <f t="shared" si="2"/>
        <v>1.0024875621890545</v>
      </c>
      <c r="D106" s="45">
        <f t="shared" si="3"/>
        <v>2.4875621890545485E-3</v>
      </c>
    </row>
    <row r="107" spans="1:4" hidden="1">
      <c r="A107" s="65">
        <v>35704</v>
      </c>
      <c r="B107" s="66">
        <v>161.5</v>
      </c>
      <c r="C107" s="67">
        <f t="shared" si="2"/>
        <v>1.0018610421836229</v>
      </c>
      <c r="D107" s="45">
        <f t="shared" si="3"/>
        <v>1.8610421836229296E-3</v>
      </c>
    </row>
    <row r="108" spans="1:4" hidden="1">
      <c r="A108" s="65">
        <v>35735</v>
      </c>
      <c r="B108" s="66">
        <v>161.69999999999999</v>
      </c>
      <c r="C108" s="67">
        <f t="shared" si="2"/>
        <v>1.0012383900928792</v>
      </c>
      <c r="D108" s="45">
        <f t="shared" si="3"/>
        <v>1.2383900928791824E-3</v>
      </c>
    </row>
    <row r="109" spans="1:4" hidden="1">
      <c r="A109" s="65">
        <v>35765</v>
      </c>
      <c r="B109" s="66">
        <v>161.80000000000001</v>
      </c>
      <c r="C109" s="67">
        <f t="shared" si="2"/>
        <v>1.0006184291898579</v>
      </c>
      <c r="D109" s="45">
        <f t="shared" si="3"/>
        <v>6.1842918985788309E-4</v>
      </c>
    </row>
    <row r="110" spans="1:4" hidden="1">
      <c r="A110" s="65">
        <v>35796</v>
      </c>
      <c r="B110" s="66">
        <v>162</v>
      </c>
      <c r="C110" s="67">
        <f t="shared" si="2"/>
        <v>1.0012360939431395</v>
      </c>
      <c r="D110" s="45">
        <f t="shared" si="3"/>
        <v>1.2360939431395046E-3</v>
      </c>
    </row>
    <row r="111" spans="1:4" hidden="1">
      <c r="A111" s="65">
        <v>35827</v>
      </c>
      <c r="B111" s="66">
        <v>162</v>
      </c>
      <c r="C111" s="67">
        <f t="shared" si="2"/>
        <v>1</v>
      </c>
      <c r="D111" s="45">
        <f t="shared" si="3"/>
        <v>0</v>
      </c>
    </row>
    <row r="112" spans="1:4" hidden="1">
      <c r="A112" s="65">
        <v>35855</v>
      </c>
      <c r="B112" s="66">
        <v>162</v>
      </c>
      <c r="C112" s="67">
        <f t="shared" si="2"/>
        <v>1</v>
      </c>
      <c r="D112" s="45">
        <f t="shared" si="3"/>
        <v>0</v>
      </c>
    </row>
    <row r="113" spans="1:4" hidden="1">
      <c r="A113" s="65">
        <v>35886</v>
      </c>
      <c r="B113" s="66">
        <v>162.19999999999999</v>
      </c>
      <c r="C113" s="67">
        <f t="shared" si="2"/>
        <v>1.0012345679012344</v>
      </c>
      <c r="D113" s="45">
        <f t="shared" si="3"/>
        <v>1.2345679012344402E-3</v>
      </c>
    </row>
    <row r="114" spans="1:4" hidden="1">
      <c r="A114" s="65">
        <v>35916</v>
      </c>
      <c r="B114" s="66">
        <v>162.6</v>
      </c>
      <c r="C114" s="67">
        <f t="shared" si="2"/>
        <v>1.0024660912453762</v>
      </c>
      <c r="D114" s="45">
        <f t="shared" si="3"/>
        <v>2.4660912453762229E-3</v>
      </c>
    </row>
    <row r="115" spans="1:4" hidden="1">
      <c r="A115" s="65">
        <v>35947</v>
      </c>
      <c r="B115" s="66">
        <v>162.80000000000001</v>
      </c>
      <c r="C115" s="67">
        <f t="shared" si="2"/>
        <v>1.0012300123001232</v>
      </c>
      <c r="D115" s="45">
        <f t="shared" si="3"/>
        <v>1.2300123001232066E-3</v>
      </c>
    </row>
    <row r="116" spans="1:4" hidden="1">
      <c r="A116" s="65">
        <v>35977</v>
      </c>
      <c r="B116" s="66">
        <v>163.19999999999999</v>
      </c>
      <c r="C116" s="67">
        <f t="shared" si="2"/>
        <v>1.0024570024570023</v>
      </c>
      <c r="D116" s="45">
        <f t="shared" si="3"/>
        <v>2.4570024570023108E-3</v>
      </c>
    </row>
    <row r="117" spans="1:4" hidden="1">
      <c r="A117" s="65">
        <v>36008</v>
      </c>
      <c r="B117" s="66">
        <v>163.4</v>
      </c>
      <c r="C117" s="67">
        <f t="shared" si="2"/>
        <v>1.0012254901960784</v>
      </c>
      <c r="D117" s="45">
        <f t="shared" si="3"/>
        <v>1.225490196078427E-3</v>
      </c>
    </row>
    <row r="118" spans="1:4" hidden="1">
      <c r="A118" s="65">
        <v>36039</v>
      </c>
      <c r="B118" s="66">
        <v>163.5</v>
      </c>
      <c r="C118" s="67">
        <f t="shared" si="2"/>
        <v>1.0006119951040391</v>
      </c>
      <c r="D118" s="45">
        <f t="shared" si="3"/>
        <v>6.1199510403908697E-4</v>
      </c>
    </row>
    <row r="119" spans="1:4" hidden="1">
      <c r="A119" s="65">
        <v>36069</v>
      </c>
      <c r="B119" s="66">
        <v>163.9</v>
      </c>
      <c r="C119" s="67">
        <f t="shared" si="2"/>
        <v>1.0024464831804281</v>
      </c>
      <c r="D119" s="45">
        <f t="shared" si="3"/>
        <v>2.4464831804280607E-3</v>
      </c>
    </row>
    <row r="120" spans="1:4" hidden="1">
      <c r="A120" s="65">
        <v>36100</v>
      </c>
      <c r="B120" s="66">
        <v>164.1</v>
      </c>
      <c r="C120" s="67">
        <f t="shared" si="2"/>
        <v>1.0012202562538133</v>
      </c>
      <c r="D120" s="45">
        <f t="shared" si="3"/>
        <v>1.2202562538132788E-3</v>
      </c>
    </row>
    <row r="121" spans="1:4" hidden="1">
      <c r="A121" s="65">
        <v>36130</v>
      </c>
      <c r="B121" s="66">
        <v>164.4</v>
      </c>
      <c r="C121" s="67">
        <f t="shared" si="2"/>
        <v>1.0018281535648996</v>
      </c>
      <c r="D121" s="45">
        <f t="shared" si="3"/>
        <v>1.8281535648996261E-3</v>
      </c>
    </row>
    <row r="122" spans="1:4" hidden="1">
      <c r="A122" s="65">
        <v>36161</v>
      </c>
      <c r="B122" s="66">
        <v>164.7</v>
      </c>
      <c r="C122" s="67">
        <f t="shared" si="2"/>
        <v>1.001824817518248</v>
      </c>
      <c r="D122" s="45">
        <f t="shared" si="3"/>
        <v>1.8248175182480342E-3</v>
      </c>
    </row>
    <row r="123" spans="1:4" hidden="1">
      <c r="A123" s="65">
        <v>36192</v>
      </c>
      <c r="B123" s="66">
        <v>164.7</v>
      </c>
      <c r="C123" s="67">
        <f t="shared" si="2"/>
        <v>1</v>
      </c>
      <c r="D123" s="45">
        <f t="shared" si="3"/>
        <v>0</v>
      </c>
    </row>
    <row r="124" spans="1:4" hidden="1">
      <c r="A124" s="65">
        <v>36220</v>
      </c>
      <c r="B124" s="66">
        <v>164.8</v>
      </c>
      <c r="C124" s="67">
        <f t="shared" si="2"/>
        <v>1.0006071645415908</v>
      </c>
      <c r="D124" s="45">
        <f t="shared" si="3"/>
        <v>6.0716454159082112E-4</v>
      </c>
    </row>
    <row r="125" spans="1:4" hidden="1">
      <c r="A125" s="65">
        <v>36251</v>
      </c>
      <c r="B125" s="66">
        <v>165.9</v>
      </c>
      <c r="C125" s="67">
        <f t="shared" si="2"/>
        <v>1.0066747572815533</v>
      </c>
      <c r="D125" s="45">
        <f t="shared" si="3"/>
        <v>6.6747572815533118E-3</v>
      </c>
    </row>
    <row r="126" spans="1:4" hidden="1">
      <c r="A126" s="65">
        <v>36281</v>
      </c>
      <c r="B126" s="66">
        <v>166</v>
      </c>
      <c r="C126" s="67">
        <f t="shared" si="2"/>
        <v>1.0006027727546714</v>
      </c>
      <c r="D126" s="45">
        <f t="shared" si="3"/>
        <v>6.027727546713546E-4</v>
      </c>
    </row>
    <row r="127" spans="1:4" hidden="1">
      <c r="A127" s="65">
        <v>36312</v>
      </c>
      <c r="B127" s="66">
        <v>166</v>
      </c>
      <c r="C127" s="67">
        <f t="shared" si="2"/>
        <v>1</v>
      </c>
      <c r="D127" s="45">
        <f t="shared" si="3"/>
        <v>0</v>
      </c>
    </row>
    <row r="128" spans="1:4" hidden="1">
      <c r="A128" s="65">
        <v>36342</v>
      </c>
      <c r="B128" s="66">
        <v>166.7</v>
      </c>
      <c r="C128" s="67">
        <f t="shared" si="2"/>
        <v>1.0042168674698795</v>
      </c>
      <c r="D128" s="45">
        <f t="shared" si="3"/>
        <v>4.2168674698794817E-3</v>
      </c>
    </row>
    <row r="129" spans="1:4" hidden="1">
      <c r="A129" s="65">
        <v>36373</v>
      </c>
      <c r="B129" s="66">
        <v>167.1</v>
      </c>
      <c r="C129" s="67">
        <f t="shared" si="2"/>
        <v>1.0023995200959808</v>
      </c>
      <c r="D129" s="45">
        <f t="shared" si="3"/>
        <v>2.3995200959807672E-3</v>
      </c>
    </row>
    <row r="130" spans="1:4" hidden="1">
      <c r="A130" s="65">
        <v>36404</v>
      </c>
      <c r="B130" s="66">
        <v>167.8</v>
      </c>
      <c r="C130" s="67">
        <f t="shared" si="2"/>
        <v>1.0041891083183723</v>
      </c>
      <c r="D130" s="45">
        <f t="shared" si="3"/>
        <v>4.1891083183722699E-3</v>
      </c>
    </row>
    <row r="131" spans="1:4" hidden="1">
      <c r="A131" s="65">
        <v>36434</v>
      </c>
      <c r="B131" s="66">
        <v>168.1</v>
      </c>
      <c r="C131" s="67">
        <f t="shared" si="2"/>
        <v>1.001787842669845</v>
      </c>
      <c r="D131" s="45">
        <f t="shared" si="3"/>
        <v>1.7878426698449967E-3</v>
      </c>
    </row>
    <row r="132" spans="1:4" hidden="1">
      <c r="A132" s="65">
        <v>36465</v>
      </c>
      <c r="B132" s="66">
        <v>168.4</v>
      </c>
      <c r="C132" s="67">
        <f t="shared" si="2"/>
        <v>1.0017846519928615</v>
      </c>
      <c r="D132" s="45">
        <f t="shared" si="3"/>
        <v>1.7846519928614857E-3</v>
      </c>
    </row>
    <row r="133" spans="1:4" hidden="1">
      <c r="A133" s="65">
        <v>36495</v>
      </c>
      <c r="B133" s="66">
        <v>168.8</v>
      </c>
      <c r="C133" s="67">
        <f t="shared" si="2"/>
        <v>1.002375296912114</v>
      </c>
      <c r="D133" s="45">
        <f t="shared" si="3"/>
        <v>2.3752969121140222E-3</v>
      </c>
    </row>
    <row r="134" spans="1:4" hidden="1">
      <c r="A134" s="65">
        <v>36526</v>
      </c>
      <c r="B134" s="66">
        <v>169.3</v>
      </c>
      <c r="C134" s="67">
        <f t="shared" si="2"/>
        <v>1.002962085308057</v>
      </c>
      <c r="D134" s="45">
        <f t="shared" si="3"/>
        <v>2.962085308056972E-3</v>
      </c>
    </row>
    <row r="135" spans="1:4" hidden="1">
      <c r="A135" s="65">
        <v>36557</v>
      </c>
      <c r="B135" s="66">
        <v>170</v>
      </c>
      <c r="C135" s="67">
        <f t="shared" si="2"/>
        <v>1.0041346721795628</v>
      </c>
      <c r="D135" s="45">
        <f t="shared" si="3"/>
        <v>4.1346721795627595E-3</v>
      </c>
    </row>
    <row r="136" spans="1:4" hidden="1">
      <c r="A136" s="65">
        <v>36586</v>
      </c>
      <c r="B136" s="66">
        <v>171</v>
      </c>
      <c r="C136" s="67">
        <f t="shared" si="2"/>
        <v>1.0058823529411764</v>
      </c>
      <c r="D136" s="45">
        <f t="shared" si="3"/>
        <v>5.8823529411764497E-3</v>
      </c>
    </row>
    <row r="137" spans="1:4">
      <c r="A137" s="65">
        <v>36617</v>
      </c>
      <c r="B137" s="66">
        <v>170.9</v>
      </c>
      <c r="C137" s="67">
        <f t="shared" si="2"/>
        <v>0.99941520467836265</v>
      </c>
      <c r="D137" s="45">
        <f t="shared" si="3"/>
        <v>-5.847953216373547E-4</v>
      </c>
    </row>
    <row r="138" spans="1:4" hidden="1">
      <c r="A138" s="65">
        <v>36647</v>
      </c>
      <c r="B138" s="66">
        <v>171.2</v>
      </c>
      <c r="C138" s="67">
        <f t="shared" si="2"/>
        <v>1.0017554125219426</v>
      </c>
      <c r="D138" s="45">
        <f t="shared" si="3"/>
        <v>1.7554125219425565E-3</v>
      </c>
    </row>
    <row r="139" spans="1:4" hidden="1">
      <c r="A139" s="65">
        <v>36678</v>
      </c>
      <c r="B139" s="66">
        <v>172.2</v>
      </c>
      <c r="C139" s="67">
        <f t="shared" si="2"/>
        <v>1.0058411214953271</v>
      </c>
      <c r="D139" s="45">
        <f t="shared" si="3"/>
        <v>5.8411214953271173E-3</v>
      </c>
    </row>
    <row r="140" spans="1:4" hidden="1">
      <c r="A140" s="65">
        <v>36708</v>
      </c>
      <c r="B140" s="66">
        <v>172.7</v>
      </c>
      <c r="C140" s="67">
        <f t="shared" si="2"/>
        <v>1.0029036004645762</v>
      </c>
      <c r="D140" s="45">
        <f t="shared" si="3"/>
        <v>2.9036004645761615E-3</v>
      </c>
    </row>
    <row r="141" spans="1:4" hidden="1">
      <c r="A141" s="65">
        <v>36739</v>
      </c>
      <c r="B141" s="66">
        <v>172.7</v>
      </c>
      <c r="C141" s="67">
        <f t="shared" si="2"/>
        <v>1</v>
      </c>
      <c r="D141" s="45">
        <f t="shared" si="3"/>
        <v>0</v>
      </c>
    </row>
    <row r="142" spans="1:4" hidden="1">
      <c r="A142" s="65">
        <v>36770</v>
      </c>
      <c r="B142" s="66">
        <v>173.6</v>
      </c>
      <c r="C142" s="67">
        <f t="shared" si="2"/>
        <v>1.0052113491603938</v>
      </c>
      <c r="D142" s="45">
        <f t="shared" si="3"/>
        <v>5.2113491603937856E-3</v>
      </c>
    </row>
    <row r="143" spans="1:4" hidden="1">
      <c r="A143" s="65">
        <v>36800</v>
      </c>
      <c r="B143" s="66">
        <v>173.9</v>
      </c>
      <c r="C143" s="67">
        <f t="shared" si="2"/>
        <v>1.0017281105990785</v>
      </c>
      <c r="D143" s="45">
        <f t="shared" si="3"/>
        <v>1.7281105990785139E-3</v>
      </c>
    </row>
    <row r="144" spans="1:4" hidden="1">
      <c r="A144" s="65">
        <v>36831</v>
      </c>
      <c r="B144" s="66">
        <v>174.2</v>
      </c>
      <c r="C144" s="67">
        <f t="shared" ref="C144:C207" si="4">B144/B143</f>
        <v>1.0017251293847038</v>
      </c>
      <c r="D144" s="45">
        <f t="shared" ref="D144:D207" si="5">C144-1</f>
        <v>1.7251293847038163E-3</v>
      </c>
    </row>
    <row r="145" spans="1:4" hidden="1">
      <c r="A145" s="65">
        <v>36861</v>
      </c>
      <c r="B145" s="66">
        <v>174.6</v>
      </c>
      <c r="C145" s="67">
        <f t="shared" si="4"/>
        <v>1.0022962112514351</v>
      </c>
      <c r="D145" s="45">
        <f t="shared" si="5"/>
        <v>2.2962112514350874E-3</v>
      </c>
    </row>
    <row r="146" spans="1:4" hidden="1">
      <c r="A146" s="65">
        <v>36892</v>
      </c>
      <c r="B146" s="66">
        <v>175.6</v>
      </c>
      <c r="C146" s="67">
        <f t="shared" si="4"/>
        <v>1.0057273768613975</v>
      </c>
      <c r="D146" s="45">
        <f t="shared" si="5"/>
        <v>5.7273768613974596E-3</v>
      </c>
    </row>
    <row r="147" spans="1:4" hidden="1">
      <c r="A147" s="65">
        <v>36923</v>
      </c>
      <c r="B147" s="66">
        <v>176</v>
      </c>
      <c r="C147" s="67">
        <f t="shared" si="4"/>
        <v>1.0022779043280183</v>
      </c>
      <c r="D147" s="45">
        <f t="shared" si="5"/>
        <v>2.277904328018332E-3</v>
      </c>
    </row>
    <row r="148" spans="1:4" hidden="1">
      <c r="A148" s="65">
        <v>36951</v>
      </c>
      <c r="B148" s="66">
        <v>176.1</v>
      </c>
      <c r="C148" s="67">
        <f t="shared" si="4"/>
        <v>1.0005681818181817</v>
      </c>
      <c r="D148" s="45">
        <f t="shared" si="5"/>
        <v>5.6818181818174551E-4</v>
      </c>
    </row>
    <row r="149" spans="1:4" hidden="1">
      <c r="A149" s="65">
        <v>36982</v>
      </c>
      <c r="B149" s="66">
        <v>176.4</v>
      </c>
      <c r="C149" s="67">
        <f t="shared" si="4"/>
        <v>1.0017035775127769</v>
      </c>
      <c r="D149" s="45">
        <f t="shared" si="5"/>
        <v>1.7035775127769437E-3</v>
      </c>
    </row>
    <row r="150" spans="1:4" hidden="1">
      <c r="A150" s="65">
        <v>37012</v>
      </c>
      <c r="B150" s="66">
        <v>177.3</v>
      </c>
      <c r="C150" s="67">
        <f t="shared" si="4"/>
        <v>1.0051020408163265</v>
      </c>
      <c r="D150" s="45">
        <f t="shared" si="5"/>
        <v>5.1020408163264808E-3</v>
      </c>
    </row>
    <row r="151" spans="1:4" hidden="1">
      <c r="A151" s="65">
        <v>37043</v>
      </c>
      <c r="B151" s="66">
        <v>177.7</v>
      </c>
      <c r="C151" s="67">
        <f t="shared" si="4"/>
        <v>1.0022560631697686</v>
      </c>
      <c r="D151" s="45">
        <f t="shared" si="5"/>
        <v>2.2560631697685629E-3</v>
      </c>
    </row>
    <row r="152" spans="1:4">
      <c r="A152" s="65">
        <v>37073</v>
      </c>
      <c r="B152" s="66">
        <v>177.4</v>
      </c>
      <c r="C152" s="67">
        <f t="shared" si="4"/>
        <v>0.99831176139561073</v>
      </c>
      <c r="D152" s="45">
        <f t="shared" si="5"/>
        <v>-1.6882386043892694E-3</v>
      </c>
    </row>
    <row r="153" spans="1:4" hidden="1">
      <c r="A153" s="65">
        <v>37104</v>
      </c>
      <c r="B153" s="66">
        <v>177.4</v>
      </c>
      <c r="C153" s="67">
        <f t="shared" si="4"/>
        <v>1</v>
      </c>
      <c r="D153" s="45">
        <f t="shared" si="5"/>
        <v>0</v>
      </c>
    </row>
    <row r="154" spans="1:4" hidden="1">
      <c r="A154" s="65">
        <v>37135</v>
      </c>
      <c r="B154" s="66">
        <v>178.1</v>
      </c>
      <c r="C154" s="67">
        <f t="shared" si="4"/>
        <v>1.0039458850056369</v>
      </c>
      <c r="D154" s="45">
        <f t="shared" si="5"/>
        <v>3.9458850056368622E-3</v>
      </c>
    </row>
    <row r="155" spans="1:4">
      <c r="A155" s="65">
        <v>37165</v>
      </c>
      <c r="B155" s="66">
        <v>177.6</v>
      </c>
      <c r="C155" s="67">
        <f t="shared" si="4"/>
        <v>0.99719258843346437</v>
      </c>
      <c r="D155" s="45">
        <f t="shared" si="5"/>
        <v>-2.8074115665356336E-3</v>
      </c>
    </row>
    <row r="156" spans="1:4">
      <c r="A156" s="65">
        <v>37196</v>
      </c>
      <c r="B156" s="66">
        <v>177.5</v>
      </c>
      <c r="C156" s="67">
        <f t="shared" si="4"/>
        <v>0.99943693693693691</v>
      </c>
      <c r="D156" s="45">
        <f t="shared" si="5"/>
        <v>-5.6306306306308507E-4</v>
      </c>
    </row>
    <row r="157" spans="1:4">
      <c r="A157" s="65">
        <v>37226</v>
      </c>
      <c r="B157" s="66">
        <v>177.4</v>
      </c>
      <c r="C157" s="67">
        <f t="shared" si="4"/>
        <v>0.99943661971830988</v>
      </c>
      <c r="D157" s="45">
        <f t="shared" si="5"/>
        <v>-5.6338028169011789E-4</v>
      </c>
    </row>
    <row r="158" spans="1:4" hidden="1">
      <c r="A158" s="65">
        <v>37257</v>
      </c>
      <c r="B158" s="66">
        <v>177.7</v>
      </c>
      <c r="C158" s="67">
        <f t="shared" si="4"/>
        <v>1.0016910935738443</v>
      </c>
      <c r="D158" s="45">
        <f t="shared" si="5"/>
        <v>1.6910935738443378E-3</v>
      </c>
    </row>
    <row r="159" spans="1:4" hidden="1">
      <c r="A159" s="65">
        <v>37288</v>
      </c>
      <c r="B159" s="66">
        <v>178</v>
      </c>
      <c r="C159" s="67">
        <f t="shared" si="4"/>
        <v>1.0016882386043895</v>
      </c>
      <c r="D159" s="45">
        <f t="shared" si="5"/>
        <v>1.6882386043894915E-3</v>
      </c>
    </row>
    <row r="160" spans="1:4" hidden="1">
      <c r="A160" s="65">
        <v>37316</v>
      </c>
      <c r="B160" s="66">
        <v>178.5</v>
      </c>
      <c r="C160" s="67">
        <f t="shared" si="4"/>
        <v>1.002808988764045</v>
      </c>
      <c r="D160" s="45">
        <f t="shared" si="5"/>
        <v>2.8089887640450062E-3</v>
      </c>
    </row>
    <row r="161" spans="1:4" hidden="1">
      <c r="A161" s="65">
        <v>37347</v>
      </c>
      <c r="B161" s="66">
        <v>179.3</v>
      </c>
      <c r="C161" s="67">
        <f t="shared" si="4"/>
        <v>1.0044817927170868</v>
      </c>
      <c r="D161" s="45">
        <f t="shared" si="5"/>
        <v>4.4817927170868188E-3</v>
      </c>
    </row>
    <row r="162" spans="1:4" hidden="1">
      <c r="A162" s="65">
        <v>37377</v>
      </c>
      <c r="B162" s="66">
        <v>179.5</v>
      </c>
      <c r="C162" s="67">
        <f t="shared" si="4"/>
        <v>1.0011154489682097</v>
      </c>
      <c r="D162" s="45">
        <f t="shared" si="5"/>
        <v>1.115448968209698E-3</v>
      </c>
    </row>
    <row r="163" spans="1:4" hidden="1">
      <c r="A163" s="65">
        <v>37408</v>
      </c>
      <c r="B163" s="66">
        <v>179.6</v>
      </c>
      <c r="C163" s="67">
        <f t="shared" si="4"/>
        <v>1.0005571030640668</v>
      </c>
      <c r="D163" s="45">
        <f t="shared" si="5"/>
        <v>5.5710306406675514E-4</v>
      </c>
    </row>
    <row r="164" spans="1:4" hidden="1">
      <c r="A164" s="65">
        <v>37438</v>
      </c>
      <c r="B164" s="66">
        <v>180</v>
      </c>
      <c r="C164" s="67">
        <f t="shared" si="4"/>
        <v>1.0022271714922049</v>
      </c>
      <c r="D164" s="45">
        <f t="shared" si="5"/>
        <v>2.2271714922048602E-3</v>
      </c>
    </row>
    <row r="165" spans="1:4" hidden="1">
      <c r="A165" s="65">
        <v>37469</v>
      </c>
      <c r="B165" s="66">
        <v>180.5</v>
      </c>
      <c r="C165" s="67">
        <f t="shared" si="4"/>
        <v>1.0027777777777778</v>
      </c>
      <c r="D165" s="45">
        <f t="shared" si="5"/>
        <v>2.7777777777777679E-3</v>
      </c>
    </row>
    <row r="166" spans="1:4" hidden="1">
      <c r="A166" s="65">
        <v>37500</v>
      </c>
      <c r="B166" s="66">
        <v>180.8</v>
      </c>
      <c r="C166" s="67">
        <f t="shared" si="4"/>
        <v>1.0016620498614959</v>
      </c>
      <c r="D166" s="45">
        <f t="shared" si="5"/>
        <v>1.6620498614958734E-3</v>
      </c>
    </row>
    <row r="167" spans="1:4" hidden="1">
      <c r="A167" s="65">
        <v>37530</v>
      </c>
      <c r="B167" s="66">
        <v>181.2</v>
      </c>
      <c r="C167" s="67">
        <f t="shared" si="4"/>
        <v>1.0022123893805308</v>
      </c>
      <c r="D167" s="45">
        <f t="shared" si="5"/>
        <v>2.2123893805308104E-3</v>
      </c>
    </row>
    <row r="168" spans="1:4" hidden="1">
      <c r="A168" s="65">
        <v>37561</v>
      </c>
      <c r="B168" s="66">
        <v>181.5</v>
      </c>
      <c r="C168" s="67">
        <f t="shared" si="4"/>
        <v>1.0016556291390728</v>
      </c>
      <c r="D168" s="45">
        <f t="shared" si="5"/>
        <v>1.6556291390728006E-3</v>
      </c>
    </row>
    <row r="169" spans="1:4" hidden="1">
      <c r="A169" s="65">
        <v>37591</v>
      </c>
      <c r="B169" s="66">
        <v>181.8</v>
      </c>
      <c r="C169" s="67">
        <f t="shared" si="4"/>
        <v>1.0016528925619836</v>
      </c>
      <c r="D169" s="45">
        <f t="shared" si="5"/>
        <v>1.6528925619836432E-3</v>
      </c>
    </row>
    <row r="170" spans="1:4" hidden="1">
      <c r="A170" s="65">
        <v>37622</v>
      </c>
      <c r="B170" s="66">
        <v>182.6</v>
      </c>
      <c r="C170" s="67">
        <f t="shared" si="4"/>
        <v>1.0044004400440043</v>
      </c>
      <c r="D170" s="45">
        <f t="shared" si="5"/>
        <v>4.4004400440043057E-3</v>
      </c>
    </row>
    <row r="171" spans="1:4" hidden="1">
      <c r="A171" s="65">
        <v>37653</v>
      </c>
      <c r="B171" s="66">
        <v>183.6</v>
      </c>
      <c r="C171" s="67">
        <f t="shared" si="4"/>
        <v>1.0054764512595837</v>
      </c>
      <c r="D171" s="45">
        <f t="shared" si="5"/>
        <v>5.4764512595837367E-3</v>
      </c>
    </row>
    <row r="172" spans="1:4" hidden="1">
      <c r="A172" s="65">
        <v>37681</v>
      </c>
      <c r="B172" s="66">
        <v>183.9</v>
      </c>
      <c r="C172" s="67">
        <f t="shared" si="4"/>
        <v>1.0016339869281046</v>
      </c>
      <c r="D172" s="45">
        <f t="shared" si="5"/>
        <v>1.6339869281045694E-3</v>
      </c>
    </row>
    <row r="173" spans="1:4">
      <c r="A173" s="65">
        <v>37712</v>
      </c>
      <c r="B173" s="66">
        <v>183.2</v>
      </c>
      <c r="C173" s="67">
        <f t="shared" si="4"/>
        <v>0.99619358346927667</v>
      </c>
      <c r="D173" s="45">
        <f t="shared" si="5"/>
        <v>-3.8064165307233333E-3</v>
      </c>
    </row>
    <row r="174" spans="1:4">
      <c r="A174" s="65">
        <v>37742</v>
      </c>
      <c r="B174" s="66">
        <v>182.9</v>
      </c>
      <c r="C174" s="67">
        <f t="shared" si="4"/>
        <v>0.9983624454148472</v>
      </c>
      <c r="D174" s="45">
        <f t="shared" si="5"/>
        <v>-1.6375545851528006E-3</v>
      </c>
    </row>
    <row r="175" spans="1:4" hidden="1">
      <c r="A175" s="65">
        <v>37773</v>
      </c>
      <c r="B175" s="66">
        <v>183.1</v>
      </c>
      <c r="C175" s="67">
        <f t="shared" si="4"/>
        <v>1.0010934937124112</v>
      </c>
      <c r="D175" s="45">
        <f t="shared" si="5"/>
        <v>1.0934937124111865E-3</v>
      </c>
    </row>
    <row r="176" spans="1:4" hidden="1">
      <c r="A176" s="65">
        <v>37803</v>
      </c>
      <c r="B176" s="66">
        <v>183.7</v>
      </c>
      <c r="C176" s="67">
        <f t="shared" si="4"/>
        <v>1.0032768978700164</v>
      </c>
      <c r="D176" s="45">
        <f t="shared" si="5"/>
        <v>3.2768978700163931E-3</v>
      </c>
    </row>
    <row r="177" spans="1:4" hidden="1">
      <c r="A177" s="65">
        <v>37834</v>
      </c>
      <c r="B177" s="66">
        <v>184.5</v>
      </c>
      <c r="C177" s="67">
        <f t="shared" si="4"/>
        <v>1.0043549265106151</v>
      </c>
      <c r="D177" s="45">
        <f t="shared" si="5"/>
        <v>4.354926510615087E-3</v>
      </c>
    </row>
    <row r="178" spans="1:4" hidden="1">
      <c r="A178" s="65">
        <v>37865</v>
      </c>
      <c r="B178" s="66">
        <v>185.1</v>
      </c>
      <c r="C178" s="67">
        <f t="shared" si="4"/>
        <v>1.0032520325203251</v>
      </c>
      <c r="D178" s="45">
        <f t="shared" si="5"/>
        <v>3.2520325203251321E-3</v>
      </c>
    </row>
    <row r="179" spans="1:4">
      <c r="A179" s="65">
        <v>37895</v>
      </c>
      <c r="B179" s="66">
        <v>184.9</v>
      </c>
      <c r="C179" s="67">
        <f t="shared" si="4"/>
        <v>0.99891950297136689</v>
      </c>
      <c r="D179" s="45">
        <f t="shared" si="5"/>
        <v>-1.0804970286331095E-3</v>
      </c>
    </row>
    <row r="180" spans="1:4" hidden="1">
      <c r="A180" s="65">
        <v>37926</v>
      </c>
      <c r="B180" s="66">
        <v>185</v>
      </c>
      <c r="C180" s="67">
        <f t="shared" si="4"/>
        <v>1.0005408328826393</v>
      </c>
      <c r="D180" s="45">
        <f t="shared" si="5"/>
        <v>5.4083288263928608E-4</v>
      </c>
    </row>
    <row r="181" spans="1:4" hidden="1">
      <c r="A181" s="65">
        <v>37956</v>
      </c>
      <c r="B181" s="66">
        <v>185.5</v>
      </c>
      <c r="C181" s="67">
        <f t="shared" si="4"/>
        <v>1.0027027027027027</v>
      </c>
      <c r="D181" s="45">
        <f t="shared" si="5"/>
        <v>2.7027027027026751E-3</v>
      </c>
    </row>
    <row r="182" spans="1:4" hidden="1">
      <c r="A182" s="65">
        <v>37987</v>
      </c>
      <c r="B182" s="66">
        <v>186.3</v>
      </c>
      <c r="C182" s="67">
        <f t="shared" si="4"/>
        <v>1.0043126684636119</v>
      </c>
      <c r="D182" s="45">
        <f t="shared" si="5"/>
        <v>4.3126684636118906E-3</v>
      </c>
    </row>
    <row r="183" spans="1:4" hidden="1">
      <c r="A183" s="65">
        <v>38018</v>
      </c>
      <c r="B183" s="66">
        <v>186.7</v>
      </c>
      <c r="C183" s="67">
        <f t="shared" si="4"/>
        <v>1.0021470746108425</v>
      </c>
      <c r="D183" s="45">
        <f t="shared" si="5"/>
        <v>2.1470746108425143E-3</v>
      </c>
    </row>
    <row r="184" spans="1:4" hidden="1">
      <c r="A184" s="65">
        <v>38047</v>
      </c>
      <c r="B184" s="66">
        <v>187.1</v>
      </c>
      <c r="C184" s="67">
        <f t="shared" si="4"/>
        <v>1.0021424745581147</v>
      </c>
      <c r="D184" s="45">
        <f t="shared" si="5"/>
        <v>2.1424745581146709E-3</v>
      </c>
    </row>
    <row r="185" spans="1:4" hidden="1">
      <c r="A185" s="65">
        <v>38078</v>
      </c>
      <c r="B185" s="66">
        <v>187.4</v>
      </c>
      <c r="C185" s="67">
        <f t="shared" si="4"/>
        <v>1.0016034206306788</v>
      </c>
      <c r="D185" s="45">
        <f t="shared" si="5"/>
        <v>1.6034206306787535E-3</v>
      </c>
    </row>
    <row r="186" spans="1:4" hidden="1">
      <c r="A186" s="65">
        <v>38108</v>
      </c>
      <c r="B186" s="66">
        <v>188.2</v>
      </c>
      <c r="C186" s="67">
        <f t="shared" si="4"/>
        <v>1.0042689434364993</v>
      </c>
      <c r="D186" s="45">
        <f t="shared" si="5"/>
        <v>4.2689434364993062E-3</v>
      </c>
    </row>
    <row r="187" spans="1:4" hidden="1">
      <c r="A187" s="65">
        <v>38139</v>
      </c>
      <c r="B187" s="66">
        <v>188.9</v>
      </c>
      <c r="C187" s="67">
        <f t="shared" si="4"/>
        <v>1.0037194473963869</v>
      </c>
      <c r="D187" s="45">
        <f t="shared" si="5"/>
        <v>3.7194473963868546E-3</v>
      </c>
    </row>
    <row r="188" spans="1:4" hidden="1">
      <c r="A188" s="65">
        <v>38169</v>
      </c>
      <c r="B188" s="66">
        <v>189.1</v>
      </c>
      <c r="C188" s="67">
        <f t="shared" si="4"/>
        <v>1.0010587612493382</v>
      </c>
      <c r="D188" s="45">
        <f t="shared" si="5"/>
        <v>1.0587612493382359E-3</v>
      </c>
    </row>
    <row r="189" spans="1:4" hidden="1">
      <c r="A189" s="65">
        <v>38200</v>
      </c>
      <c r="B189" s="66">
        <v>189.2</v>
      </c>
      <c r="C189" s="67">
        <f t="shared" si="4"/>
        <v>1.0005288207297727</v>
      </c>
      <c r="D189" s="45">
        <f t="shared" si="5"/>
        <v>5.2882072977267214E-4</v>
      </c>
    </row>
    <row r="190" spans="1:4" hidden="1">
      <c r="A190" s="65">
        <v>38231</v>
      </c>
      <c r="B190" s="66">
        <v>189.8</v>
      </c>
      <c r="C190" s="67">
        <f t="shared" si="4"/>
        <v>1.003171247357294</v>
      </c>
      <c r="D190" s="45">
        <f t="shared" si="5"/>
        <v>3.1712473572940159E-3</v>
      </c>
    </row>
    <row r="191" spans="1:4" hidden="1">
      <c r="A191" s="65">
        <v>38261</v>
      </c>
      <c r="B191" s="66">
        <v>190.8</v>
      </c>
      <c r="C191" s="67">
        <f t="shared" si="4"/>
        <v>1.0052687038988408</v>
      </c>
      <c r="D191" s="45">
        <f t="shared" si="5"/>
        <v>5.2687038988408208E-3</v>
      </c>
    </row>
    <row r="192" spans="1:4" hidden="1">
      <c r="A192" s="65">
        <v>38292</v>
      </c>
      <c r="B192" s="66">
        <v>191.7</v>
      </c>
      <c r="C192" s="67">
        <f t="shared" si="4"/>
        <v>1.0047169811320753</v>
      </c>
      <c r="D192" s="45">
        <f t="shared" si="5"/>
        <v>4.7169811320753041E-3</v>
      </c>
    </row>
    <row r="193" spans="1:4" hidden="1">
      <c r="A193" s="65">
        <v>38322</v>
      </c>
      <c r="B193" s="66">
        <v>191.7</v>
      </c>
      <c r="C193" s="67">
        <f t="shared" si="4"/>
        <v>1</v>
      </c>
      <c r="D193" s="45">
        <f t="shared" si="5"/>
        <v>0</v>
      </c>
    </row>
    <row r="194" spans="1:4">
      <c r="A194" s="65">
        <v>38353</v>
      </c>
      <c r="B194" s="66">
        <v>191.6</v>
      </c>
      <c r="C194" s="67">
        <f t="shared" si="4"/>
        <v>0.99947835159102771</v>
      </c>
      <c r="D194" s="45">
        <f t="shared" si="5"/>
        <v>-5.2164840897228615E-4</v>
      </c>
    </row>
    <row r="195" spans="1:4" hidden="1">
      <c r="A195" s="65">
        <v>38384</v>
      </c>
      <c r="B195" s="66">
        <v>192.4</v>
      </c>
      <c r="C195" s="67">
        <f t="shared" si="4"/>
        <v>1.0041753653444676</v>
      </c>
      <c r="D195" s="45">
        <f t="shared" si="5"/>
        <v>4.1753653444676075E-3</v>
      </c>
    </row>
    <row r="196" spans="1:4" hidden="1">
      <c r="A196" s="65">
        <v>38412</v>
      </c>
      <c r="B196" s="66">
        <v>193.1</v>
      </c>
      <c r="C196" s="67">
        <f t="shared" si="4"/>
        <v>1.0036382536382535</v>
      </c>
      <c r="D196" s="45">
        <f t="shared" si="5"/>
        <v>3.6382536382535413E-3</v>
      </c>
    </row>
    <row r="197" spans="1:4" hidden="1">
      <c r="A197" s="65">
        <v>38443</v>
      </c>
      <c r="B197" s="66">
        <v>193.7</v>
      </c>
      <c r="C197" s="67">
        <f t="shared" si="4"/>
        <v>1.0031071983428275</v>
      </c>
      <c r="D197" s="45">
        <f t="shared" si="5"/>
        <v>3.1071983428274663E-3</v>
      </c>
    </row>
    <row r="198" spans="1:4">
      <c r="A198" s="65">
        <v>38473</v>
      </c>
      <c r="B198" s="66">
        <v>193.6</v>
      </c>
      <c r="C198" s="67">
        <f t="shared" si="4"/>
        <v>0.99948373773877131</v>
      </c>
      <c r="D198" s="45">
        <f t="shared" si="5"/>
        <v>-5.162622612286949E-4</v>
      </c>
    </row>
    <row r="199" spans="1:4" hidden="1">
      <c r="A199" s="65">
        <v>38504</v>
      </c>
      <c r="B199" s="66">
        <v>193.7</v>
      </c>
      <c r="C199" s="67">
        <f t="shared" si="4"/>
        <v>1.0005165289256197</v>
      </c>
      <c r="D199" s="45">
        <f t="shared" si="5"/>
        <v>5.1652892561970809E-4</v>
      </c>
    </row>
    <row r="200" spans="1:4" hidden="1">
      <c r="A200" s="65">
        <v>38534</v>
      </c>
      <c r="B200" s="66">
        <v>194.9</v>
      </c>
      <c r="C200" s="67">
        <f t="shared" si="4"/>
        <v>1.0061951471347446</v>
      </c>
      <c r="D200" s="45">
        <f t="shared" si="5"/>
        <v>6.1951471347445608E-3</v>
      </c>
    </row>
    <row r="201" spans="1:4" hidden="1">
      <c r="A201" s="65">
        <v>38565</v>
      </c>
      <c r="B201" s="66">
        <v>196.1</v>
      </c>
      <c r="C201" s="67">
        <f t="shared" si="4"/>
        <v>1.0061570035915854</v>
      </c>
      <c r="D201" s="45">
        <f t="shared" si="5"/>
        <v>6.1570035915854415E-3</v>
      </c>
    </row>
    <row r="202" spans="1:4" hidden="1">
      <c r="A202" s="65">
        <v>38596</v>
      </c>
      <c r="B202" s="66">
        <v>198.8</v>
      </c>
      <c r="C202" s="67">
        <f t="shared" si="4"/>
        <v>1.0137684854665987</v>
      </c>
      <c r="D202" s="45">
        <f t="shared" si="5"/>
        <v>1.3768485466598701E-2</v>
      </c>
    </row>
    <row r="203" spans="1:4" hidden="1">
      <c r="A203" s="65">
        <v>38626</v>
      </c>
      <c r="B203" s="66">
        <v>199.1</v>
      </c>
      <c r="C203" s="67">
        <f t="shared" si="4"/>
        <v>1.0015090543259557</v>
      </c>
      <c r="D203" s="45">
        <f t="shared" si="5"/>
        <v>1.5090543259557165E-3</v>
      </c>
    </row>
    <row r="204" spans="1:4">
      <c r="A204" s="65">
        <v>38657</v>
      </c>
      <c r="B204" s="66">
        <v>198.1</v>
      </c>
      <c r="C204" s="67">
        <f t="shared" si="4"/>
        <v>0.99497739829231546</v>
      </c>
      <c r="D204" s="45">
        <f t="shared" si="5"/>
        <v>-5.0226017076845375E-3</v>
      </c>
    </row>
    <row r="205" spans="1:4" hidden="1">
      <c r="A205" s="65">
        <v>38687</v>
      </c>
      <c r="B205" s="66">
        <v>198.1</v>
      </c>
      <c r="C205" s="67">
        <f t="shared" si="4"/>
        <v>1</v>
      </c>
      <c r="D205" s="45">
        <f t="shared" si="5"/>
        <v>0</v>
      </c>
    </row>
    <row r="206" spans="1:4" hidden="1">
      <c r="A206" s="65">
        <v>38718</v>
      </c>
      <c r="B206" s="66">
        <v>199.3</v>
      </c>
      <c r="C206" s="67">
        <f t="shared" si="4"/>
        <v>1.0060575466935893</v>
      </c>
      <c r="D206" s="45">
        <f t="shared" si="5"/>
        <v>6.0575466935892663E-3</v>
      </c>
    </row>
    <row r="207" spans="1:4" hidden="1">
      <c r="A207" s="65">
        <v>38749</v>
      </c>
      <c r="B207" s="66">
        <v>199.4</v>
      </c>
      <c r="C207" s="67">
        <f t="shared" si="4"/>
        <v>1.0005017561465128</v>
      </c>
      <c r="D207" s="45">
        <f t="shared" si="5"/>
        <v>5.0175614651282174E-4</v>
      </c>
    </row>
    <row r="208" spans="1:4" hidden="1">
      <c r="A208" s="65">
        <v>38777</v>
      </c>
      <c r="B208" s="66">
        <v>199.7</v>
      </c>
      <c r="C208" s="67">
        <f t="shared" ref="C208:C271" si="6">B208/B207</f>
        <v>1.0015045135406218</v>
      </c>
      <c r="D208" s="45">
        <f t="shared" ref="D208:D271" si="7">C208-1</f>
        <v>1.5045135406217547E-3</v>
      </c>
    </row>
    <row r="209" spans="1:4" hidden="1">
      <c r="A209" s="65">
        <v>38808</v>
      </c>
      <c r="B209" s="66">
        <v>200.7</v>
      </c>
      <c r="C209" s="67">
        <f t="shared" si="6"/>
        <v>1.0050075112669004</v>
      </c>
      <c r="D209" s="45">
        <f t="shared" si="7"/>
        <v>5.0075112669003552E-3</v>
      </c>
    </row>
    <row r="210" spans="1:4" hidden="1">
      <c r="A210" s="65">
        <v>38838</v>
      </c>
      <c r="B210" s="66">
        <v>201.3</v>
      </c>
      <c r="C210" s="67">
        <f t="shared" si="6"/>
        <v>1.0029895366218238</v>
      </c>
      <c r="D210" s="45">
        <f t="shared" si="7"/>
        <v>2.989536621823774E-3</v>
      </c>
    </row>
    <row r="211" spans="1:4" hidden="1">
      <c r="A211" s="65">
        <v>38869</v>
      </c>
      <c r="B211" s="66">
        <v>201.8</v>
      </c>
      <c r="C211" s="67">
        <f t="shared" si="6"/>
        <v>1.0024838549428714</v>
      </c>
      <c r="D211" s="45">
        <f t="shared" si="7"/>
        <v>2.4838549428713996E-3</v>
      </c>
    </row>
    <row r="212" spans="1:4" hidden="1">
      <c r="A212" s="65">
        <v>38899</v>
      </c>
      <c r="B212" s="66">
        <v>202.9</v>
      </c>
      <c r="C212" s="67">
        <f t="shared" si="6"/>
        <v>1.0054509415262636</v>
      </c>
      <c r="D212" s="45">
        <f t="shared" si="7"/>
        <v>5.4509415262635752E-3</v>
      </c>
    </row>
    <row r="213" spans="1:4" hidden="1">
      <c r="A213" s="65">
        <v>38930</v>
      </c>
      <c r="B213" s="66">
        <v>203.8</v>
      </c>
      <c r="C213" s="67">
        <f t="shared" si="6"/>
        <v>1.0044356826022671</v>
      </c>
      <c r="D213" s="45">
        <f t="shared" si="7"/>
        <v>4.4356826022671214E-3</v>
      </c>
    </row>
    <row r="214" spans="1:4">
      <c r="A214" s="65">
        <v>38961</v>
      </c>
      <c r="B214" s="66">
        <v>202.8</v>
      </c>
      <c r="C214" s="67">
        <f t="shared" si="6"/>
        <v>0.99509322865554461</v>
      </c>
      <c r="D214" s="45">
        <f t="shared" si="7"/>
        <v>-4.9067713444553851E-3</v>
      </c>
    </row>
    <row r="215" spans="1:4">
      <c r="A215" s="65">
        <v>38991</v>
      </c>
      <c r="B215" s="66">
        <v>201.9</v>
      </c>
      <c r="C215" s="67">
        <f t="shared" si="6"/>
        <v>0.99556213017751471</v>
      </c>
      <c r="D215" s="45">
        <f t="shared" si="7"/>
        <v>-4.4378698224852853E-3</v>
      </c>
    </row>
    <row r="216" spans="1:4" hidden="1">
      <c r="A216" s="65">
        <v>39022</v>
      </c>
      <c r="B216" s="66">
        <v>202</v>
      </c>
      <c r="C216" s="67">
        <f t="shared" si="6"/>
        <v>1.0004952947003467</v>
      </c>
      <c r="D216" s="45">
        <f t="shared" si="7"/>
        <v>4.9529470034670453E-4</v>
      </c>
    </row>
    <row r="217" spans="1:4" hidden="1">
      <c r="A217" s="65">
        <v>39052</v>
      </c>
      <c r="B217" s="66">
        <v>203.1</v>
      </c>
      <c r="C217" s="67">
        <f t="shared" si="6"/>
        <v>1.0054455445544555</v>
      </c>
      <c r="D217" s="45">
        <f t="shared" si="7"/>
        <v>5.4455445544554504E-3</v>
      </c>
    </row>
    <row r="218" spans="1:4" hidden="1">
      <c r="A218" s="65">
        <v>39083</v>
      </c>
      <c r="B218" s="66">
        <v>203.43700000000001</v>
      </c>
      <c r="C218" s="67">
        <f t="shared" si="6"/>
        <v>1.0016592811422946</v>
      </c>
      <c r="D218" s="45">
        <f t="shared" si="7"/>
        <v>1.659281142294633E-3</v>
      </c>
    </row>
    <row r="219" spans="1:4" hidden="1">
      <c r="A219" s="65">
        <v>39114</v>
      </c>
      <c r="B219" s="66">
        <v>204.226</v>
      </c>
      <c r="C219" s="67">
        <f t="shared" si="6"/>
        <v>1.0038783505458693</v>
      </c>
      <c r="D219" s="45">
        <f t="shared" si="7"/>
        <v>3.8783505458692691E-3</v>
      </c>
    </row>
    <row r="220" spans="1:4" hidden="1">
      <c r="A220" s="65">
        <v>39142</v>
      </c>
      <c r="B220" s="66">
        <v>205.28800000000001</v>
      </c>
      <c r="C220" s="67">
        <f t="shared" si="6"/>
        <v>1.0052001214340975</v>
      </c>
      <c r="D220" s="45">
        <f t="shared" si="7"/>
        <v>5.2001214340975377E-3</v>
      </c>
    </row>
    <row r="221" spans="1:4" hidden="1">
      <c r="A221" s="65">
        <v>39173</v>
      </c>
      <c r="B221" s="66">
        <v>205.904</v>
      </c>
      <c r="C221" s="67">
        <f t="shared" si="6"/>
        <v>1.0030006624839249</v>
      </c>
      <c r="D221" s="45">
        <f t="shared" si="7"/>
        <v>3.0006624839249429E-3</v>
      </c>
    </row>
    <row r="222" spans="1:4" hidden="1">
      <c r="A222" s="65">
        <v>39203</v>
      </c>
      <c r="B222" s="66">
        <v>206.755</v>
      </c>
      <c r="C222" s="67">
        <f t="shared" si="6"/>
        <v>1.004132994016629</v>
      </c>
      <c r="D222" s="45">
        <f t="shared" si="7"/>
        <v>4.1329940166290324E-3</v>
      </c>
    </row>
    <row r="223" spans="1:4" hidden="1">
      <c r="A223" s="65">
        <v>39234</v>
      </c>
      <c r="B223" s="66">
        <v>207.23400000000001</v>
      </c>
      <c r="C223" s="67">
        <f t="shared" si="6"/>
        <v>1.0023167517109624</v>
      </c>
      <c r="D223" s="45">
        <f t="shared" si="7"/>
        <v>2.3167517109623503E-3</v>
      </c>
    </row>
    <row r="224" spans="1:4" hidden="1">
      <c r="A224" s="65">
        <v>39264</v>
      </c>
      <c r="B224" s="66">
        <v>207.60300000000001</v>
      </c>
      <c r="C224" s="67">
        <f t="shared" si="6"/>
        <v>1.0017805958481716</v>
      </c>
      <c r="D224" s="45">
        <f t="shared" si="7"/>
        <v>1.7805958481715844E-3</v>
      </c>
    </row>
    <row r="225" spans="1:4" hidden="1">
      <c r="A225" s="65">
        <v>39295</v>
      </c>
      <c r="B225" s="66">
        <v>207.667</v>
      </c>
      <c r="C225" s="67">
        <f t="shared" si="6"/>
        <v>1.000308280708853</v>
      </c>
      <c r="D225" s="45">
        <f t="shared" si="7"/>
        <v>3.0828070885302594E-4</v>
      </c>
    </row>
    <row r="226" spans="1:4" hidden="1">
      <c r="A226" s="65">
        <v>39326</v>
      </c>
      <c r="B226" s="66">
        <v>208.547</v>
      </c>
      <c r="C226" s="67">
        <f t="shared" si="6"/>
        <v>1.004237553390765</v>
      </c>
      <c r="D226" s="45">
        <f t="shared" si="7"/>
        <v>4.2375533907650365E-3</v>
      </c>
    </row>
    <row r="227" spans="1:4" hidden="1">
      <c r="A227" s="65">
        <v>39356</v>
      </c>
      <c r="B227" s="66">
        <v>209.19</v>
      </c>
      <c r="C227" s="67">
        <f t="shared" si="6"/>
        <v>1.0030832378312802</v>
      </c>
      <c r="D227" s="45">
        <f t="shared" si="7"/>
        <v>3.0832378312801723E-3</v>
      </c>
    </row>
    <row r="228" spans="1:4" hidden="1">
      <c r="A228" s="65">
        <v>39387</v>
      </c>
      <c r="B228" s="66">
        <v>210.834</v>
      </c>
      <c r="C228" s="67">
        <f t="shared" si="6"/>
        <v>1.0078588842678904</v>
      </c>
      <c r="D228" s="45">
        <f t="shared" si="7"/>
        <v>7.858884267890387E-3</v>
      </c>
    </row>
    <row r="229" spans="1:4" hidden="1">
      <c r="A229" s="65">
        <v>39417</v>
      </c>
      <c r="B229" s="66">
        <v>211.44499999999999</v>
      </c>
      <c r="C229" s="67">
        <f t="shared" si="6"/>
        <v>1.0028980145517326</v>
      </c>
      <c r="D229" s="45">
        <f t="shared" si="7"/>
        <v>2.8980145517325528E-3</v>
      </c>
    </row>
    <row r="230" spans="1:4" hidden="1">
      <c r="A230" s="65">
        <v>39448</v>
      </c>
      <c r="B230" s="66">
        <v>212.17400000000001</v>
      </c>
      <c r="C230" s="67">
        <f t="shared" si="6"/>
        <v>1.0034477050769703</v>
      </c>
      <c r="D230" s="45">
        <f t="shared" si="7"/>
        <v>3.4477050769703421E-3</v>
      </c>
    </row>
    <row r="231" spans="1:4" hidden="1">
      <c r="A231" s="65">
        <v>39479</v>
      </c>
      <c r="B231" s="66">
        <v>212.68700000000001</v>
      </c>
      <c r="C231" s="67">
        <f t="shared" si="6"/>
        <v>1.0024178268779398</v>
      </c>
      <c r="D231" s="45">
        <f t="shared" si="7"/>
        <v>2.4178268779397882E-3</v>
      </c>
    </row>
    <row r="232" spans="1:4" hidden="1">
      <c r="A232" s="65">
        <v>39508</v>
      </c>
      <c r="B232" s="66">
        <v>213.44800000000001</v>
      </c>
      <c r="C232" s="67">
        <f t="shared" si="6"/>
        <v>1.0035780278061188</v>
      </c>
      <c r="D232" s="45">
        <f t="shared" si="7"/>
        <v>3.578027806118822E-3</v>
      </c>
    </row>
    <row r="233" spans="1:4" hidden="1">
      <c r="A233" s="65">
        <v>39539</v>
      </c>
      <c r="B233" s="66">
        <v>213.94200000000001</v>
      </c>
      <c r="C233" s="67">
        <f t="shared" si="6"/>
        <v>1.0023143810202015</v>
      </c>
      <c r="D233" s="45">
        <f t="shared" si="7"/>
        <v>2.3143810202015391E-3</v>
      </c>
    </row>
    <row r="234" spans="1:4" hidden="1">
      <c r="A234" s="65">
        <v>39569</v>
      </c>
      <c r="B234" s="66">
        <v>215.208</v>
      </c>
      <c r="C234" s="67">
        <f t="shared" si="6"/>
        <v>1.0059174916566171</v>
      </c>
      <c r="D234" s="45">
        <f t="shared" si="7"/>
        <v>5.9174916566171465E-3</v>
      </c>
    </row>
    <row r="235" spans="1:4" hidden="1">
      <c r="A235" s="65">
        <v>39600</v>
      </c>
      <c r="B235" s="66">
        <v>217.46299999999999</v>
      </c>
      <c r="C235" s="67">
        <f t="shared" si="6"/>
        <v>1.0104782350098509</v>
      </c>
      <c r="D235" s="45">
        <f t="shared" si="7"/>
        <v>1.04782350098509E-2</v>
      </c>
    </row>
    <row r="236" spans="1:4" hidden="1">
      <c r="A236" s="65">
        <v>39630</v>
      </c>
      <c r="B236" s="66">
        <v>219.01599999999999</v>
      </c>
      <c r="C236" s="67">
        <f t="shared" si="6"/>
        <v>1.007141444751521</v>
      </c>
      <c r="D236" s="45">
        <f t="shared" si="7"/>
        <v>7.1414447515210089E-3</v>
      </c>
    </row>
    <row r="237" spans="1:4">
      <c r="A237" s="65">
        <v>39661</v>
      </c>
      <c r="B237" s="66">
        <v>218.69</v>
      </c>
      <c r="C237" s="67">
        <f t="shared" si="6"/>
        <v>0.99851152427219936</v>
      </c>
      <c r="D237" s="45">
        <f t="shared" si="7"/>
        <v>-1.4884757278006422E-3</v>
      </c>
    </row>
    <row r="238" spans="1:4" hidden="1">
      <c r="A238" s="65">
        <v>39692</v>
      </c>
      <c r="B238" s="66">
        <v>218.87700000000001</v>
      </c>
      <c r="C238" s="67">
        <f t="shared" si="6"/>
        <v>1.00085509168229</v>
      </c>
      <c r="D238" s="45">
        <f t="shared" si="7"/>
        <v>8.550916822900323E-4</v>
      </c>
    </row>
    <row r="239" spans="1:4">
      <c r="A239" s="65">
        <v>39722</v>
      </c>
      <c r="B239" s="66">
        <v>216.995</v>
      </c>
      <c r="C239" s="67">
        <f t="shared" si="6"/>
        <v>0.99140156343517138</v>
      </c>
      <c r="D239" s="45">
        <f t="shared" si="7"/>
        <v>-8.5984365648286154E-3</v>
      </c>
    </row>
    <row r="240" spans="1:4">
      <c r="A240" s="65">
        <v>39753</v>
      </c>
      <c r="B240" s="66">
        <v>213.15299999999999</v>
      </c>
      <c r="C240" s="67">
        <f t="shared" si="6"/>
        <v>0.98229452291527453</v>
      </c>
      <c r="D240" s="45">
        <f t="shared" si="7"/>
        <v>-1.7705477084725474E-2</v>
      </c>
    </row>
    <row r="241" spans="1:4">
      <c r="A241" s="65">
        <v>39783</v>
      </c>
      <c r="B241" s="66">
        <v>211.398</v>
      </c>
      <c r="C241" s="67">
        <f t="shared" si="6"/>
        <v>0.99176647760059677</v>
      </c>
      <c r="D241" s="45">
        <f t="shared" si="7"/>
        <v>-8.2335223994032258E-3</v>
      </c>
    </row>
    <row r="242" spans="1:4" hidden="1">
      <c r="A242" s="65">
        <v>39814</v>
      </c>
      <c r="B242" s="66">
        <v>211.93299999999999</v>
      </c>
      <c r="C242" s="67">
        <f t="shared" si="6"/>
        <v>1.0025307713412615</v>
      </c>
      <c r="D242" s="45">
        <f t="shared" si="7"/>
        <v>2.5307713412614508E-3</v>
      </c>
    </row>
    <row r="243" spans="1:4" hidden="1">
      <c r="A243" s="65">
        <v>39845</v>
      </c>
      <c r="B243" s="66">
        <v>212.70500000000001</v>
      </c>
      <c r="C243" s="67">
        <f t="shared" si="6"/>
        <v>1.0036426606521873</v>
      </c>
      <c r="D243" s="45">
        <f t="shared" si="7"/>
        <v>3.6426606521873239E-3</v>
      </c>
    </row>
    <row r="244" spans="1:4">
      <c r="A244" s="65">
        <v>39873</v>
      </c>
      <c r="B244" s="66">
        <v>212.495</v>
      </c>
      <c r="C244" s="67">
        <f t="shared" si="6"/>
        <v>0.99901271714346151</v>
      </c>
      <c r="D244" s="45">
        <f t="shared" si="7"/>
        <v>-9.8728285653848502E-4</v>
      </c>
    </row>
    <row r="245" spans="1:4" hidden="1">
      <c r="A245" s="65">
        <v>39904</v>
      </c>
      <c r="B245" s="66">
        <v>212.709</v>
      </c>
      <c r="C245" s="67">
        <f t="shared" si="6"/>
        <v>1.0010070825195887</v>
      </c>
      <c r="D245" s="45">
        <f t="shared" si="7"/>
        <v>1.0070825195886979E-3</v>
      </c>
    </row>
    <row r="246" spans="1:4" hidden="1">
      <c r="A246" s="65">
        <v>39934</v>
      </c>
      <c r="B246" s="66">
        <v>213.02199999999999</v>
      </c>
      <c r="C246" s="67">
        <f t="shared" si="6"/>
        <v>1.001471493918922</v>
      </c>
      <c r="D246" s="45">
        <f t="shared" si="7"/>
        <v>1.4714939189219844E-3</v>
      </c>
    </row>
    <row r="247" spans="1:4" hidden="1">
      <c r="A247" s="65">
        <v>39965</v>
      </c>
      <c r="B247" s="66">
        <v>214.79</v>
      </c>
      <c r="C247" s="67">
        <f t="shared" si="6"/>
        <v>1.0082996122466223</v>
      </c>
      <c r="D247" s="45">
        <f t="shared" si="7"/>
        <v>8.2996122466223454E-3</v>
      </c>
    </row>
    <row r="248" spans="1:4">
      <c r="A248" s="65">
        <v>39995</v>
      </c>
      <c r="B248" s="66">
        <v>214.726</v>
      </c>
      <c r="C248" s="67">
        <f t="shared" si="6"/>
        <v>0.99970203454536988</v>
      </c>
      <c r="D248" s="45">
        <f t="shared" si="7"/>
        <v>-2.9796545463012247E-4</v>
      </c>
    </row>
    <row r="249" spans="1:4" hidden="1">
      <c r="A249" s="65">
        <v>40026</v>
      </c>
      <c r="B249" s="66">
        <v>215.44499999999999</v>
      </c>
      <c r="C249" s="67">
        <f t="shared" si="6"/>
        <v>1.003348453377793</v>
      </c>
      <c r="D249" s="45">
        <f t="shared" si="7"/>
        <v>3.3484533777929926E-3</v>
      </c>
    </row>
    <row r="250" spans="1:4" hidden="1">
      <c r="A250" s="65">
        <v>40057</v>
      </c>
      <c r="B250" s="66">
        <v>215.86099999999999</v>
      </c>
      <c r="C250" s="67">
        <f t="shared" si="6"/>
        <v>1.0019308872334005</v>
      </c>
      <c r="D250" s="45">
        <f t="shared" si="7"/>
        <v>1.9308872334005134E-3</v>
      </c>
    </row>
    <row r="251" spans="1:4" hidden="1">
      <c r="A251" s="65">
        <v>40087</v>
      </c>
      <c r="B251" s="66">
        <v>216.50899999999999</v>
      </c>
      <c r="C251" s="67">
        <f t="shared" si="6"/>
        <v>1.0030019317987038</v>
      </c>
      <c r="D251" s="45">
        <f t="shared" si="7"/>
        <v>3.001931798703783E-3</v>
      </c>
    </row>
    <row r="252" spans="1:4" hidden="1">
      <c r="A252" s="65">
        <v>40118</v>
      </c>
      <c r="B252" s="66">
        <v>217.23400000000001</v>
      </c>
      <c r="C252" s="67">
        <f t="shared" si="6"/>
        <v>1.0033485905897677</v>
      </c>
      <c r="D252" s="45">
        <f t="shared" si="7"/>
        <v>3.3485905897676638E-3</v>
      </c>
    </row>
    <row r="253" spans="1:4" hidden="1">
      <c r="A253" s="65">
        <v>40148</v>
      </c>
      <c r="B253" s="66">
        <v>217.34700000000001</v>
      </c>
      <c r="C253" s="67">
        <f t="shared" si="6"/>
        <v>1.0005201763996427</v>
      </c>
      <c r="D253" s="45">
        <f t="shared" si="7"/>
        <v>5.2017639964274665E-4</v>
      </c>
    </row>
    <row r="254" spans="1:4" hidden="1">
      <c r="A254" s="65">
        <v>40179</v>
      </c>
      <c r="B254" s="66">
        <v>217.488</v>
      </c>
      <c r="C254" s="67">
        <f t="shared" si="6"/>
        <v>1.0006487322116246</v>
      </c>
      <c r="D254" s="45">
        <f t="shared" si="7"/>
        <v>6.4873221162464745E-4</v>
      </c>
    </row>
    <row r="255" spans="1:4">
      <c r="A255" s="65">
        <v>40210</v>
      </c>
      <c r="B255" s="66">
        <v>217.28100000000001</v>
      </c>
      <c r="C255" s="67">
        <f t="shared" si="6"/>
        <v>0.99904822335025378</v>
      </c>
      <c r="D255" s="45">
        <f t="shared" si="7"/>
        <v>-9.5177664974621656E-4</v>
      </c>
    </row>
    <row r="256" spans="1:4" hidden="1">
      <c r="A256" s="65">
        <v>40238</v>
      </c>
      <c r="B256" s="66">
        <v>217.35300000000001</v>
      </c>
      <c r="C256" s="67">
        <f t="shared" si="6"/>
        <v>1.0003313681361923</v>
      </c>
      <c r="D256" s="45">
        <f t="shared" si="7"/>
        <v>3.3136813619227823E-4</v>
      </c>
    </row>
    <row r="257" spans="1:4" hidden="1">
      <c r="A257" s="65">
        <v>40269</v>
      </c>
      <c r="B257" s="66">
        <v>217.40299999999999</v>
      </c>
      <c r="C257" s="67">
        <f t="shared" si="6"/>
        <v>1.0002300405331419</v>
      </c>
      <c r="D257" s="45">
        <f t="shared" si="7"/>
        <v>2.3004053314190642E-4</v>
      </c>
    </row>
    <row r="258" spans="1:4">
      <c r="A258" s="65">
        <v>40299</v>
      </c>
      <c r="B258" s="66">
        <v>217.29</v>
      </c>
      <c r="C258" s="67">
        <f t="shared" si="6"/>
        <v>0.99948022796373559</v>
      </c>
      <c r="D258" s="45">
        <f t="shared" si="7"/>
        <v>-5.1977203626440982E-4</v>
      </c>
    </row>
    <row r="259" spans="1:4">
      <c r="A259" s="65">
        <v>40330</v>
      </c>
      <c r="B259" s="66">
        <v>217.19900000000001</v>
      </c>
      <c r="C259" s="67">
        <f t="shared" si="6"/>
        <v>0.99958120484145618</v>
      </c>
      <c r="D259" s="45">
        <f t="shared" si="7"/>
        <v>-4.1879515854381655E-4</v>
      </c>
    </row>
    <row r="260" spans="1:4" hidden="1">
      <c r="A260" s="65">
        <v>40360</v>
      </c>
      <c r="B260" s="66">
        <v>217.60499999999999</v>
      </c>
      <c r="C260" s="67">
        <f t="shared" si="6"/>
        <v>1.0018692535416829</v>
      </c>
      <c r="D260" s="45">
        <f t="shared" si="7"/>
        <v>1.8692535416828804E-3</v>
      </c>
    </row>
    <row r="261" spans="1:4" hidden="1">
      <c r="A261" s="65">
        <v>40391</v>
      </c>
      <c r="B261" s="66">
        <v>217.923</v>
      </c>
      <c r="C261" s="67">
        <f t="shared" si="6"/>
        <v>1.0014613634796996</v>
      </c>
      <c r="D261" s="45">
        <f t="shared" si="7"/>
        <v>1.4613634796996067E-3</v>
      </c>
    </row>
    <row r="262" spans="1:4" hidden="1">
      <c r="A262" s="65">
        <v>40422</v>
      </c>
      <c r="B262" s="66">
        <v>218.27500000000001</v>
      </c>
      <c r="C262" s="67">
        <f t="shared" si="6"/>
        <v>1.0016152494229613</v>
      </c>
      <c r="D262" s="45">
        <f t="shared" si="7"/>
        <v>1.6152494229613179E-3</v>
      </c>
    </row>
    <row r="263" spans="1:4" hidden="1">
      <c r="A263" s="65">
        <v>40452</v>
      </c>
      <c r="B263" s="66">
        <v>219.035</v>
      </c>
      <c r="C263" s="67">
        <f t="shared" si="6"/>
        <v>1.0034818462948116</v>
      </c>
      <c r="D263" s="45">
        <f t="shared" si="7"/>
        <v>3.4818462948116302E-3</v>
      </c>
    </row>
    <row r="264" spans="1:4" hidden="1">
      <c r="A264" s="65">
        <v>40483</v>
      </c>
      <c r="B264" s="66">
        <v>219.59</v>
      </c>
      <c r="C264" s="67">
        <f t="shared" si="6"/>
        <v>1.0025338416234848</v>
      </c>
      <c r="D264" s="45">
        <f t="shared" si="7"/>
        <v>2.5338416234848005E-3</v>
      </c>
    </row>
    <row r="265" spans="1:4" hidden="1">
      <c r="A265" s="65">
        <v>40513</v>
      </c>
      <c r="B265" s="66">
        <v>220.47200000000001</v>
      </c>
      <c r="C265" s="67">
        <f t="shared" si="6"/>
        <v>1.0040165763468283</v>
      </c>
      <c r="D265" s="45">
        <f t="shared" si="7"/>
        <v>4.0165763468282822E-3</v>
      </c>
    </row>
    <row r="266" spans="1:4" hidden="1">
      <c r="A266" s="65">
        <v>40544</v>
      </c>
      <c r="B266" s="66">
        <v>221.18700000000001</v>
      </c>
      <c r="C266" s="67">
        <f t="shared" si="6"/>
        <v>1.0032430422003702</v>
      </c>
      <c r="D266" s="45">
        <f t="shared" si="7"/>
        <v>3.2430422003701942E-3</v>
      </c>
    </row>
    <row r="267" spans="1:4" hidden="1">
      <c r="A267" s="65">
        <v>40575</v>
      </c>
      <c r="B267" s="66">
        <v>221.898</v>
      </c>
      <c r="C267" s="67">
        <f t="shared" si="6"/>
        <v>1.0032144746300642</v>
      </c>
      <c r="D267" s="45">
        <f t="shared" si="7"/>
        <v>3.2144746300641902E-3</v>
      </c>
    </row>
    <row r="268" spans="1:4" hidden="1">
      <c r="A268" s="65">
        <v>40603</v>
      </c>
      <c r="B268" s="66">
        <v>223.04599999999999</v>
      </c>
      <c r="C268" s="67">
        <f t="shared" si="6"/>
        <v>1.0051735482068338</v>
      </c>
      <c r="D268" s="45">
        <f t="shared" si="7"/>
        <v>5.1735482068338001E-3</v>
      </c>
    </row>
    <row r="269" spans="1:4" hidden="1">
      <c r="A269" s="65">
        <v>40634</v>
      </c>
      <c r="B269" s="66">
        <v>224.09299999999999</v>
      </c>
      <c r="C269" s="67">
        <f t="shared" si="6"/>
        <v>1.0046940989750992</v>
      </c>
      <c r="D269" s="45">
        <f t="shared" si="7"/>
        <v>4.6940989750992035E-3</v>
      </c>
    </row>
    <row r="270" spans="1:4" hidden="1">
      <c r="A270" s="65">
        <v>40664</v>
      </c>
      <c r="B270" s="66">
        <v>224.80600000000001</v>
      </c>
      <c r="C270" s="67">
        <f t="shared" si="6"/>
        <v>1.0031817147345077</v>
      </c>
      <c r="D270" s="45">
        <f t="shared" si="7"/>
        <v>3.1817147345076791E-3</v>
      </c>
    </row>
    <row r="271" spans="1:4" hidden="1">
      <c r="A271" s="65">
        <v>40695</v>
      </c>
      <c r="B271" s="66">
        <v>224.80600000000001</v>
      </c>
      <c r="C271" s="67">
        <f t="shared" si="6"/>
        <v>1</v>
      </c>
      <c r="D271" s="45">
        <f t="shared" si="7"/>
        <v>0</v>
      </c>
    </row>
    <row r="272" spans="1:4" hidden="1">
      <c r="A272" s="65">
        <v>40725</v>
      </c>
      <c r="B272" s="66">
        <v>225.39500000000001</v>
      </c>
      <c r="C272" s="67">
        <f t="shared" ref="C272:C335" si="8">B272/B271</f>
        <v>1.002620036831757</v>
      </c>
      <c r="D272" s="45">
        <f t="shared" ref="D272:D335" si="9">C272-1</f>
        <v>2.6200368317570444E-3</v>
      </c>
    </row>
    <row r="273" spans="1:4" hidden="1">
      <c r="A273" s="65">
        <v>40756</v>
      </c>
      <c r="B273" s="66">
        <v>226.10599999999999</v>
      </c>
      <c r="C273" s="67">
        <f t="shared" si="8"/>
        <v>1.0031544621664188</v>
      </c>
      <c r="D273" s="45">
        <f t="shared" si="9"/>
        <v>3.1544621664187922E-3</v>
      </c>
    </row>
    <row r="274" spans="1:4" hidden="1">
      <c r="A274" s="65">
        <v>40787</v>
      </c>
      <c r="B274" s="66">
        <v>226.59700000000001</v>
      </c>
      <c r="C274" s="67">
        <f t="shared" si="8"/>
        <v>1.0021715478580844</v>
      </c>
      <c r="D274" s="45">
        <f t="shared" si="9"/>
        <v>2.1715478580843772E-3</v>
      </c>
    </row>
    <row r="275" spans="1:4" hidden="1">
      <c r="A275" s="65">
        <v>40817</v>
      </c>
      <c r="B275" s="66">
        <v>226.75</v>
      </c>
      <c r="C275" s="67">
        <f t="shared" si="8"/>
        <v>1.0006752075270193</v>
      </c>
      <c r="D275" s="45">
        <f t="shared" si="9"/>
        <v>6.7520752701932807E-4</v>
      </c>
    </row>
    <row r="276" spans="1:4" hidden="1">
      <c r="A276" s="65">
        <v>40848</v>
      </c>
      <c r="B276" s="66">
        <v>227.16900000000001</v>
      </c>
      <c r="C276" s="67">
        <f t="shared" si="8"/>
        <v>1.0018478500551269</v>
      </c>
      <c r="D276" s="45">
        <f t="shared" si="9"/>
        <v>1.8478500551268873E-3</v>
      </c>
    </row>
    <row r="277" spans="1:4" hidden="1">
      <c r="A277" s="65">
        <v>40878</v>
      </c>
      <c r="B277" s="66">
        <v>227.22300000000001</v>
      </c>
      <c r="C277" s="67">
        <f t="shared" si="8"/>
        <v>1.0002377084901548</v>
      </c>
      <c r="D277" s="45">
        <f t="shared" si="9"/>
        <v>2.3770849015480877E-4</v>
      </c>
    </row>
    <row r="278" spans="1:4" hidden="1">
      <c r="A278" s="65">
        <v>40909</v>
      </c>
      <c r="B278" s="66">
        <v>227.84200000000001</v>
      </c>
      <c r="C278" s="67">
        <f t="shared" si="8"/>
        <v>1.0027241960540967</v>
      </c>
      <c r="D278" s="45">
        <f t="shared" si="9"/>
        <v>2.7241960540966836E-3</v>
      </c>
    </row>
    <row r="279" spans="1:4" hidden="1">
      <c r="A279" s="65">
        <v>40940</v>
      </c>
      <c r="B279" s="66">
        <v>228.32900000000001</v>
      </c>
      <c r="C279" s="67">
        <f t="shared" si="8"/>
        <v>1.0021374461249462</v>
      </c>
      <c r="D279" s="45">
        <f t="shared" si="9"/>
        <v>2.1374461249461518E-3</v>
      </c>
    </row>
    <row r="280" spans="1:4" hidden="1">
      <c r="A280" s="65">
        <v>40969</v>
      </c>
      <c r="B280" s="66">
        <v>228.80699999999999</v>
      </c>
      <c r="C280" s="67">
        <f t="shared" si="8"/>
        <v>1.0020934703870292</v>
      </c>
      <c r="D280" s="45">
        <f t="shared" si="9"/>
        <v>2.0934703870292282E-3</v>
      </c>
    </row>
    <row r="281" spans="1:4" hidden="1">
      <c r="A281" s="65">
        <v>41000</v>
      </c>
      <c r="B281" s="66">
        <v>229.18700000000001</v>
      </c>
      <c r="C281" s="67">
        <f t="shared" si="8"/>
        <v>1.0016607883500068</v>
      </c>
      <c r="D281" s="45">
        <f t="shared" si="9"/>
        <v>1.6607883500068255E-3</v>
      </c>
    </row>
    <row r="282" spans="1:4">
      <c r="A282" s="65">
        <v>41030</v>
      </c>
      <c r="B282" s="66">
        <v>228.71299999999999</v>
      </c>
      <c r="C282" s="67">
        <f t="shared" si="8"/>
        <v>0.99793181986761892</v>
      </c>
      <c r="D282" s="45">
        <f t="shared" si="9"/>
        <v>-2.0681801323810811E-3</v>
      </c>
    </row>
    <row r="283" spans="1:4">
      <c r="A283" s="65">
        <v>41061</v>
      </c>
      <c r="B283" s="66">
        <v>228.524</v>
      </c>
      <c r="C283" s="67">
        <f t="shared" si="8"/>
        <v>0.99917363682868932</v>
      </c>
      <c r="D283" s="45">
        <f t="shared" si="9"/>
        <v>-8.2636317131068449E-4</v>
      </c>
    </row>
    <row r="284" spans="1:4" hidden="1">
      <c r="A284" s="65">
        <v>41091</v>
      </c>
      <c r="B284" s="66">
        <v>228.59</v>
      </c>
      <c r="C284" s="67">
        <f t="shared" si="8"/>
        <v>1.00028880992806</v>
      </c>
      <c r="D284" s="45">
        <f t="shared" si="9"/>
        <v>2.8880992806001871E-4</v>
      </c>
    </row>
    <row r="285" spans="1:4" hidden="1">
      <c r="A285" s="65">
        <v>41122</v>
      </c>
      <c r="B285" s="66">
        <v>229.91800000000001</v>
      </c>
      <c r="C285" s="67">
        <f t="shared" si="8"/>
        <v>1.0058095279758519</v>
      </c>
      <c r="D285" s="45">
        <f t="shared" si="9"/>
        <v>5.8095279758518803E-3</v>
      </c>
    </row>
    <row r="286" spans="1:4" hidden="1">
      <c r="A286" s="65">
        <v>41153</v>
      </c>
      <c r="B286" s="66">
        <v>231.01499999999999</v>
      </c>
      <c r="C286" s="67">
        <f t="shared" si="8"/>
        <v>1.0047712662775423</v>
      </c>
      <c r="D286" s="45">
        <f t="shared" si="9"/>
        <v>4.7712662775423187E-3</v>
      </c>
    </row>
    <row r="287" spans="1:4" hidden="1">
      <c r="A287" s="65">
        <v>41183</v>
      </c>
      <c r="B287" s="66">
        <v>231.63800000000001</v>
      </c>
      <c r="C287" s="67">
        <f t="shared" si="8"/>
        <v>1.0026967945804386</v>
      </c>
      <c r="D287" s="45">
        <f t="shared" si="9"/>
        <v>2.6967945804385884E-3</v>
      </c>
    </row>
    <row r="288" spans="1:4">
      <c r="A288" s="65">
        <v>41214</v>
      </c>
      <c r="B288" s="66">
        <v>231.249</v>
      </c>
      <c r="C288" s="67">
        <f t="shared" si="8"/>
        <v>0.99832065550557336</v>
      </c>
      <c r="D288" s="45">
        <f t="shared" si="9"/>
        <v>-1.6793444944266378E-3</v>
      </c>
    </row>
    <row r="289" spans="1:4">
      <c r="A289" s="65">
        <v>41244</v>
      </c>
      <c r="B289" s="66">
        <v>231.221</v>
      </c>
      <c r="C289" s="67">
        <f t="shared" si="8"/>
        <v>0.99987891839532284</v>
      </c>
      <c r="D289" s="45">
        <f t="shared" si="9"/>
        <v>-1.2108160467716456E-4</v>
      </c>
    </row>
    <row r="290" spans="1:4" hidden="1">
      <c r="A290" s="65">
        <v>41275</v>
      </c>
      <c r="B290" s="66">
        <v>231.679</v>
      </c>
      <c r="C290" s="67">
        <f t="shared" si="8"/>
        <v>1.0019807889421808</v>
      </c>
      <c r="D290" s="45">
        <f t="shared" si="9"/>
        <v>1.9807889421807889E-3</v>
      </c>
    </row>
    <row r="291" spans="1:4" hidden="1">
      <c r="A291" s="65">
        <v>41306</v>
      </c>
      <c r="B291" s="66">
        <v>232.93700000000001</v>
      </c>
      <c r="C291" s="67">
        <f t="shared" si="8"/>
        <v>1.005429926752101</v>
      </c>
      <c r="D291" s="45">
        <f t="shared" si="9"/>
        <v>5.4299267521009664E-3</v>
      </c>
    </row>
    <row r="292" spans="1:4">
      <c r="A292" s="65">
        <v>41334</v>
      </c>
      <c r="B292" s="66">
        <v>232.28200000000001</v>
      </c>
      <c r="C292" s="67">
        <f t="shared" si="8"/>
        <v>0.99718808089741007</v>
      </c>
      <c r="D292" s="45">
        <f t="shared" si="9"/>
        <v>-2.8119191025899326E-3</v>
      </c>
    </row>
    <row r="293" spans="1:4">
      <c r="A293" s="65">
        <v>41365</v>
      </c>
      <c r="B293" s="66">
        <v>231.797</v>
      </c>
      <c r="C293" s="67">
        <f t="shared" si="8"/>
        <v>0.99791202073341878</v>
      </c>
      <c r="D293" s="45">
        <f t="shared" si="9"/>
        <v>-2.0879792665812191E-3</v>
      </c>
    </row>
    <row r="294" spans="1:4" hidden="1">
      <c r="A294" s="65">
        <v>41395</v>
      </c>
      <c r="B294" s="66">
        <v>231.893</v>
      </c>
      <c r="C294" s="67">
        <f t="shared" si="8"/>
        <v>1.0004141554895016</v>
      </c>
      <c r="D294" s="45">
        <f t="shared" si="9"/>
        <v>4.1415548950163306E-4</v>
      </c>
    </row>
    <row r="295" spans="1:4" hidden="1">
      <c r="A295" s="65">
        <v>41426</v>
      </c>
      <c r="B295" s="66">
        <v>232.44499999999999</v>
      </c>
      <c r="C295" s="67">
        <f t="shared" si="8"/>
        <v>1.0023804082055086</v>
      </c>
      <c r="D295" s="45">
        <f t="shared" si="9"/>
        <v>2.3804082055085551E-3</v>
      </c>
    </row>
    <row r="296" spans="1:4" hidden="1">
      <c r="A296" s="65">
        <v>41456</v>
      </c>
      <c r="B296" s="66">
        <v>232.9</v>
      </c>
      <c r="C296" s="67">
        <f t="shared" si="8"/>
        <v>1.0019574523005443</v>
      </c>
      <c r="D296" s="45">
        <f t="shared" si="9"/>
        <v>1.9574523005443378E-3</v>
      </c>
    </row>
    <row r="297" spans="1:4" hidden="1">
      <c r="A297" s="65">
        <v>41487</v>
      </c>
      <c r="B297" s="66">
        <v>233.45599999999999</v>
      </c>
      <c r="C297" s="67">
        <f t="shared" si="8"/>
        <v>1.0023872906826963</v>
      </c>
      <c r="D297" s="45">
        <f t="shared" si="9"/>
        <v>2.3872906826962748E-3</v>
      </c>
    </row>
    <row r="298" spans="1:4" hidden="1">
      <c r="A298" s="65">
        <v>41518</v>
      </c>
      <c r="B298" s="66">
        <v>233.54400000000001</v>
      </c>
      <c r="C298" s="67">
        <f t="shared" si="8"/>
        <v>1.0003769446919335</v>
      </c>
      <c r="D298" s="45">
        <f t="shared" si="9"/>
        <v>3.7694469193350066E-4</v>
      </c>
    </row>
    <row r="299" spans="1:4" hidden="1">
      <c r="A299" s="65">
        <v>41548</v>
      </c>
      <c r="B299" s="66">
        <v>233.66900000000001</v>
      </c>
      <c r="C299" s="67">
        <f t="shared" si="8"/>
        <v>1.0005352310485391</v>
      </c>
      <c r="D299" s="45">
        <f t="shared" si="9"/>
        <v>5.3523104853914205E-4</v>
      </c>
    </row>
    <row r="300" spans="1:4" hidden="1">
      <c r="A300" s="65">
        <v>41579</v>
      </c>
      <c r="B300" s="66">
        <v>234.1</v>
      </c>
      <c r="C300" s="67">
        <f t="shared" si="8"/>
        <v>1.0018444894273524</v>
      </c>
      <c r="D300" s="45">
        <f t="shared" si="9"/>
        <v>1.8444894273523804E-3</v>
      </c>
    </row>
    <row r="301" spans="1:4" hidden="1">
      <c r="A301" s="65">
        <v>41609</v>
      </c>
      <c r="B301" s="66">
        <v>234.71899999999999</v>
      </c>
      <c r="C301" s="67">
        <f t="shared" si="8"/>
        <v>1.0026441691584793</v>
      </c>
      <c r="D301" s="45">
        <f t="shared" si="9"/>
        <v>2.6441691584793148E-3</v>
      </c>
    </row>
    <row r="302" spans="1:4" hidden="1">
      <c r="A302" s="65">
        <v>41640</v>
      </c>
      <c r="B302" s="66">
        <v>235.34700000000001</v>
      </c>
      <c r="C302" s="67">
        <f t="shared" si="8"/>
        <v>1.0026755396878821</v>
      </c>
      <c r="D302" s="45">
        <f t="shared" si="9"/>
        <v>2.6755396878821447E-3</v>
      </c>
    </row>
    <row r="303" spans="1:4" hidden="1">
      <c r="A303" s="65">
        <v>41671</v>
      </c>
      <c r="B303" s="66">
        <v>235.52199999999999</v>
      </c>
      <c r="C303" s="67">
        <f t="shared" si="8"/>
        <v>1.0007435828797477</v>
      </c>
      <c r="D303" s="45">
        <f t="shared" si="9"/>
        <v>7.4358287974773951E-4</v>
      </c>
    </row>
    <row r="304" spans="1:4" hidden="1">
      <c r="A304" s="65">
        <v>41699</v>
      </c>
      <c r="B304" s="66">
        <v>235.95599999999999</v>
      </c>
      <c r="C304" s="67">
        <f t="shared" si="8"/>
        <v>1.0018427153302027</v>
      </c>
      <c r="D304" s="45">
        <f t="shared" si="9"/>
        <v>1.8427153302027488E-3</v>
      </c>
    </row>
    <row r="305" spans="1:4" hidden="1">
      <c r="A305" s="65">
        <v>41730</v>
      </c>
      <c r="B305" s="66">
        <v>236.46299999999999</v>
      </c>
      <c r="C305" s="67">
        <f t="shared" si="8"/>
        <v>1.0021487056908915</v>
      </c>
      <c r="D305" s="45">
        <f t="shared" si="9"/>
        <v>2.1487056908915392E-3</v>
      </c>
    </row>
    <row r="306" spans="1:4" hidden="1">
      <c r="A306" s="65">
        <v>41760</v>
      </c>
      <c r="B306" s="66">
        <v>236.86699999999999</v>
      </c>
      <c r="C306" s="67">
        <f t="shared" si="8"/>
        <v>1.001708512536845</v>
      </c>
      <c r="D306" s="45">
        <f t="shared" si="9"/>
        <v>1.7085125368450083E-3</v>
      </c>
    </row>
    <row r="307" spans="1:4" hidden="1">
      <c r="A307" s="65">
        <v>41791</v>
      </c>
      <c r="B307" s="66">
        <v>237.18799999999999</v>
      </c>
      <c r="C307" s="67">
        <f t="shared" si="8"/>
        <v>1.0013551908877134</v>
      </c>
      <c r="D307" s="45">
        <f t="shared" si="9"/>
        <v>1.3551908877134089E-3</v>
      </c>
    </row>
    <row r="308" spans="1:4" hidden="1">
      <c r="A308" s="65">
        <v>41821</v>
      </c>
      <c r="B308" s="66">
        <v>237.48500000000001</v>
      </c>
      <c r="C308" s="67">
        <f t="shared" si="8"/>
        <v>1.0012521712734204</v>
      </c>
      <c r="D308" s="45">
        <f t="shared" si="9"/>
        <v>1.252171273420366E-3</v>
      </c>
    </row>
    <row r="309" spans="1:4">
      <c r="A309" s="65">
        <v>41852</v>
      </c>
      <c r="B309" s="66">
        <v>237.43899999999999</v>
      </c>
      <c r="C309" s="67">
        <f t="shared" si="8"/>
        <v>0.99980630355601396</v>
      </c>
      <c r="D309" s="45">
        <f t="shared" si="9"/>
        <v>-1.9369644398603558E-4</v>
      </c>
    </row>
    <row r="310" spans="1:4" hidden="1">
      <c r="A310" s="65">
        <v>41883</v>
      </c>
      <c r="B310" s="66">
        <v>237.452</v>
      </c>
      <c r="C310" s="67">
        <f t="shared" si="8"/>
        <v>1.0000547509044428</v>
      </c>
      <c r="D310" s="45">
        <f t="shared" si="9"/>
        <v>5.4750904442846249E-5</v>
      </c>
    </row>
    <row r="311" spans="1:4">
      <c r="A311" s="65">
        <v>41913</v>
      </c>
      <c r="B311" s="66">
        <v>237.447</v>
      </c>
      <c r="C311" s="67">
        <f t="shared" si="8"/>
        <v>0.99997894311271329</v>
      </c>
      <c r="D311" s="45">
        <f t="shared" si="9"/>
        <v>-2.1056887286707848E-5</v>
      </c>
    </row>
    <row r="312" spans="1:4">
      <c r="A312" s="65">
        <v>41944</v>
      </c>
      <c r="B312" s="66">
        <v>237.042</v>
      </c>
      <c r="C312" s="67">
        <f t="shared" si="8"/>
        <v>0.99829435621422891</v>
      </c>
      <c r="D312" s="45">
        <f t="shared" si="9"/>
        <v>-1.7056437857710938E-3</v>
      </c>
    </row>
    <row r="313" spans="1:4">
      <c r="A313" s="65">
        <v>41974</v>
      </c>
      <c r="B313" s="66">
        <v>236.27</v>
      </c>
      <c r="C313" s="67">
        <f t="shared" si="8"/>
        <v>0.99674319318939264</v>
      </c>
      <c r="D313" s="45">
        <f t="shared" si="9"/>
        <v>-3.25680681060736E-3</v>
      </c>
    </row>
    <row r="314" spans="1:4">
      <c r="A314" s="65">
        <v>42005</v>
      </c>
      <c r="B314" s="66">
        <v>234.83600000000001</v>
      </c>
      <c r="C314" s="67">
        <f t="shared" si="8"/>
        <v>0.99393067253565837</v>
      </c>
      <c r="D314" s="45">
        <f t="shared" si="9"/>
        <v>-6.0693274643416339E-3</v>
      </c>
    </row>
    <row r="315" spans="1:4" hidden="1">
      <c r="A315" s="65">
        <v>42036</v>
      </c>
      <c r="B315" s="66">
        <v>235.274</v>
      </c>
      <c r="C315" s="67">
        <f t="shared" si="8"/>
        <v>1.0018651314108569</v>
      </c>
      <c r="D315" s="45">
        <f t="shared" si="9"/>
        <v>1.8651314108568684E-3</v>
      </c>
    </row>
    <row r="316" spans="1:4" hidden="1">
      <c r="A316" s="65">
        <v>42064</v>
      </c>
      <c r="B316" s="66">
        <v>235.95599999999999</v>
      </c>
      <c r="C316" s="67">
        <f t="shared" si="8"/>
        <v>1.0028987478429405</v>
      </c>
      <c r="D316" s="45">
        <f t="shared" si="9"/>
        <v>2.89874784294053E-3</v>
      </c>
    </row>
    <row r="317" spans="1:4" hidden="1">
      <c r="A317" s="65">
        <v>42095</v>
      </c>
      <c r="B317" s="66">
        <v>236.16499999999999</v>
      </c>
      <c r="C317" s="67">
        <f t="shared" si="8"/>
        <v>1.0008857583617286</v>
      </c>
      <c r="D317" s="45">
        <f t="shared" si="9"/>
        <v>8.8575836172855027E-4</v>
      </c>
    </row>
    <row r="318" spans="1:4" hidden="1">
      <c r="A318" s="65">
        <v>42125</v>
      </c>
      <c r="B318" s="66">
        <v>236.952</v>
      </c>
      <c r="C318" s="67">
        <f t="shared" si="8"/>
        <v>1.0033324158956662</v>
      </c>
      <c r="D318" s="45">
        <f t="shared" si="9"/>
        <v>3.3324158956662409E-3</v>
      </c>
    </row>
    <row r="319" spans="1:4" hidden="1">
      <c r="A319" s="65">
        <v>42156</v>
      </c>
      <c r="B319" s="66">
        <v>237.61799999999999</v>
      </c>
      <c r="C319" s="67">
        <f t="shared" si="8"/>
        <v>1.0028106958371314</v>
      </c>
      <c r="D319" s="45">
        <f t="shared" si="9"/>
        <v>2.8106958371314494E-3</v>
      </c>
    </row>
    <row r="320" spans="1:4" hidden="1">
      <c r="A320" s="65">
        <v>42186</v>
      </c>
      <c r="B320" s="66">
        <v>237.99299999999999</v>
      </c>
      <c r="C320" s="67">
        <f t="shared" si="8"/>
        <v>1.0015781632704592</v>
      </c>
      <c r="D320" s="45">
        <f t="shared" si="9"/>
        <v>1.5781632704592319E-3</v>
      </c>
    </row>
    <row r="321" spans="1:4">
      <c r="A321" s="65">
        <v>42217</v>
      </c>
      <c r="B321" s="66">
        <v>237.989</v>
      </c>
      <c r="C321" s="67">
        <f t="shared" si="8"/>
        <v>0.99998319278298109</v>
      </c>
      <c r="D321" s="45">
        <f t="shared" si="9"/>
        <v>-1.6807217018910414E-5</v>
      </c>
    </row>
    <row r="322" spans="1:4">
      <c r="A322" s="65">
        <v>42248</v>
      </c>
      <c r="B322" s="66">
        <v>237.46700000000001</v>
      </c>
      <c r="C322" s="67">
        <f t="shared" si="8"/>
        <v>0.99780662131443054</v>
      </c>
      <c r="D322" s="45">
        <f t="shared" si="9"/>
        <v>-2.1933786855694581E-3</v>
      </c>
    </row>
    <row r="323" spans="1:4" hidden="1">
      <c r="A323" s="65">
        <v>42278</v>
      </c>
      <c r="B323" s="66">
        <v>237.76400000000001</v>
      </c>
      <c r="C323" s="67">
        <f t="shared" si="8"/>
        <v>1.0012507000972766</v>
      </c>
      <c r="D323" s="45">
        <f t="shared" si="9"/>
        <v>1.2507000972765692E-3</v>
      </c>
    </row>
    <row r="324" spans="1:4" hidden="1">
      <c r="A324" s="65">
        <v>42309</v>
      </c>
      <c r="B324" s="66">
        <v>238.072</v>
      </c>
      <c r="C324" s="67">
        <f t="shared" si="8"/>
        <v>1.0012954021634899</v>
      </c>
      <c r="D324" s="45">
        <f t="shared" si="9"/>
        <v>1.2954021634898893E-3</v>
      </c>
    </row>
    <row r="325" spans="1:4">
      <c r="A325" s="65">
        <v>42339</v>
      </c>
      <c r="B325" s="66">
        <v>237.827</v>
      </c>
      <c r="C325" s="67">
        <f t="shared" si="8"/>
        <v>0.99897089955979701</v>
      </c>
      <c r="D325" s="45">
        <f t="shared" si="9"/>
        <v>-1.0291004402029902E-3</v>
      </c>
    </row>
    <row r="326" spans="1:4" hidden="1">
      <c r="A326" s="65">
        <v>42370</v>
      </c>
      <c r="B326" s="66">
        <v>237.99</v>
      </c>
      <c r="C326" s="67">
        <f t="shared" si="8"/>
        <v>1.0006853721402533</v>
      </c>
      <c r="D326" s="45">
        <f t="shared" si="9"/>
        <v>6.8537214025332638E-4</v>
      </c>
    </row>
    <row r="327" spans="1:4">
      <c r="A327" s="65">
        <v>42401</v>
      </c>
      <c r="B327" s="66">
        <v>237.53200000000001</v>
      </c>
      <c r="C327" s="67">
        <f t="shared" si="8"/>
        <v>0.99807554939283161</v>
      </c>
      <c r="D327" s="45">
        <f t="shared" si="9"/>
        <v>-1.9244506071683931E-3</v>
      </c>
    </row>
    <row r="328" spans="1:4" hidden="1">
      <c r="A328" s="65">
        <v>42430</v>
      </c>
      <c r="B328" s="66">
        <v>238.02199999999999</v>
      </c>
      <c r="C328" s="67">
        <f t="shared" si="8"/>
        <v>1.0020628799488067</v>
      </c>
      <c r="D328" s="45">
        <f t="shared" si="9"/>
        <v>2.0628799488067173E-3</v>
      </c>
    </row>
    <row r="329" spans="1:4" hidden="1">
      <c r="A329" s="65">
        <v>42461</v>
      </c>
      <c r="B329" s="66">
        <v>238.84299999999999</v>
      </c>
      <c r="C329" s="67">
        <f t="shared" si="8"/>
        <v>1.0034492609926813</v>
      </c>
      <c r="D329" s="45">
        <f t="shared" si="9"/>
        <v>3.4492609926812801E-3</v>
      </c>
    </row>
    <row r="330" spans="1:4" hidden="1">
      <c r="A330" s="65">
        <v>42491</v>
      </c>
      <c r="B330" s="66">
        <v>239.43899999999999</v>
      </c>
      <c r="C330" s="67">
        <f t="shared" si="8"/>
        <v>1.0024953630627651</v>
      </c>
      <c r="D330" s="45">
        <f t="shared" si="9"/>
        <v>2.4953630627650991E-3</v>
      </c>
    </row>
    <row r="331" spans="1:4" hidden="1">
      <c r="A331" s="65">
        <v>42522</v>
      </c>
      <c r="B331" s="66">
        <v>240.07400000000001</v>
      </c>
      <c r="C331" s="67">
        <f t="shared" si="8"/>
        <v>1.0026520324592068</v>
      </c>
      <c r="D331" s="45">
        <f t="shared" si="9"/>
        <v>2.6520324592067546E-3</v>
      </c>
    </row>
    <row r="332" spans="1:4">
      <c r="A332" s="65">
        <v>42552</v>
      </c>
      <c r="B332" s="66">
        <v>240.05799999999999</v>
      </c>
      <c r="C332" s="67">
        <f t="shared" si="8"/>
        <v>0.99993335388255278</v>
      </c>
      <c r="D332" s="45">
        <f t="shared" si="9"/>
        <v>-6.6646117447222153E-5</v>
      </c>
    </row>
    <row r="333" spans="1:4" hidden="1">
      <c r="A333" s="65">
        <v>42583</v>
      </c>
      <c r="B333" s="66">
        <v>240.56899999999999</v>
      </c>
      <c r="C333" s="67">
        <f t="shared" si="8"/>
        <v>1.0021286522423747</v>
      </c>
      <c r="D333" s="45">
        <f t="shared" si="9"/>
        <v>2.1286522423746845E-3</v>
      </c>
    </row>
    <row r="334" spans="1:4" hidden="1">
      <c r="A334" s="65">
        <v>42614</v>
      </c>
      <c r="B334" s="66">
        <v>241.017</v>
      </c>
      <c r="C334" s="67">
        <f t="shared" si="8"/>
        <v>1.0018622515785491</v>
      </c>
      <c r="D334" s="45">
        <f t="shared" si="9"/>
        <v>1.8622515785491345E-3</v>
      </c>
    </row>
    <row r="335" spans="1:4" hidden="1">
      <c r="A335" s="65">
        <v>42644</v>
      </c>
      <c r="B335" s="66">
        <v>241.667</v>
      </c>
      <c r="C335" s="67">
        <f t="shared" si="8"/>
        <v>1.0026969051975587</v>
      </c>
      <c r="D335" s="45">
        <f t="shared" si="9"/>
        <v>2.6969051975587188E-3</v>
      </c>
    </row>
    <row r="336" spans="1:4" hidden="1">
      <c r="A336" s="65">
        <v>42675</v>
      </c>
      <c r="B336" s="66">
        <v>242.08099999999999</v>
      </c>
      <c r="C336" s="67">
        <f t="shared" ref="C336:C365" si="10">B336/B335</f>
        <v>1.0017131010853777</v>
      </c>
      <c r="D336" s="45">
        <f t="shared" ref="D336:D366" si="11">C336-1</f>
        <v>1.7131010853776996E-3</v>
      </c>
    </row>
    <row r="337" spans="1:4" hidden="1">
      <c r="A337" s="65">
        <v>42705</v>
      </c>
      <c r="B337" s="66">
        <v>242.78399999999999</v>
      </c>
      <c r="C337" s="67">
        <f t="shared" si="10"/>
        <v>1.0029039866821436</v>
      </c>
      <c r="D337" s="45">
        <f t="shared" si="11"/>
        <v>2.9039866821436444E-3</v>
      </c>
    </row>
    <row r="338" spans="1:4" hidden="1">
      <c r="A338" s="65">
        <v>42736</v>
      </c>
      <c r="B338" s="66">
        <v>244.02799999999999</v>
      </c>
      <c r="C338" s="67">
        <f t="shared" si="10"/>
        <v>1.005123896138131</v>
      </c>
      <c r="D338" s="45">
        <f t="shared" si="11"/>
        <v>5.1238961381310233E-3</v>
      </c>
    </row>
    <row r="339" spans="1:4" hidden="1">
      <c r="A339" s="65">
        <v>42767</v>
      </c>
      <c r="B339" s="66">
        <v>244.102</v>
      </c>
      <c r="C339" s="67">
        <f t="shared" si="10"/>
        <v>1.0003032438900454</v>
      </c>
      <c r="D339" s="45">
        <f t="shared" si="11"/>
        <v>3.0324389004543484E-4</v>
      </c>
    </row>
    <row r="340" spans="1:4">
      <c r="A340" s="65">
        <v>42795</v>
      </c>
      <c r="B340" s="66">
        <v>243.71700000000001</v>
      </c>
      <c r="C340" s="67">
        <f t="shared" si="10"/>
        <v>0.99842279047283511</v>
      </c>
      <c r="D340" s="45">
        <f t="shared" si="11"/>
        <v>-1.5772095271648912E-3</v>
      </c>
    </row>
    <row r="341" spans="1:4" hidden="1">
      <c r="A341" s="65">
        <v>42826</v>
      </c>
      <c r="B341" s="66">
        <v>244.08699999999999</v>
      </c>
      <c r="C341" s="67">
        <f t="shared" si="10"/>
        <v>1.0015181542526783</v>
      </c>
      <c r="D341" s="45">
        <f t="shared" si="11"/>
        <v>1.5181542526783165E-3</v>
      </c>
    </row>
    <row r="342" spans="1:4">
      <c r="A342" s="65">
        <v>42856</v>
      </c>
      <c r="B342" s="66">
        <v>243.911</v>
      </c>
      <c r="C342" s="67">
        <f t="shared" si="10"/>
        <v>0.99927894562184805</v>
      </c>
      <c r="D342" s="45">
        <f t="shared" si="11"/>
        <v>-7.2105437815195295E-4</v>
      </c>
    </row>
    <row r="343" spans="1:4" hidden="1">
      <c r="A343" s="65">
        <v>42887</v>
      </c>
      <c r="B343" s="66">
        <v>244.03200000000001</v>
      </c>
      <c r="C343" s="67">
        <f t="shared" si="10"/>
        <v>1.0004960825875011</v>
      </c>
      <c r="D343" s="45">
        <f t="shared" si="11"/>
        <v>4.9608258750111212E-4</v>
      </c>
    </row>
    <row r="344" spans="1:4" hidden="1">
      <c r="A344" s="65">
        <v>42917</v>
      </c>
      <c r="B344" s="66">
        <v>244.23599999999999</v>
      </c>
      <c r="C344" s="67">
        <f t="shared" si="10"/>
        <v>1.0008359559402045</v>
      </c>
      <c r="D344" s="45">
        <f t="shared" si="11"/>
        <v>8.3595594020446917E-4</v>
      </c>
    </row>
    <row r="345" spans="1:4" hidden="1">
      <c r="A345" s="65">
        <v>42948</v>
      </c>
      <c r="B345" s="66">
        <v>245.262</v>
      </c>
      <c r="C345" s="67">
        <f t="shared" si="10"/>
        <v>1.0042008549108239</v>
      </c>
      <c r="D345" s="45">
        <f t="shared" si="11"/>
        <v>4.2008549108238924E-3</v>
      </c>
    </row>
    <row r="346" spans="1:4" hidden="1">
      <c r="A346" s="65">
        <v>42979</v>
      </c>
      <c r="B346" s="66">
        <v>246.392</v>
      </c>
      <c r="C346" s="67">
        <f t="shared" si="10"/>
        <v>1.0046073178886252</v>
      </c>
      <c r="D346" s="45">
        <f t="shared" si="11"/>
        <v>4.6073178886252286E-3</v>
      </c>
    </row>
    <row r="347" spans="1:4" hidden="1">
      <c r="A347" s="65">
        <v>43009</v>
      </c>
      <c r="B347" s="66">
        <v>246.583</v>
      </c>
      <c r="C347" s="67">
        <f t="shared" si="10"/>
        <v>1.000775187506088</v>
      </c>
      <c r="D347" s="45">
        <f t="shared" si="11"/>
        <v>7.7518750608795983E-4</v>
      </c>
    </row>
    <row r="348" spans="1:4" hidden="1">
      <c r="A348" s="65">
        <v>43040</v>
      </c>
      <c r="B348" s="66">
        <v>247.411</v>
      </c>
      <c r="C348" s="67">
        <f t="shared" si="10"/>
        <v>1.0033578957186831</v>
      </c>
      <c r="D348" s="45">
        <f t="shared" si="11"/>
        <v>3.3578957186830571E-3</v>
      </c>
    </row>
    <row r="349" spans="1:4" hidden="1">
      <c r="A349" s="65">
        <v>43070</v>
      </c>
      <c r="B349" s="66">
        <v>247.91</v>
      </c>
      <c r="C349" s="67">
        <f t="shared" si="10"/>
        <v>1.0020168868805348</v>
      </c>
      <c r="D349" s="45">
        <f t="shared" si="11"/>
        <v>2.0168868805348072E-3</v>
      </c>
    </row>
    <row r="350" spans="1:4" hidden="1">
      <c r="A350" s="65">
        <v>43101</v>
      </c>
      <c r="B350" s="66">
        <v>249.245</v>
      </c>
      <c r="C350" s="67">
        <f t="shared" si="10"/>
        <v>1.005385018756807</v>
      </c>
      <c r="D350" s="45">
        <f t="shared" si="11"/>
        <v>5.3850187568069696E-3</v>
      </c>
    </row>
    <row r="351" spans="1:4" hidden="1">
      <c r="A351" s="65">
        <v>43132</v>
      </c>
      <c r="B351" s="66">
        <v>249.619</v>
      </c>
      <c r="C351" s="67">
        <f t="shared" si="10"/>
        <v>1.0015005316054484</v>
      </c>
      <c r="D351" s="45">
        <f t="shared" si="11"/>
        <v>1.5005316054483853E-3</v>
      </c>
    </row>
    <row r="352" spans="1:4">
      <c r="A352" s="65">
        <v>43160</v>
      </c>
      <c r="B352" s="66">
        <v>249.46199999999999</v>
      </c>
      <c r="C352" s="67">
        <f t="shared" si="10"/>
        <v>0.99937104146719591</v>
      </c>
      <c r="D352" s="45">
        <f t="shared" si="11"/>
        <v>-6.2895853280409142E-4</v>
      </c>
    </row>
    <row r="353" spans="1:4" hidden="1">
      <c r="A353" s="65">
        <v>43191</v>
      </c>
      <c r="B353" s="66">
        <v>250.01300000000001</v>
      </c>
      <c r="C353" s="67">
        <f t="shared" si="10"/>
        <v>1.0022087532369661</v>
      </c>
      <c r="D353" s="45">
        <f t="shared" si="11"/>
        <v>2.2087532369661211E-3</v>
      </c>
    </row>
    <row r="354" spans="1:4" hidden="1">
      <c r="A354" s="65">
        <v>43221</v>
      </c>
      <c r="B354" s="66">
        <v>250.535</v>
      </c>
      <c r="C354" s="67">
        <f t="shared" si="10"/>
        <v>1.0020878914296456</v>
      </c>
      <c r="D354" s="45">
        <f t="shared" si="11"/>
        <v>2.0878914296456053E-3</v>
      </c>
    </row>
    <row r="355" spans="1:4" hidden="1">
      <c r="A355" s="65">
        <v>43252</v>
      </c>
      <c r="B355" s="66">
        <v>250.857</v>
      </c>
      <c r="C355" s="67">
        <f t="shared" si="10"/>
        <v>1.001285249565929</v>
      </c>
      <c r="D355" s="45">
        <f t="shared" si="11"/>
        <v>1.2852495659290142E-3</v>
      </c>
    </row>
    <row r="356" spans="1:4" hidden="1">
      <c r="A356" s="65">
        <v>43282</v>
      </c>
      <c r="B356" s="66">
        <v>251.286</v>
      </c>
      <c r="C356" s="67">
        <f t="shared" si="10"/>
        <v>1.0017101376481421</v>
      </c>
      <c r="D356" s="45">
        <f t="shared" si="11"/>
        <v>1.710137648142096E-3</v>
      </c>
    </row>
    <row r="357" spans="1:4" hidden="1">
      <c r="A357" s="65">
        <v>43313</v>
      </c>
      <c r="B357" s="66">
        <v>251.846</v>
      </c>
      <c r="C357" s="67">
        <f t="shared" si="10"/>
        <v>1.0022285364087136</v>
      </c>
      <c r="D357" s="45">
        <f t="shared" si="11"/>
        <v>2.2285364087135662E-3</v>
      </c>
    </row>
    <row r="358" spans="1:4" hidden="1">
      <c r="A358" s="65">
        <f>EOMONTH(A357,1)</f>
        <v>43373</v>
      </c>
      <c r="B358" s="63">
        <v>252.01</v>
      </c>
      <c r="C358" s="67">
        <f t="shared" si="10"/>
        <v>1.0006511916012166</v>
      </c>
      <c r="D358" s="45">
        <f t="shared" si="11"/>
        <v>6.5119160121662745E-4</v>
      </c>
    </row>
    <row r="359" spans="1:4" hidden="1">
      <c r="A359" s="65">
        <f t="shared" ref="A359:A365" si="12">EOMONTH(A358,1)</f>
        <v>43404</v>
      </c>
      <c r="B359" s="63">
        <v>252.79400000000001</v>
      </c>
      <c r="C359" s="67">
        <f t="shared" si="10"/>
        <v>1.0031109876592199</v>
      </c>
      <c r="D359" s="45">
        <f t="shared" si="11"/>
        <v>3.1109876592199104E-3</v>
      </c>
    </row>
    <row r="360" spans="1:4">
      <c r="A360" s="65">
        <f t="shared" si="12"/>
        <v>43434</v>
      </c>
      <c r="B360" s="63">
        <v>252.76</v>
      </c>
      <c r="C360" s="67">
        <f t="shared" si="10"/>
        <v>0.99986550313694145</v>
      </c>
      <c r="D360" s="45">
        <f t="shared" si="11"/>
        <v>-1.3449686305855302E-4</v>
      </c>
    </row>
    <row r="361" spans="1:4">
      <c r="A361" s="65">
        <f t="shared" si="12"/>
        <v>43465</v>
      </c>
      <c r="B361" s="63">
        <v>252.72300000000001</v>
      </c>
      <c r="C361" s="67">
        <f t="shared" si="10"/>
        <v>0.99985361607849355</v>
      </c>
      <c r="D361" s="45">
        <f t="shared" si="11"/>
        <v>-1.4638392150645441E-4</v>
      </c>
    </row>
    <row r="362" spans="1:4">
      <c r="A362" s="65">
        <f t="shared" si="12"/>
        <v>43496</v>
      </c>
      <c r="B362" s="63">
        <v>252.673</v>
      </c>
      <c r="C362" s="67">
        <f t="shared" si="10"/>
        <v>0.99980215492851854</v>
      </c>
      <c r="D362" s="45">
        <f t="shared" si="11"/>
        <v>-1.9784507148146169E-4</v>
      </c>
    </row>
    <row r="363" spans="1:4" hidden="1">
      <c r="A363" s="65">
        <f t="shared" si="12"/>
        <v>43524</v>
      </c>
      <c r="B363" s="63">
        <v>253.113</v>
      </c>
      <c r="C363" s="67">
        <f t="shared" si="10"/>
        <v>1.0017413811527152</v>
      </c>
      <c r="D363" s="45">
        <f t="shared" si="11"/>
        <v>1.7413811527151601E-3</v>
      </c>
    </row>
    <row r="364" spans="1:4" hidden="1">
      <c r="A364" s="65">
        <f t="shared" si="12"/>
        <v>43555</v>
      </c>
      <c r="B364" s="63">
        <v>254.148</v>
      </c>
      <c r="C364" s="67">
        <f t="shared" si="10"/>
        <v>1.0040890827417004</v>
      </c>
      <c r="D364" s="45">
        <f t="shared" si="11"/>
        <v>4.0890827417003894E-3</v>
      </c>
    </row>
    <row r="365" spans="1:4" hidden="1">
      <c r="A365" s="65">
        <f t="shared" si="12"/>
        <v>43585</v>
      </c>
      <c r="B365" s="63">
        <v>254.958</v>
      </c>
      <c r="C365" s="67">
        <f t="shared" si="10"/>
        <v>1.003187119316304</v>
      </c>
      <c r="D365" s="45">
        <f t="shared" si="11"/>
        <v>3.187119316303999E-3</v>
      </c>
    </row>
    <row r="366" spans="1:4" hidden="1">
      <c r="A366" s="65"/>
      <c r="C366" s="68" t="s">
        <v>147</v>
      </c>
      <c r="D366" s="45" t="e">
        <f t="shared" si="11"/>
        <v>#VALUE!</v>
      </c>
    </row>
    <row r="367" spans="1:4" hidden="1">
      <c r="D367" s="45"/>
    </row>
  </sheetData>
  <autoFilter ref="A13:D367" xr:uid="{00000000-0009-0000-0000-00000B000000}">
    <filterColumn colId="3">
      <customFilters>
        <customFilter operator="lessThan" val="0"/>
      </custom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O355"/>
  <sheetViews>
    <sheetView topLeftCell="D13" workbookViewId="0">
      <selection activeCell="K17" sqref="K17"/>
    </sheetView>
  </sheetViews>
  <sheetFormatPr defaultColWidth="10.6640625" defaultRowHeight="14.4" outlineLevelRow="1" outlineLevelCol="1"/>
  <cols>
    <col min="1" max="1" width="15.6640625" customWidth="1"/>
    <col min="2" max="2" width="20.6640625" customWidth="1" outlineLevel="1"/>
    <col min="3" max="3" width="20.33203125" customWidth="1" outlineLevel="1"/>
    <col min="4" max="4" width="13.6640625" customWidth="1"/>
    <col min="5" max="5" width="14.6640625" customWidth="1"/>
    <col min="6" max="6" width="15.6640625" customWidth="1"/>
    <col min="7" max="7" width="14" customWidth="1"/>
    <col min="8" max="8" width="11.44140625" customWidth="1"/>
    <col min="9" max="9" width="14.6640625" customWidth="1"/>
    <col min="10" max="10" width="16.44140625" customWidth="1"/>
    <col min="11" max="11" width="26.6640625" customWidth="1"/>
    <col min="12" max="12" width="13.33203125" bestFit="1" customWidth="1"/>
  </cols>
  <sheetData>
    <row r="1" spans="1:15">
      <c r="A1" s="62" t="s">
        <v>148</v>
      </c>
    </row>
    <row r="2" spans="1:15" ht="15.6">
      <c r="A2" t="s">
        <v>149</v>
      </c>
      <c r="D2" s="69"/>
      <c r="K2" s="44" t="s">
        <v>62</v>
      </c>
      <c r="L2" s="88" t="s">
        <v>154</v>
      </c>
      <c r="M2" s="88" t="s">
        <v>155</v>
      </c>
      <c r="N2" s="88" t="s">
        <v>156</v>
      </c>
      <c r="O2" s="88" t="s">
        <v>157</v>
      </c>
    </row>
    <row r="3" spans="1:15" ht="15.6">
      <c r="D3" s="69"/>
      <c r="K3" s="46" t="s">
        <v>63</v>
      </c>
      <c r="L3" s="89">
        <f>MIN(F323:F346)</f>
        <v>2.84</v>
      </c>
      <c r="M3" s="89">
        <f t="shared" ref="M3:O3" si="0">MIN(G323:G346)</f>
        <v>3.55</v>
      </c>
      <c r="N3" s="89">
        <f t="shared" si="0"/>
        <v>3.8340000000000001</v>
      </c>
      <c r="O3" s="89">
        <f t="shared" si="0"/>
        <v>4.4375</v>
      </c>
    </row>
    <row r="4" spans="1:15" ht="15.6">
      <c r="A4" t="s">
        <v>150</v>
      </c>
      <c r="G4" s="70" t="s">
        <v>151</v>
      </c>
      <c r="H4" s="71"/>
      <c r="K4" s="46" t="s">
        <v>64</v>
      </c>
      <c r="L4" s="89">
        <f>MAX(F323:F346)</f>
        <v>3.88</v>
      </c>
      <c r="M4" s="89">
        <f t="shared" ref="M4:O4" si="1">MAX(G323:G346)</f>
        <v>4.8499999999999996</v>
      </c>
      <c r="N4" s="89">
        <f t="shared" si="1"/>
        <v>5.2380000000000004</v>
      </c>
      <c r="O4" s="89">
        <f t="shared" si="1"/>
        <v>6.0625</v>
      </c>
    </row>
    <row r="5" spans="1:15">
      <c r="A5" t="s">
        <v>152</v>
      </c>
      <c r="G5" t="s">
        <v>178</v>
      </c>
      <c r="H5" s="15" t="s">
        <v>4</v>
      </c>
      <c r="K5" t="s">
        <v>65</v>
      </c>
      <c r="L5" s="90">
        <f>AVERAGE(F323:F346)</f>
        <v>3.5499999999999989</v>
      </c>
      <c r="M5" s="90">
        <f t="shared" ref="M5:O5" si="2">AVERAGE(G323:G346)</f>
        <v>4.4374999999999991</v>
      </c>
      <c r="N5" s="90">
        <f t="shared" si="2"/>
        <v>4.7924999999999995</v>
      </c>
      <c r="O5" s="90">
        <f t="shared" si="2"/>
        <v>5.546875</v>
      </c>
    </row>
    <row r="6" spans="1:15">
      <c r="A6" t="s">
        <v>153</v>
      </c>
      <c r="D6" s="69"/>
      <c r="G6" t="s">
        <v>154</v>
      </c>
      <c r="H6" s="69">
        <v>8000</v>
      </c>
      <c r="I6" s="72"/>
      <c r="J6" s="72"/>
      <c r="K6" t="s">
        <v>66</v>
      </c>
      <c r="L6" s="47">
        <f>STDEV(F323:F346)</f>
        <v>0.25855787343077274</v>
      </c>
      <c r="M6" s="47">
        <f t="shared" ref="M6:O6" si="3">STDEV(G323:G346)</f>
        <v>0.32319734178846588</v>
      </c>
      <c r="N6" s="47">
        <f t="shared" si="3"/>
        <v>0.34905312913154313</v>
      </c>
      <c r="O6" s="47">
        <f t="shared" si="3"/>
        <v>0.40399667723558236</v>
      </c>
    </row>
    <row r="7" spans="1:15">
      <c r="D7" s="69"/>
      <c r="G7" t="s">
        <v>155</v>
      </c>
      <c r="H7" s="69">
        <v>10000</v>
      </c>
      <c r="I7" s="72"/>
      <c r="J7" s="72"/>
    </row>
    <row r="8" spans="1:15">
      <c r="D8" s="69"/>
      <c r="G8" t="s">
        <v>156</v>
      </c>
      <c r="H8" s="69">
        <v>10800</v>
      </c>
      <c r="I8" s="72"/>
      <c r="J8" s="72"/>
      <c r="K8" t="s">
        <v>67</v>
      </c>
      <c r="L8">
        <f>(L5-L3)/(L4-L3)</f>
        <v>0.68269230769230682</v>
      </c>
      <c r="M8">
        <f t="shared" ref="M8:O8" si="4">(M5-M3)/(M4-M3)</f>
        <v>0.68269230769230727</v>
      </c>
      <c r="N8">
        <f t="shared" si="4"/>
        <v>0.68269230769230715</v>
      </c>
      <c r="O8">
        <f t="shared" si="4"/>
        <v>0.68269230769230771</v>
      </c>
    </row>
    <row r="9" spans="1:15">
      <c r="D9" s="69"/>
      <c r="G9" t="s">
        <v>157</v>
      </c>
      <c r="H9" s="69">
        <v>12500</v>
      </c>
      <c r="I9" s="73"/>
      <c r="J9" s="73"/>
      <c r="K9" t="s">
        <v>68</v>
      </c>
      <c r="L9">
        <f>L8^(-1)-1</f>
        <v>0.46478873239436802</v>
      </c>
      <c r="M9">
        <f t="shared" ref="M9:O9" si="5">M8^(-1)-1</f>
        <v>0.46478873239436713</v>
      </c>
      <c r="N9">
        <f t="shared" si="5"/>
        <v>0.46478873239436735</v>
      </c>
      <c r="O9">
        <f t="shared" si="5"/>
        <v>0.46478873239436624</v>
      </c>
    </row>
    <row r="10" spans="1:15">
      <c r="A10" t="s">
        <v>158</v>
      </c>
      <c r="D10" s="69"/>
      <c r="H10" s="69"/>
      <c r="I10" s="73"/>
      <c r="J10" s="73"/>
      <c r="K10" t="s">
        <v>69</v>
      </c>
      <c r="L10">
        <f>L6/L5</f>
        <v>7.2833203783316286E-2</v>
      </c>
      <c r="M10">
        <f t="shared" ref="M10:O10" si="6">M6/M5</f>
        <v>7.2833203783316272E-2</v>
      </c>
      <c r="N10">
        <f t="shared" si="6"/>
        <v>7.2833203783316258E-2</v>
      </c>
      <c r="O10">
        <f t="shared" si="6"/>
        <v>7.2833203783316258E-2</v>
      </c>
    </row>
    <row r="11" spans="1:15" ht="15.6">
      <c r="A11" t="s">
        <v>159</v>
      </c>
      <c r="D11" s="69"/>
      <c r="I11" s="74"/>
      <c r="J11" s="74"/>
      <c r="K11" s="46" t="s">
        <v>70</v>
      </c>
      <c r="L11" s="46">
        <f>((L9/(L10)^2)-1)/(1+L9)</f>
        <v>59.133914367045655</v>
      </c>
      <c r="M11" s="46">
        <f t="shared" ref="M11:O11" si="7">((M9/(M10)^2)-1)/(1+M9)</f>
        <v>59.133914367045598</v>
      </c>
      <c r="N11" s="46">
        <f t="shared" si="7"/>
        <v>59.133914367045648</v>
      </c>
      <c r="O11" s="46">
        <f t="shared" si="7"/>
        <v>59.133914367045548</v>
      </c>
    </row>
    <row r="12" spans="1:15" ht="15.6">
      <c r="D12" s="69"/>
      <c r="I12" s="72"/>
      <c r="J12" s="72"/>
      <c r="K12" s="46" t="s">
        <v>71</v>
      </c>
      <c r="L12" s="46">
        <f>L9*L11</f>
        <v>27.484777100176256</v>
      </c>
      <c r="M12" s="46">
        <f t="shared" ref="M12:O12" si="8">M9*M11</f>
        <v>27.484777100176178</v>
      </c>
      <c r="N12" s="46">
        <f t="shared" si="8"/>
        <v>27.484777100176213</v>
      </c>
      <c r="O12" s="46">
        <f t="shared" si="8"/>
        <v>27.484777100176103</v>
      </c>
    </row>
    <row r="13" spans="1:15">
      <c r="B13" s="75" t="s">
        <v>160</v>
      </c>
      <c r="C13" s="75" t="s">
        <v>160</v>
      </c>
      <c r="D13" s="75" t="s">
        <v>160</v>
      </c>
      <c r="E13" s="76" t="s">
        <v>161</v>
      </c>
      <c r="F13" s="76" t="s">
        <v>161</v>
      </c>
      <c r="G13" s="76" t="s">
        <v>161</v>
      </c>
      <c r="H13" s="76" t="s">
        <v>161</v>
      </c>
      <c r="I13" s="77" t="s">
        <v>161</v>
      </c>
      <c r="J13" s="78"/>
      <c r="K13" s="79"/>
      <c r="L13" s="72"/>
      <c r="M13" s="79"/>
    </row>
    <row r="14" spans="1:15" outlineLevel="1">
      <c r="B14" s="15">
        <v>532749</v>
      </c>
      <c r="C14" s="15">
        <v>532746</v>
      </c>
      <c r="K14" s="72"/>
      <c r="L14" s="72"/>
      <c r="M14" s="72"/>
    </row>
    <row r="15" spans="1:15" ht="55.95" customHeight="1" outlineLevel="1">
      <c r="B15" s="80" t="s">
        <v>162</v>
      </c>
      <c r="C15" s="80" t="s">
        <v>163</v>
      </c>
      <c r="D15" s="80" t="s">
        <v>164</v>
      </c>
      <c r="E15" s="80" t="s">
        <v>165</v>
      </c>
      <c r="F15" s="80" t="s">
        <v>166</v>
      </c>
      <c r="G15" s="80"/>
      <c r="H15" s="80"/>
      <c r="I15" s="80" t="s">
        <v>167</v>
      </c>
      <c r="J15" s="80"/>
      <c r="K15" s="80"/>
      <c r="L15" s="72"/>
      <c r="M15" s="72"/>
    </row>
    <row r="16" spans="1:15" ht="17.25" customHeight="1" outlineLevel="1">
      <c r="A16" s="15" t="s">
        <v>5</v>
      </c>
      <c r="B16" s="15" t="s">
        <v>168</v>
      </c>
      <c r="C16" s="15" t="s">
        <v>168</v>
      </c>
      <c r="D16" s="15" t="s">
        <v>168</v>
      </c>
      <c r="E16" s="15" t="s">
        <v>168</v>
      </c>
      <c r="F16" s="15" t="s">
        <v>169</v>
      </c>
      <c r="G16" s="15" t="s">
        <v>169</v>
      </c>
      <c r="H16" s="15" t="s">
        <v>169</v>
      </c>
      <c r="I16" s="15" t="s">
        <v>169</v>
      </c>
      <c r="J16" s="15"/>
      <c r="K16" s="15"/>
      <c r="L16" s="15"/>
      <c r="M16" s="15"/>
    </row>
    <row r="17" spans="1:13" ht="32.25" customHeight="1">
      <c r="A17" s="15" t="s">
        <v>5</v>
      </c>
      <c r="B17" s="80" t="s">
        <v>170</v>
      </c>
      <c r="C17" s="80" t="s">
        <v>171</v>
      </c>
      <c r="D17" s="80" t="s">
        <v>172</v>
      </c>
      <c r="E17" s="80" t="s">
        <v>172</v>
      </c>
      <c r="F17" s="80" t="s">
        <v>154</v>
      </c>
      <c r="G17" s="80" t="s">
        <v>155</v>
      </c>
      <c r="H17" s="80" t="s">
        <v>156</v>
      </c>
      <c r="I17" s="80" t="s">
        <v>157</v>
      </c>
      <c r="J17" s="80"/>
      <c r="K17" s="80"/>
      <c r="L17" s="80"/>
      <c r="M17" s="80"/>
    </row>
    <row r="18" spans="1:13" outlineLevel="1">
      <c r="A18" s="81">
        <v>33604</v>
      </c>
      <c r="B18" s="82"/>
      <c r="C18" s="82">
        <v>190.10505172485574</v>
      </c>
      <c r="D18" s="83">
        <f>AVERAGE(B18:C18)</f>
        <v>190.10505172485574</v>
      </c>
      <c r="E18" s="83">
        <f>D18</f>
        <v>190.10505172485574</v>
      </c>
      <c r="F18" s="84">
        <f>D18*H$6/1000000</f>
        <v>1.5208404137988458</v>
      </c>
      <c r="G18" s="84">
        <f>D18*H$7/1000000</f>
        <v>1.9010505172485574</v>
      </c>
      <c r="H18" s="84">
        <f>D18*H$8/1000000</f>
        <v>2.0531345586284422</v>
      </c>
      <c r="I18" s="84">
        <f t="shared" ref="I18:I81" si="9">D18*H$9/1000000</f>
        <v>2.376313146560697</v>
      </c>
      <c r="K18" s="83"/>
      <c r="L18" s="83"/>
      <c r="M18" s="83"/>
    </row>
    <row r="19" spans="1:13" outlineLevel="1">
      <c r="A19" s="81">
        <v>33635</v>
      </c>
      <c r="B19" s="82"/>
      <c r="C19" s="82">
        <v>195.38574760610172</v>
      </c>
      <c r="D19" s="83">
        <f t="shared" ref="D19:D82" si="10">AVERAGE(B19:C19)</f>
        <v>195.38574760610172</v>
      </c>
      <c r="E19" s="83">
        <f t="shared" ref="E19:E82" si="11">D19</f>
        <v>195.38574760610172</v>
      </c>
      <c r="F19" s="84">
        <f t="shared" ref="F19:F82" si="12">D19*H$6/1000000</f>
        <v>1.5630859808488136</v>
      </c>
      <c r="G19" s="84">
        <f t="shared" ref="G19:G82" si="13">D19*H$7/1000000</f>
        <v>1.9538574760610172</v>
      </c>
      <c r="H19" s="84">
        <f t="shared" ref="H19:H82" si="14">D19*H$8/1000000</f>
        <v>2.1101660741458987</v>
      </c>
      <c r="I19" s="84">
        <f t="shared" si="9"/>
        <v>2.4423218450762714</v>
      </c>
      <c r="K19" s="83"/>
    </row>
    <row r="20" spans="1:13" outlineLevel="1">
      <c r="A20" s="81">
        <v>33664</v>
      </c>
      <c r="B20" s="82"/>
      <c r="C20" s="82">
        <v>179.54365996236373</v>
      </c>
      <c r="D20" s="83">
        <f t="shared" si="10"/>
        <v>179.54365996236373</v>
      </c>
      <c r="E20" s="83">
        <f t="shared" si="11"/>
        <v>179.54365996236373</v>
      </c>
      <c r="F20" s="84">
        <f t="shared" si="12"/>
        <v>1.4363492796989099</v>
      </c>
      <c r="G20" s="84">
        <f t="shared" si="13"/>
        <v>1.7954365996236372</v>
      </c>
      <c r="H20" s="84">
        <f t="shared" si="14"/>
        <v>1.9390715275935284</v>
      </c>
      <c r="I20" s="84">
        <f t="shared" si="9"/>
        <v>2.2442957495295466</v>
      </c>
      <c r="K20" s="83"/>
    </row>
    <row r="21" spans="1:13" outlineLevel="1">
      <c r="A21" s="81">
        <v>33695</v>
      </c>
      <c r="B21" s="82"/>
      <c r="C21" s="82">
        <v>179.54365996236373</v>
      </c>
      <c r="D21" s="83">
        <f t="shared" si="10"/>
        <v>179.54365996236373</v>
      </c>
      <c r="E21" s="83">
        <f t="shared" si="11"/>
        <v>179.54365996236373</v>
      </c>
      <c r="F21" s="84">
        <f t="shared" si="12"/>
        <v>1.4363492796989099</v>
      </c>
      <c r="G21" s="84">
        <f t="shared" si="13"/>
        <v>1.7954365996236372</v>
      </c>
      <c r="H21" s="84">
        <f t="shared" si="14"/>
        <v>1.9390715275935284</v>
      </c>
      <c r="I21" s="84">
        <f t="shared" si="9"/>
        <v>2.2442957495295466</v>
      </c>
      <c r="K21" s="83"/>
    </row>
    <row r="22" spans="1:13" outlineLevel="1">
      <c r="A22" s="81">
        <v>33725</v>
      </c>
      <c r="B22" s="82"/>
      <c r="C22" s="82">
        <v>174.26296408111776</v>
      </c>
      <c r="D22" s="83">
        <f t="shared" si="10"/>
        <v>174.26296408111776</v>
      </c>
      <c r="E22" s="83">
        <f t="shared" si="11"/>
        <v>174.26296408111776</v>
      </c>
      <c r="F22" s="84">
        <f t="shared" si="12"/>
        <v>1.3941037126489422</v>
      </c>
      <c r="G22" s="84">
        <f t="shared" si="13"/>
        <v>1.7426296408111777</v>
      </c>
      <c r="H22" s="84">
        <f t="shared" si="14"/>
        <v>1.8820400120760716</v>
      </c>
      <c r="I22" s="84">
        <f t="shared" si="9"/>
        <v>2.1782870510139722</v>
      </c>
      <c r="K22" s="83"/>
    </row>
    <row r="23" spans="1:13" outlineLevel="1">
      <c r="A23" s="81">
        <v>33756</v>
      </c>
      <c r="B23" s="82"/>
      <c r="C23" s="82">
        <v>168.98226819987175</v>
      </c>
      <c r="D23" s="83">
        <f t="shared" si="10"/>
        <v>168.98226819987175</v>
      </c>
      <c r="E23" s="83">
        <f t="shared" si="11"/>
        <v>168.98226819987175</v>
      </c>
      <c r="F23" s="84">
        <f t="shared" si="12"/>
        <v>1.351858145598974</v>
      </c>
      <c r="G23" s="84">
        <f t="shared" si="13"/>
        <v>1.6898226819987177</v>
      </c>
      <c r="H23" s="84">
        <f t="shared" si="14"/>
        <v>1.8250084965586151</v>
      </c>
      <c r="I23" s="84">
        <f t="shared" si="9"/>
        <v>2.1122783524983966</v>
      </c>
      <c r="K23" s="83"/>
    </row>
    <row r="24" spans="1:13" outlineLevel="1">
      <c r="A24" s="81">
        <v>33786</v>
      </c>
      <c r="B24" s="82"/>
      <c r="C24" s="82">
        <v>179.54365996236373</v>
      </c>
      <c r="D24" s="83">
        <f t="shared" si="10"/>
        <v>179.54365996236373</v>
      </c>
      <c r="E24" s="83">
        <f t="shared" si="11"/>
        <v>179.54365996236373</v>
      </c>
      <c r="F24" s="84">
        <f t="shared" si="12"/>
        <v>1.4363492796989099</v>
      </c>
      <c r="G24" s="84">
        <f t="shared" si="13"/>
        <v>1.7954365996236372</v>
      </c>
      <c r="H24" s="84">
        <f t="shared" si="14"/>
        <v>1.9390715275935284</v>
      </c>
      <c r="I24" s="84">
        <f t="shared" si="9"/>
        <v>2.2442957495295466</v>
      </c>
      <c r="K24" s="83"/>
    </row>
    <row r="25" spans="1:13" outlineLevel="1">
      <c r="A25" s="81">
        <v>33817</v>
      </c>
      <c r="B25" s="82"/>
      <c r="C25" s="82">
        <v>166.86998984737338</v>
      </c>
      <c r="D25" s="83">
        <f t="shared" si="10"/>
        <v>166.86998984737338</v>
      </c>
      <c r="E25" s="83">
        <f t="shared" si="11"/>
        <v>166.86998984737338</v>
      </c>
      <c r="F25" s="84">
        <f t="shared" si="12"/>
        <v>1.3349599187789869</v>
      </c>
      <c r="G25" s="84">
        <f t="shared" si="13"/>
        <v>1.6686998984737338</v>
      </c>
      <c r="H25" s="84">
        <f t="shared" si="14"/>
        <v>1.8021958903516324</v>
      </c>
      <c r="I25" s="84">
        <f t="shared" si="9"/>
        <v>2.085874873092167</v>
      </c>
      <c r="K25" s="83"/>
    </row>
    <row r="26" spans="1:13" outlineLevel="1">
      <c r="A26" s="81">
        <v>33848</v>
      </c>
      <c r="B26" s="82"/>
      <c r="C26" s="82">
        <v>163.70157231862578</v>
      </c>
      <c r="D26" s="83">
        <f t="shared" si="10"/>
        <v>163.70157231862578</v>
      </c>
      <c r="E26" s="83">
        <f t="shared" si="11"/>
        <v>163.70157231862578</v>
      </c>
      <c r="F26" s="84">
        <f t="shared" si="12"/>
        <v>1.3096125785490063</v>
      </c>
      <c r="G26" s="84">
        <f t="shared" si="13"/>
        <v>1.6370157231862577</v>
      </c>
      <c r="H26" s="84">
        <f t="shared" si="14"/>
        <v>1.7679769810411583</v>
      </c>
      <c r="I26" s="84">
        <f t="shared" si="9"/>
        <v>2.0462696539828222</v>
      </c>
      <c r="K26" s="83"/>
    </row>
    <row r="27" spans="1:13" outlineLevel="1">
      <c r="A27" s="81">
        <v>33878</v>
      </c>
      <c r="B27" s="82"/>
      <c r="C27" s="82">
        <v>166.86998984737338</v>
      </c>
      <c r="D27" s="83">
        <f t="shared" si="10"/>
        <v>166.86998984737338</v>
      </c>
      <c r="E27" s="83">
        <f t="shared" si="11"/>
        <v>166.86998984737338</v>
      </c>
      <c r="F27" s="84">
        <f t="shared" si="12"/>
        <v>1.3349599187789869</v>
      </c>
      <c r="G27" s="84">
        <f t="shared" si="13"/>
        <v>1.6686998984737338</v>
      </c>
      <c r="H27" s="84">
        <f t="shared" si="14"/>
        <v>1.8021958903516324</v>
      </c>
      <c r="I27" s="84">
        <f t="shared" si="9"/>
        <v>2.085874873092167</v>
      </c>
      <c r="K27" s="83"/>
    </row>
    <row r="28" spans="1:13" outlineLevel="1">
      <c r="A28" s="81">
        <v>33909</v>
      </c>
      <c r="B28" s="82"/>
      <c r="C28" s="82">
        <v>156.30859808488137</v>
      </c>
      <c r="D28" s="83">
        <f t="shared" si="10"/>
        <v>156.30859808488137</v>
      </c>
      <c r="E28" s="83">
        <f t="shared" si="11"/>
        <v>156.30859808488137</v>
      </c>
      <c r="F28" s="84">
        <f t="shared" si="12"/>
        <v>1.250468784679051</v>
      </c>
      <c r="G28" s="84">
        <f t="shared" si="13"/>
        <v>1.5630859808488136</v>
      </c>
      <c r="H28" s="84">
        <f t="shared" si="14"/>
        <v>1.6881328593167189</v>
      </c>
      <c r="I28" s="84">
        <f t="shared" si="9"/>
        <v>1.953857476061017</v>
      </c>
      <c r="K28" s="83"/>
    </row>
    <row r="29" spans="1:13" outlineLevel="1">
      <c r="A29" s="81">
        <v>33939</v>
      </c>
      <c r="B29" s="82"/>
      <c r="C29" s="82">
        <v>158.42087643737977</v>
      </c>
      <c r="D29" s="83">
        <f t="shared" si="10"/>
        <v>158.42087643737977</v>
      </c>
      <c r="E29" s="83">
        <f t="shared" si="11"/>
        <v>158.42087643737977</v>
      </c>
      <c r="F29" s="84">
        <f t="shared" si="12"/>
        <v>1.2673670114990383</v>
      </c>
      <c r="G29" s="84">
        <f t="shared" si="13"/>
        <v>1.5842087643737977</v>
      </c>
      <c r="H29" s="84">
        <f t="shared" si="14"/>
        <v>1.7109454655237015</v>
      </c>
      <c r="I29" s="84">
        <f t="shared" si="9"/>
        <v>1.9802609554672472</v>
      </c>
      <c r="K29" s="83"/>
    </row>
    <row r="30" spans="1:13" outlineLevel="1">
      <c r="A30" s="81">
        <v>33970</v>
      </c>
      <c r="B30" s="82"/>
      <c r="C30" s="82">
        <v>158.42087643737977</v>
      </c>
      <c r="D30" s="83">
        <f t="shared" si="10"/>
        <v>158.42087643737977</v>
      </c>
      <c r="E30" s="83">
        <f t="shared" si="11"/>
        <v>158.42087643737977</v>
      </c>
      <c r="F30" s="84">
        <f t="shared" si="12"/>
        <v>1.2673670114990383</v>
      </c>
      <c r="G30" s="84">
        <f t="shared" si="13"/>
        <v>1.5842087643737977</v>
      </c>
      <c r="H30" s="84">
        <f t="shared" si="14"/>
        <v>1.7109454655237015</v>
      </c>
      <c r="I30" s="84">
        <f t="shared" si="9"/>
        <v>1.9802609554672472</v>
      </c>
      <c r="K30" s="83"/>
    </row>
    <row r="31" spans="1:13" outlineLevel="1">
      <c r="A31" s="81">
        <v>34001</v>
      </c>
      <c r="B31" s="82"/>
      <c r="C31" s="82">
        <v>163.70157231862578</v>
      </c>
      <c r="D31" s="83">
        <f t="shared" si="10"/>
        <v>163.70157231862578</v>
      </c>
      <c r="E31" s="83">
        <f t="shared" si="11"/>
        <v>163.70157231862578</v>
      </c>
      <c r="F31" s="84">
        <f t="shared" si="12"/>
        <v>1.3096125785490063</v>
      </c>
      <c r="G31" s="84">
        <f t="shared" si="13"/>
        <v>1.6370157231862577</v>
      </c>
      <c r="H31" s="84">
        <f t="shared" si="14"/>
        <v>1.7679769810411583</v>
      </c>
      <c r="I31" s="84">
        <f t="shared" si="9"/>
        <v>2.0462696539828222</v>
      </c>
      <c r="K31" s="83"/>
    </row>
    <row r="32" spans="1:13" outlineLevel="1">
      <c r="A32" s="81">
        <v>34029</v>
      </c>
      <c r="B32" s="82"/>
      <c r="C32" s="82">
        <v>163.70157231862578</v>
      </c>
      <c r="D32" s="83">
        <f t="shared" si="10"/>
        <v>163.70157231862578</v>
      </c>
      <c r="E32" s="83">
        <f t="shared" si="11"/>
        <v>163.70157231862578</v>
      </c>
      <c r="F32" s="84">
        <f t="shared" si="12"/>
        <v>1.3096125785490063</v>
      </c>
      <c r="G32" s="84">
        <f t="shared" si="13"/>
        <v>1.6370157231862577</v>
      </c>
      <c r="H32" s="84">
        <f t="shared" si="14"/>
        <v>1.7679769810411583</v>
      </c>
      <c r="I32" s="84">
        <f t="shared" si="9"/>
        <v>2.0462696539828222</v>
      </c>
      <c r="K32" s="83"/>
    </row>
    <row r="33" spans="1:11" outlineLevel="1">
      <c r="A33" s="81">
        <v>34060</v>
      </c>
      <c r="B33" s="82"/>
      <c r="C33" s="82">
        <v>176.37524243361614</v>
      </c>
      <c r="D33" s="83">
        <f t="shared" si="10"/>
        <v>176.37524243361614</v>
      </c>
      <c r="E33" s="83">
        <f t="shared" si="11"/>
        <v>176.37524243361614</v>
      </c>
      <c r="F33" s="84">
        <f t="shared" si="12"/>
        <v>1.411001939468929</v>
      </c>
      <c r="G33" s="84">
        <f t="shared" si="13"/>
        <v>1.7637524243361615</v>
      </c>
      <c r="H33" s="84">
        <f t="shared" si="14"/>
        <v>1.9048526182830543</v>
      </c>
      <c r="I33" s="84">
        <f t="shared" si="9"/>
        <v>2.2046905304202018</v>
      </c>
      <c r="K33" s="83"/>
    </row>
    <row r="34" spans="1:11" outlineLevel="1">
      <c r="A34" s="81">
        <v>34090</v>
      </c>
      <c r="B34" s="82"/>
      <c r="C34" s="82">
        <v>172.15068572861935</v>
      </c>
      <c r="D34" s="83">
        <f t="shared" si="10"/>
        <v>172.15068572861935</v>
      </c>
      <c r="E34" s="83">
        <f t="shared" si="11"/>
        <v>172.15068572861935</v>
      </c>
      <c r="F34" s="84">
        <f t="shared" si="12"/>
        <v>1.3772054858289546</v>
      </c>
      <c r="G34" s="84">
        <f t="shared" si="13"/>
        <v>1.7215068572861933</v>
      </c>
      <c r="H34" s="84">
        <f t="shared" si="14"/>
        <v>1.859227405869089</v>
      </c>
      <c r="I34" s="84">
        <f t="shared" si="9"/>
        <v>2.1518835716077418</v>
      </c>
      <c r="K34" s="83"/>
    </row>
    <row r="35" spans="1:11" outlineLevel="1">
      <c r="A35" s="81">
        <v>34121</v>
      </c>
      <c r="B35" s="82"/>
      <c r="C35" s="82">
        <v>172.15068572861935</v>
      </c>
      <c r="D35" s="83">
        <f t="shared" si="10"/>
        <v>172.15068572861935</v>
      </c>
      <c r="E35" s="83">
        <f t="shared" si="11"/>
        <v>172.15068572861935</v>
      </c>
      <c r="F35" s="84">
        <f t="shared" si="12"/>
        <v>1.3772054858289546</v>
      </c>
      <c r="G35" s="84">
        <f t="shared" si="13"/>
        <v>1.7215068572861933</v>
      </c>
      <c r="H35" s="84">
        <f t="shared" si="14"/>
        <v>1.859227405869089</v>
      </c>
      <c r="I35" s="84">
        <f t="shared" si="9"/>
        <v>2.1518835716077418</v>
      </c>
      <c r="K35" s="83"/>
    </row>
    <row r="36" spans="1:11" outlineLevel="1">
      <c r="A36" s="81">
        <v>34151</v>
      </c>
      <c r="B36" s="82"/>
      <c r="C36" s="82">
        <v>163.70157231862578</v>
      </c>
      <c r="D36" s="83">
        <f t="shared" si="10"/>
        <v>163.70157231862578</v>
      </c>
      <c r="E36" s="83">
        <f t="shared" si="11"/>
        <v>163.70157231862578</v>
      </c>
      <c r="F36" s="84">
        <f t="shared" si="12"/>
        <v>1.3096125785490063</v>
      </c>
      <c r="G36" s="84">
        <f t="shared" si="13"/>
        <v>1.6370157231862577</v>
      </c>
      <c r="H36" s="84">
        <f t="shared" si="14"/>
        <v>1.7679769810411583</v>
      </c>
      <c r="I36" s="84">
        <f t="shared" si="9"/>
        <v>2.0462696539828222</v>
      </c>
      <c r="K36" s="83"/>
    </row>
    <row r="37" spans="1:11" outlineLevel="1">
      <c r="A37" s="81">
        <v>34182</v>
      </c>
      <c r="B37" s="82"/>
      <c r="C37" s="82">
        <v>163.70157231862578</v>
      </c>
      <c r="D37" s="83">
        <f t="shared" si="10"/>
        <v>163.70157231862578</v>
      </c>
      <c r="E37" s="83">
        <f t="shared" si="11"/>
        <v>163.70157231862578</v>
      </c>
      <c r="F37" s="84">
        <f t="shared" si="12"/>
        <v>1.3096125785490063</v>
      </c>
      <c r="G37" s="84">
        <f t="shared" si="13"/>
        <v>1.6370157231862577</v>
      </c>
      <c r="H37" s="84">
        <f t="shared" si="14"/>
        <v>1.7679769810411583</v>
      </c>
      <c r="I37" s="84">
        <f t="shared" si="9"/>
        <v>2.0462696539828222</v>
      </c>
      <c r="K37" s="83"/>
    </row>
    <row r="38" spans="1:11" outlineLevel="1">
      <c r="A38" s="81">
        <v>34213</v>
      </c>
      <c r="B38" s="82"/>
      <c r="C38" s="82">
        <v>174.26296408111776</v>
      </c>
      <c r="D38" s="83">
        <f t="shared" si="10"/>
        <v>174.26296408111776</v>
      </c>
      <c r="E38" s="83">
        <f t="shared" si="11"/>
        <v>174.26296408111776</v>
      </c>
      <c r="F38" s="84">
        <f t="shared" si="12"/>
        <v>1.3941037126489422</v>
      </c>
      <c r="G38" s="84">
        <f t="shared" si="13"/>
        <v>1.7426296408111777</v>
      </c>
      <c r="H38" s="84">
        <f t="shared" si="14"/>
        <v>1.8820400120760716</v>
      </c>
      <c r="I38" s="84">
        <f t="shared" si="9"/>
        <v>2.1782870510139722</v>
      </c>
      <c r="K38" s="83"/>
    </row>
    <row r="39" spans="1:11" outlineLevel="1">
      <c r="A39" s="81">
        <v>34243</v>
      </c>
      <c r="B39" s="82"/>
      <c r="C39" s="82">
        <v>172.15068572861935</v>
      </c>
      <c r="D39" s="83">
        <f t="shared" si="10"/>
        <v>172.15068572861935</v>
      </c>
      <c r="E39" s="83">
        <f t="shared" si="11"/>
        <v>172.15068572861935</v>
      </c>
      <c r="F39" s="84">
        <f t="shared" si="12"/>
        <v>1.3772054858289546</v>
      </c>
      <c r="G39" s="84">
        <f t="shared" si="13"/>
        <v>1.7215068572861933</v>
      </c>
      <c r="H39" s="84">
        <f t="shared" si="14"/>
        <v>1.859227405869089</v>
      </c>
      <c r="I39" s="84">
        <f t="shared" si="9"/>
        <v>2.1518835716077418</v>
      </c>
      <c r="K39" s="83"/>
    </row>
    <row r="40" spans="1:11" outlineLevel="1">
      <c r="A40" s="81">
        <v>34274</v>
      </c>
      <c r="B40" s="82"/>
      <c r="C40" s="82">
        <v>174.26296408111776</v>
      </c>
      <c r="D40" s="83">
        <f t="shared" si="10"/>
        <v>174.26296408111776</v>
      </c>
      <c r="E40" s="83">
        <f t="shared" si="11"/>
        <v>174.26296408111776</v>
      </c>
      <c r="F40" s="84">
        <f t="shared" si="12"/>
        <v>1.3941037126489422</v>
      </c>
      <c r="G40" s="84">
        <f t="shared" si="13"/>
        <v>1.7426296408111777</v>
      </c>
      <c r="H40" s="84">
        <f t="shared" si="14"/>
        <v>1.8820400120760716</v>
      </c>
      <c r="I40" s="84">
        <f t="shared" si="9"/>
        <v>2.1782870510139722</v>
      </c>
      <c r="K40" s="83"/>
    </row>
    <row r="41" spans="1:11" outlineLevel="1">
      <c r="A41" s="81">
        <v>34304</v>
      </c>
      <c r="B41" s="82"/>
      <c r="C41" s="82">
        <v>168.98226819987175</v>
      </c>
      <c r="D41" s="83">
        <f t="shared" si="10"/>
        <v>168.98226819987175</v>
      </c>
      <c r="E41" s="83">
        <f t="shared" si="11"/>
        <v>168.98226819987175</v>
      </c>
      <c r="F41" s="84">
        <f t="shared" si="12"/>
        <v>1.351858145598974</v>
      </c>
      <c r="G41" s="84">
        <f t="shared" si="13"/>
        <v>1.6898226819987177</v>
      </c>
      <c r="H41" s="84">
        <f t="shared" si="14"/>
        <v>1.8250084965586151</v>
      </c>
      <c r="I41" s="84">
        <f t="shared" si="9"/>
        <v>2.1122783524983966</v>
      </c>
      <c r="K41" s="83"/>
    </row>
    <row r="42" spans="1:11" outlineLevel="1">
      <c r="A42" s="81">
        <v>34335</v>
      </c>
      <c r="B42" s="82"/>
      <c r="C42" s="82">
        <v>164.75771149487497</v>
      </c>
      <c r="D42" s="83">
        <f t="shared" si="10"/>
        <v>164.75771149487497</v>
      </c>
      <c r="E42" s="83">
        <f t="shared" si="11"/>
        <v>164.75771149487497</v>
      </c>
      <c r="F42" s="84">
        <f t="shared" si="12"/>
        <v>1.3180616919589998</v>
      </c>
      <c r="G42" s="84">
        <f t="shared" si="13"/>
        <v>1.6475771149487497</v>
      </c>
      <c r="H42" s="84">
        <f t="shared" si="14"/>
        <v>1.7793832841446497</v>
      </c>
      <c r="I42" s="84">
        <f t="shared" si="9"/>
        <v>2.059471393685937</v>
      </c>
      <c r="K42" s="83"/>
    </row>
    <row r="43" spans="1:11" outlineLevel="1">
      <c r="A43" s="81">
        <v>34366</v>
      </c>
      <c r="B43" s="82"/>
      <c r="C43" s="82">
        <v>165.81385067112416</v>
      </c>
      <c r="D43" s="83">
        <f t="shared" si="10"/>
        <v>165.81385067112416</v>
      </c>
      <c r="E43" s="83">
        <f t="shared" si="11"/>
        <v>165.81385067112416</v>
      </c>
      <c r="F43" s="84">
        <f t="shared" si="12"/>
        <v>1.3265108053689931</v>
      </c>
      <c r="G43" s="84">
        <f t="shared" si="13"/>
        <v>1.6581385067112415</v>
      </c>
      <c r="H43" s="84">
        <f t="shared" si="14"/>
        <v>1.790789587248141</v>
      </c>
      <c r="I43" s="84">
        <f t="shared" si="9"/>
        <v>2.0726731333890518</v>
      </c>
      <c r="K43" s="83"/>
    </row>
    <row r="44" spans="1:11" outlineLevel="1">
      <c r="A44" s="81">
        <v>34394</v>
      </c>
      <c r="B44" s="82"/>
      <c r="C44" s="82">
        <v>165.81385067112416</v>
      </c>
      <c r="D44" s="83">
        <f t="shared" si="10"/>
        <v>165.81385067112416</v>
      </c>
      <c r="E44" s="83">
        <f t="shared" si="11"/>
        <v>165.81385067112416</v>
      </c>
      <c r="F44" s="84">
        <f t="shared" si="12"/>
        <v>1.3265108053689931</v>
      </c>
      <c r="G44" s="84">
        <f t="shared" si="13"/>
        <v>1.6581385067112415</v>
      </c>
      <c r="H44" s="84">
        <f t="shared" si="14"/>
        <v>1.790789587248141</v>
      </c>
      <c r="I44" s="84">
        <f t="shared" si="9"/>
        <v>2.0726731333890518</v>
      </c>
      <c r="K44" s="83"/>
    </row>
    <row r="45" spans="1:11" outlineLevel="1">
      <c r="A45" s="81">
        <v>34425</v>
      </c>
      <c r="B45" s="82"/>
      <c r="C45" s="82">
        <v>165.81385067112416</v>
      </c>
      <c r="D45" s="83">
        <f t="shared" si="10"/>
        <v>165.81385067112416</v>
      </c>
      <c r="E45" s="83">
        <f t="shared" si="11"/>
        <v>165.81385067112416</v>
      </c>
      <c r="F45" s="84">
        <f t="shared" si="12"/>
        <v>1.3265108053689931</v>
      </c>
      <c r="G45" s="84">
        <f t="shared" si="13"/>
        <v>1.6581385067112415</v>
      </c>
      <c r="H45" s="84">
        <f t="shared" si="14"/>
        <v>1.790789587248141</v>
      </c>
      <c r="I45" s="84">
        <f t="shared" si="9"/>
        <v>2.0726731333890518</v>
      </c>
      <c r="K45" s="83"/>
    </row>
    <row r="46" spans="1:11" outlineLevel="1">
      <c r="A46" s="81">
        <v>34455</v>
      </c>
      <c r="B46" s="82"/>
      <c r="C46" s="82">
        <v>172.15068572861935</v>
      </c>
      <c r="D46" s="83">
        <f t="shared" si="10"/>
        <v>172.15068572861935</v>
      </c>
      <c r="E46" s="83">
        <f t="shared" si="11"/>
        <v>172.15068572861935</v>
      </c>
      <c r="F46" s="84">
        <f t="shared" si="12"/>
        <v>1.3772054858289546</v>
      </c>
      <c r="G46" s="84">
        <f t="shared" si="13"/>
        <v>1.7215068572861933</v>
      </c>
      <c r="H46" s="84">
        <f t="shared" si="14"/>
        <v>1.859227405869089</v>
      </c>
      <c r="I46" s="84">
        <f t="shared" si="9"/>
        <v>2.1518835716077418</v>
      </c>
      <c r="K46" s="83"/>
    </row>
    <row r="47" spans="1:11" outlineLevel="1">
      <c r="A47" s="81">
        <v>34486</v>
      </c>
      <c r="B47" s="82"/>
      <c r="C47" s="82">
        <v>168.98226819987175</v>
      </c>
      <c r="D47" s="83">
        <f t="shared" si="10"/>
        <v>168.98226819987175</v>
      </c>
      <c r="E47" s="83">
        <f t="shared" si="11"/>
        <v>168.98226819987175</v>
      </c>
      <c r="F47" s="84">
        <f t="shared" si="12"/>
        <v>1.351858145598974</v>
      </c>
      <c r="G47" s="84">
        <f t="shared" si="13"/>
        <v>1.6898226819987177</v>
      </c>
      <c r="H47" s="84">
        <f t="shared" si="14"/>
        <v>1.8250084965586151</v>
      </c>
      <c r="I47" s="84">
        <f t="shared" si="9"/>
        <v>2.1122783524983966</v>
      </c>
      <c r="K47" s="83"/>
    </row>
    <row r="48" spans="1:11" outlineLevel="1">
      <c r="A48" s="81">
        <v>34516</v>
      </c>
      <c r="B48" s="82"/>
      <c r="C48" s="82">
        <v>164.75771149487497</v>
      </c>
      <c r="D48" s="83">
        <f t="shared" si="10"/>
        <v>164.75771149487497</v>
      </c>
      <c r="E48" s="83">
        <f t="shared" si="11"/>
        <v>164.75771149487497</v>
      </c>
      <c r="F48" s="84">
        <f t="shared" si="12"/>
        <v>1.3180616919589998</v>
      </c>
      <c r="G48" s="84">
        <f t="shared" si="13"/>
        <v>1.6475771149487497</v>
      </c>
      <c r="H48" s="84">
        <f t="shared" si="14"/>
        <v>1.7793832841446497</v>
      </c>
      <c r="I48" s="84">
        <f t="shared" si="9"/>
        <v>2.059471393685937</v>
      </c>
      <c r="K48" s="83"/>
    </row>
    <row r="49" spans="1:11" outlineLevel="1">
      <c r="A49" s="81">
        <v>34547</v>
      </c>
      <c r="B49" s="82"/>
      <c r="C49" s="82">
        <v>168.98226819987175</v>
      </c>
      <c r="D49" s="83">
        <f t="shared" si="10"/>
        <v>168.98226819987175</v>
      </c>
      <c r="E49" s="83">
        <f t="shared" si="11"/>
        <v>168.98226819987175</v>
      </c>
      <c r="F49" s="84">
        <f t="shared" si="12"/>
        <v>1.351858145598974</v>
      </c>
      <c r="G49" s="84">
        <f t="shared" si="13"/>
        <v>1.6898226819987177</v>
      </c>
      <c r="H49" s="84">
        <f t="shared" si="14"/>
        <v>1.8250084965586151</v>
      </c>
      <c r="I49" s="84">
        <f t="shared" si="9"/>
        <v>2.1122783524983966</v>
      </c>
      <c r="K49" s="83"/>
    </row>
    <row r="50" spans="1:11" outlineLevel="1">
      <c r="A50" s="81">
        <v>34578</v>
      </c>
      <c r="B50" s="82"/>
      <c r="C50" s="82">
        <v>181.65593831486214</v>
      </c>
      <c r="D50" s="83">
        <f t="shared" si="10"/>
        <v>181.65593831486214</v>
      </c>
      <c r="E50" s="83">
        <f t="shared" si="11"/>
        <v>181.65593831486214</v>
      </c>
      <c r="F50" s="84">
        <f t="shared" si="12"/>
        <v>1.4532475065188972</v>
      </c>
      <c r="G50" s="84">
        <f t="shared" si="13"/>
        <v>1.8165593831486213</v>
      </c>
      <c r="H50" s="84">
        <f t="shared" si="14"/>
        <v>1.9618841338005111</v>
      </c>
      <c r="I50" s="84">
        <f t="shared" si="9"/>
        <v>2.2706992289357766</v>
      </c>
      <c r="K50" s="83"/>
    </row>
    <row r="51" spans="1:11" outlineLevel="1">
      <c r="A51" s="81">
        <v>34608</v>
      </c>
      <c r="B51" s="82"/>
      <c r="C51" s="82">
        <v>181.65593831486214</v>
      </c>
      <c r="D51" s="83">
        <f t="shared" si="10"/>
        <v>181.65593831486214</v>
      </c>
      <c r="E51" s="83">
        <f t="shared" si="11"/>
        <v>181.65593831486214</v>
      </c>
      <c r="F51" s="84">
        <f t="shared" si="12"/>
        <v>1.4532475065188972</v>
      </c>
      <c r="G51" s="84">
        <f t="shared" si="13"/>
        <v>1.8165593831486213</v>
      </c>
      <c r="H51" s="84">
        <f t="shared" si="14"/>
        <v>1.9618841338005111</v>
      </c>
      <c r="I51" s="84">
        <f t="shared" si="9"/>
        <v>2.2706992289357766</v>
      </c>
      <c r="K51" s="83"/>
    </row>
    <row r="52" spans="1:11" outlineLevel="1">
      <c r="A52" s="81">
        <v>34639</v>
      </c>
      <c r="B52" s="82"/>
      <c r="C52" s="82">
        <v>181.65593831486214</v>
      </c>
      <c r="D52" s="83">
        <f t="shared" si="10"/>
        <v>181.65593831486214</v>
      </c>
      <c r="E52" s="83">
        <f t="shared" si="11"/>
        <v>181.65593831486214</v>
      </c>
      <c r="F52" s="84">
        <f t="shared" si="12"/>
        <v>1.4532475065188972</v>
      </c>
      <c r="G52" s="84">
        <f t="shared" si="13"/>
        <v>1.8165593831486213</v>
      </c>
      <c r="H52" s="84">
        <f t="shared" si="14"/>
        <v>1.9618841338005111</v>
      </c>
      <c r="I52" s="84">
        <f t="shared" si="9"/>
        <v>2.2706992289357766</v>
      </c>
      <c r="K52" s="83"/>
    </row>
    <row r="53" spans="1:11" outlineLevel="1">
      <c r="A53" s="81">
        <v>34669</v>
      </c>
      <c r="B53" s="82"/>
      <c r="C53" s="82">
        <v>195.38574760610172</v>
      </c>
      <c r="D53" s="83">
        <f t="shared" si="10"/>
        <v>195.38574760610172</v>
      </c>
      <c r="E53" s="83">
        <f t="shared" si="11"/>
        <v>195.38574760610172</v>
      </c>
      <c r="F53" s="84">
        <f t="shared" si="12"/>
        <v>1.5630859808488136</v>
      </c>
      <c r="G53" s="84">
        <f t="shared" si="13"/>
        <v>1.9538574760610172</v>
      </c>
      <c r="H53" s="84">
        <f t="shared" si="14"/>
        <v>2.1101660741458987</v>
      </c>
      <c r="I53" s="84">
        <f t="shared" si="9"/>
        <v>2.4423218450762714</v>
      </c>
      <c r="K53" s="83"/>
    </row>
    <row r="54" spans="1:11" outlineLevel="1">
      <c r="A54" s="81">
        <v>34700</v>
      </c>
      <c r="B54" s="82"/>
      <c r="C54" s="82">
        <v>181.65593831486214</v>
      </c>
      <c r="D54" s="83">
        <f t="shared" si="10"/>
        <v>181.65593831486214</v>
      </c>
      <c r="E54" s="83">
        <f t="shared" si="11"/>
        <v>181.65593831486214</v>
      </c>
      <c r="F54" s="84">
        <f t="shared" si="12"/>
        <v>1.4532475065188972</v>
      </c>
      <c r="G54" s="84">
        <f t="shared" si="13"/>
        <v>1.8165593831486213</v>
      </c>
      <c r="H54" s="84">
        <f t="shared" si="14"/>
        <v>1.9618841338005111</v>
      </c>
      <c r="I54" s="84">
        <f t="shared" si="9"/>
        <v>2.2706992289357766</v>
      </c>
      <c r="K54" s="83"/>
    </row>
    <row r="55" spans="1:11" outlineLevel="1">
      <c r="A55" s="81">
        <v>34731</v>
      </c>
      <c r="B55" s="82"/>
      <c r="C55" s="82">
        <v>183.76821666736055</v>
      </c>
      <c r="D55" s="83">
        <f t="shared" si="10"/>
        <v>183.76821666736055</v>
      </c>
      <c r="E55" s="83">
        <f t="shared" si="11"/>
        <v>183.76821666736055</v>
      </c>
      <c r="F55" s="84">
        <f t="shared" si="12"/>
        <v>1.4701457333388843</v>
      </c>
      <c r="G55" s="84">
        <f t="shared" si="13"/>
        <v>1.8376821666736056</v>
      </c>
      <c r="H55" s="84">
        <f t="shared" si="14"/>
        <v>1.984696740007494</v>
      </c>
      <c r="I55" s="84">
        <f t="shared" si="9"/>
        <v>2.297102708342007</v>
      </c>
      <c r="K55" s="83"/>
    </row>
    <row r="56" spans="1:11" outlineLevel="1">
      <c r="A56" s="81">
        <v>34759</v>
      </c>
      <c r="B56" s="82"/>
      <c r="C56" s="82">
        <v>185.88049501985893</v>
      </c>
      <c r="D56" s="83">
        <f t="shared" si="10"/>
        <v>185.88049501985893</v>
      </c>
      <c r="E56" s="83">
        <f t="shared" si="11"/>
        <v>185.88049501985893</v>
      </c>
      <c r="F56" s="84">
        <f t="shared" si="12"/>
        <v>1.4870439601588714</v>
      </c>
      <c r="G56" s="84">
        <f t="shared" si="13"/>
        <v>1.8588049501985893</v>
      </c>
      <c r="H56" s="84">
        <f t="shared" si="14"/>
        <v>2.0075093462144764</v>
      </c>
      <c r="I56" s="84">
        <f t="shared" si="9"/>
        <v>2.3235061877482366</v>
      </c>
      <c r="K56" s="83"/>
    </row>
    <row r="57" spans="1:11" outlineLevel="1">
      <c r="A57" s="81">
        <v>34790</v>
      </c>
      <c r="B57" s="82"/>
      <c r="C57" s="82">
        <v>182.71207749111133</v>
      </c>
      <c r="D57" s="83">
        <f t="shared" si="10"/>
        <v>182.71207749111133</v>
      </c>
      <c r="E57" s="83">
        <f t="shared" si="11"/>
        <v>182.71207749111133</v>
      </c>
      <c r="F57" s="84">
        <f t="shared" si="12"/>
        <v>1.4616966199288906</v>
      </c>
      <c r="G57" s="84">
        <f t="shared" si="13"/>
        <v>1.8271207749111134</v>
      </c>
      <c r="H57" s="84">
        <f t="shared" si="14"/>
        <v>1.9732904369040025</v>
      </c>
      <c r="I57" s="84">
        <f t="shared" si="9"/>
        <v>2.2839009686388918</v>
      </c>
      <c r="K57" s="83"/>
    </row>
    <row r="58" spans="1:11" outlineLevel="1">
      <c r="A58" s="81">
        <v>34820</v>
      </c>
      <c r="B58" s="82"/>
      <c r="C58" s="82">
        <v>184.82435584360974</v>
      </c>
      <c r="D58" s="83">
        <f t="shared" si="10"/>
        <v>184.82435584360974</v>
      </c>
      <c r="E58" s="83">
        <f t="shared" si="11"/>
        <v>184.82435584360974</v>
      </c>
      <c r="F58" s="84">
        <f t="shared" si="12"/>
        <v>1.4785948467488779</v>
      </c>
      <c r="G58" s="84">
        <f t="shared" si="13"/>
        <v>1.8482435584360974</v>
      </c>
      <c r="H58" s="84">
        <f t="shared" si="14"/>
        <v>1.9961030431109852</v>
      </c>
      <c r="I58" s="84">
        <f t="shared" si="9"/>
        <v>2.3103044480451214</v>
      </c>
      <c r="K58" s="83"/>
    </row>
    <row r="59" spans="1:11" outlineLevel="1">
      <c r="A59" s="81">
        <v>34851</v>
      </c>
      <c r="B59" s="82"/>
      <c r="C59" s="82">
        <v>179.54365996236373</v>
      </c>
      <c r="D59" s="83">
        <f t="shared" si="10"/>
        <v>179.54365996236373</v>
      </c>
      <c r="E59" s="83">
        <f t="shared" si="11"/>
        <v>179.54365996236373</v>
      </c>
      <c r="F59" s="84">
        <f t="shared" si="12"/>
        <v>1.4363492796989099</v>
      </c>
      <c r="G59" s="84">
        <f t="shared" si="13"/>
        <v>1.7954365996236372</v>
      </c>
      <c r="H59" s="84">
        <f t="shared" si="14"/>
        <v>1.9390715275935284</v>
      </c>
      <c r="I59" s="84">
        <f t="shared" si="9"/>
        <v>2.2442957495295466</v>
      </c>
      <c r="K59" s="83"/>
    </row>
    <row r="60" spans="1:11" outlineLevel="1">
      <c r="A60" s="81">
        <v>34881</v>
      </c>
      <c r="B60" s="82"/>
      <c r="C60" s="82">
        <v>177.43138160986535</v>
      </c>
      <c r="D60" s="83">
        <f t="shared" si="10"/>
        <v>177.43138160986535</v>
      </c>
      <c r="E60" s="83">
        <f t="shared" si="11"/>
        <v>177.43138160986535</v>
      </c>
      <c r="F60" s="84">
        <f t="shared" si="12"/>
        <v>1.4194510528789228</v>
      </c>
      <c r="G60" s="84">
        <f t="shared" si="13"/>
        <v>1.7743138160986536</v>
      </c>
      <c r="H60" s="84">
        <f t="shared" si="14"/>
        <v>1.9162589213865457</v>
      </c>
      <c r="I60" s="84">
        <f t="shared" si="9"/>
        <v>2.217892270123317</v>
      </c>
      <c r="K60" s="83"/>
    </row>
    <row r="61" spans="1:11" outlineLevel="1">
      <c r="A61" s="81">
        <v>34912</v>
      </c>
      <c r="B61" s="82"/>
      <c r="C61" s="82">
        <v>187.99277337235733</v>
      </c>
      <c r="D61" s="83">
        <f t="shared" si="10"/>
        <v>187.99277337235733</v>
      </c>
      <c r="E61" s="83">
        <f t="shared" si="11"/>
        <v>187.99277337235733</v>
      </c>
      <c r="F61" s="84">
        <f t="shared" si="12"/>
        <v>1.5039421869788587</v>
      </c>
      <c r="G61" s="84">
        <f t="shared" si="13"/>
        <v>1.8799277337235734</v>
      </c>
      <c r="H61" s="84">
        <f t="shared" si="14"/>
        <v>2.0303219524214593</v>
      </c>
      <c r="I61" s="84">
        <f t="shared" si="9"/>
        <v>2.3499096671544666</v>
      </c>
      <c r="K61" s="83"/>
    </row>
    <row r="62" spans="1:11" outlineLevel="1">
      <c r="A62" s="81">
        <v>34943</v>
      </c>
      <c r="B62" s="82"/>
      <c r="C62" s="82">
        <v>190.10505172485574</v>
      </c>
      <c r="D62" s="83">
        <f t="shared" si="10"/>
        <v>190.10505172485574</v>
      </c>
      <c r="E62" s="83">
        <f t="shared" si="11"/>
        <v>190.10505172485574</v>
      </c>
      <c r="F62" s="84">
        <f t="shared" si="12"/>
        <v>1.5208404137988458</v>
      </c>
      <c r="G62" s="84">
        <f t="shared" si="13"/>
        <v>1.9010505172485574</v>
      </c>
      <c r="H62" s="84">
        <f t="shared" si="14"/>
        <v>2.0531345586284422</v>
      </c>
      <c r="I62" s="84">
        <f t="shared" si="9"/>
        <v>2.376313146560697</v>
      </c>
      <c r="K62" s="83"/>
    </row>
    <row r="63" spans="1:11" outlineLevel="1">
      <c r="A63" s="81">
        <v>34973</v>
      </c>
      <c r="B63" s="82"/>
      <c r="C63" s="82">
        <v>174.26296408111776</v>
      </c>
      <c r="D63" s="83">
        <f t="shared" si="10"/>
        <v>174.26296408111776</v>
      </c>
      <c r="E63" s="83">
        <f t="shared" si="11"/>
        <v>174.26296408111776</v>
      </c>
      <c r="F63" s="84">
        <f t="shared" si="12"/>
        <v>1.3941037126489422</v>
      </c>
      <c r="G63" s="84">
        <f t="shared" si="13"/>
        <v>1.7426296408111777</v>
      </c>
      <c r="H63" s="84">
        <f t="shared" si="14"/>
        <v>1.8820400120760716</v>
      </c>
      <c r="I63" s="84">
        <f t="shared" si="9"/>
        <v>2.1782870510139722</v>
      </c>
      <c r="K63" s="83"/>
    </row>
    <row r="64" spans="1:11" outlineLevel="1">
      <c r="A64" s="81">
        <v>35004</v>
      </c>
      <c r="B64" s="82"/>
      <c r="C64" s="82">
        <v>174.26296408111776</v>
      </c>
      <c r="D64" s="83">
        <f t="shared" si="10"/>
        <v>174.26296408111776</v>
      </c>
      <c r="E64" s="83">
        <f t="shared" si="11"/>
        <v>174.26296408111776</v>
      </c>
      <c r="F64" s="84">
        <f t="shared" si="12"/>
        <v>1.3941037126489422</v>
      </c>
      <c r="G64" s="84">
        <f t="shared" si="13"/>
        <v>1.7426296408111777</v>
      </c>
      <c r="H64" s="84">
        <f t="shared" si="14"/>
        <v>1.8820400120760716</v>
      </c>
      <c r="I64" s="84">
        <f t="shared" si="9"/>
        <v>2.1782870510139722</v>
      </c>
      <c r="K64" s="83"/>
    </row>
    <row r="65" spans="1:11" outlineLevel="1">
      <c r="A65" s="81">
        <v>35034</v>
      </c>
      <c r="B65" s="82"/>
      <c r="C65" s="82">
        <v>174.26296408111776</v>
      </c>
      <c r="D65" s="83">
        <f t="shared" si="10"/>
        <v>174.26296408111776</v>
      </c>
      <c r="E65" s="83">
        <f t="shared" si="11"/>
        <v>174.26296408111776</v>
      </c>
      <c r="F65" s="84">
        <f t="shared" si="12"/>
        <v>1.3941037126489422</v>
      </c>
      <c r="G65" s="84">
        <f t="shared" si="13"/>
        <v>1.7426296408111777</v>
      </c>
      <c r="H65" s="84">
        <f t="shared" si="14"/>
        <v>1.8820400120760716</v>
      </c>
      <c r="I65" s="84">
        <f t="shared" si="9"/>
        <v>2.1782870510139722</v>
      </c>
      <c r="K65" s="83"/>
    </row>
    <row r="66" spans="1:11" outlineLevel="1">
      <c r="A66" s="81">
        <v>35065</v>
      </c>
      <c r="B66" s="82"/>
      <c r="C66" s="82">
        <v>184.82435584360974</v>
      </c>
      <c r="D66" s="83">
        <f t="shared" si="10"/>
        <v>184.82435584360974</v>
      </c>
      <c r="E66" s="83">
        <f t="shared" si="11"/>
        <v>184.82435584360974</v>
      </c>
      <c r="F66" s="84">
        <f t="shared" si="12"/>
        <v>1.4785948467488779</v>
      </c>
      <c r="G66" s="84">
        <f t="shared" si="13"/>
        <v>1.8482435584360974</v>
      </c>
      <c r="H66" s="84">
        <f t="shared" si="14"/>
        <v>1.9961030431109852</v>
      </c>
      <c r="I66" s="84">
        <f t="shared" si="9"/>
        <v>2.3103044480451214</v>
      </c>
      <c r="K66" s="83"/>
    </row>
    <row r="67" spans="1:11" outlineLevel="1">
      <c r="A67" s="81">
        <v>35096</v>
      </c>
      <c r="B67" s="82"/>
      <c r="C67" s="82">
        <v>195.38574760610172</v>
      </c>
      <c r="D67" s="83">
        <f t="shared" si="10"/>
        <v>195.38574760610172</v>
      </c>
      <c r="E67" s="83">
        <f t="shared" si="11"/>
        <v>195.38574760610172</v>
      </c>
      <c r="F67" s="84">
        <f t="shared" si="12"/>
        <v>1.5630859808488136</v>
      </c>
      <c r="G67" s="84">
        <f t="shared" si="13"/>
        <v>1.9538574760610172</v>
      </c>
      <c r="H67" s="84">
        <f t="shared" si="14"/>
        <v>2.1101660741458987</v>
      </c>
      <c r="I67" s="84">
        <f t="shared" si="9"/>
        <v>2.4423218450762714</v>
      </c>
      <c r="K67" s="83"/>
    </row>
    <row r="68" spans="1:11" outlineLevel="1">
      <c r="A68" s="81">
        <v>35125</v>
      </c>
      <c r="B68" s="82"/>
      <c r="C68" s="82">
        <v>199.61030431109853</v>
      </c>
      <c r="D68" s="83">
        <f t="shared" si="10"/>
        <v>199.61030431109853</v>
      </c>
      <c r="E68" s="83">
        <f t="shared" si="11"/>
        <v>199.61030431109853</v>
      </c>
      <c r="F68" s="84">
        <f t="shared" si="12"/>
        <v>1.5968824344887882</v>
      </c>
      <c r="G68" s="84">
        <f t="shared" si="13"/>
        <v>1.9961030431109854</v>
      </c>
      <c r="H68" s="84">
        <f t="shared" si="14"/>
        <v>2.1557912865598641</v>
      </c>
      <c r="I68" s="84">
        <f t="shared" si="9"/>
        <v>2.4951288038887318</v>
      </c>
      <c r="K68" s="83"/>
    </row>
    <row r="69" spans="1:11" outlineLevel="1">
      <c r="A69" s="81">
        <v>35156</v>
      </c>
      <c r="B69" s="82"/>
      <c r="C69" s="82">
        <v>204.89100019234451</v>
      </c>
      <c r="D69" s="83">
        <f t="shared" si="10"/>
        <v>204.89100019234451</v>
      </c>
      <c r="E69" s="83">
        <f t="shared" si="11"/>
        <v>204.89100019234451</v>
      </c>
      <c r="F69" s="84">
        <f t="shared" si="12"/>
        <v>1.6391280015387562</v>
      </c>
      <c r="G69" s="84">
        <f t="shared" si="13"/>
        <v>2.0489100019234452</v>
      </c>
      <c r="H69" s="84">
        <f t="shared" si="14"/>
        <v>2.2128228020773211</v>
      </c>
      <c r="I69" s="84">
        <f t="shared" si="9"/>
        <v>2.5611375024043066</v>
      </c>
      <c r="K69" s="83"/>
    </row>
    <row r="70" spans="1:11" outlineLevel="1">
      <c r="A70" s="81">
        <v>35186</v>
      </c>
      <c r="B70" s="82"/>
      <c r="C70" s="82">
        <v>202.77872183984613</v>
      </c>
      <c r="D70" s="83">
        <f t="shared" si="10"/>
        <v>202.77872183984613</v>
      </c>
      <c r="E70" s="83">
        <f t="shared" si="11"/>
        <v>202.77872183984613</v>
      </c>
      <c r="F70" s="84">
        <f t="shared" si="12"/>
        <v>1.6222297747187691</v>
      </c>
      <c r="G70" s="84">
        <f t="shared" si="13"/>
        <v>2.0277872183984615</v>
      </c>
      <c r="H70" s="84">
        <f t="shared" si="14"/>
        <v>2.1900101958703382</v>
      </c>
      <c r="I70" s="84">
        <f t="shared" si="9"/>
        <v>2.5347340229980766</v>
      </c>
      <c r="K70" s="83"/>
    </row>
    <row r="71" spans="1:11" outlineLevel="1">
      <c r="A71" s="81">
        <v>35217</v>
      </c>
      <c r="B71" s="82"/>
      <c r="C71" s="82">
        <v>201.72258266359691</v>
      </c>
      <c r="D71" s="83">
        <f t="shared" si="10"/>
        <v>201.72258266359691</v>
      </c>
      <c r="E71" s="83">
        <f t="shared" si="11"/>
        <v>201.72258266359691</v>
      </c>
      <c r="F71" s="84">
        <f t="shared" si="12"/>
        <v>1.6137806613087753</v>
      </c>
      <c r="G71" s="84">
        <f t="shared" si="13"/>
        <v>2.0172258266359693</v>
      </c>
      <c r="H71" s="84">
        <f t="shared" si="14"/>
        <v>2.178603892766847</v>
      </c>
      <c r="I71" s="84">
        <f t="shared" si="9"/>
        <v>2.5215322832949614</v>
      </c>
      <c r="K71" s="83"/>
    </row>
    <row r="72" spans="1:11" outlineLevel="1">
      <c r="A72" s="81">
        <v>35247</v>
      </c>
      <c r="B72" s="82"/>
      <c r="C72" s="82">
        <v>207.00327854484291</v>
      </c>
      <c r="D72" s="83">
        <f t="shared" si="10"/>
        <v>207.00327854484291</v>
      </c>
      <c r="E72" s="83">
        <f t="shared" si="11"/>
        <v>207.00327854484291</v>
      </c>
      <c r="F72" s="84">
        <f t="shared" si="12"/>
        <v>1.6560262283587432</v>
      </c>
      <c r="G72" s="84">
        <f t="shared" si="13"/>
        <v>2.0700327854484293</v>
      </c>
      <c r="H72" s="84">
        <f t="shared" si="14"/>
        <v>2.2356354082843031</v>
      </c>
      <c r="I72" s="84">
        <f t="shared" si="9"/>
        <v>2.5875409818105362</v>
      </c>
      <c r="K72" s="83"/>
    </row>
    <row r="73" spans="1:11" outlineLevel="1">
      <c r="A73" s="81">
        <v>35278</v>
      </c>
      <c r="B73" s="82"/>
      <c r="C73" s="82">
        <v>199.61030431109853</v>
      </c>
      <c r="D73" s="83">
        <f t="shared" si="10"/>
        <v>199.61030431109853</v>
      </c>
      <c r="E73" s="83">
        <f t="shared" si="11"/>
        <v>199.61030431109853</v>
      </c>
      <c r="F73" s="84">
        <f t="shared" si="12"/>
        <v>1.5968824344887882</v>
      </c>
      <c r="G73" s="84">
        <f t="shared" si="13"/>
        <v>1.9961030431109854</v>
      </c>
      <c r="H73" s="84">
        <f t="shared" si="14"/>
        <v>2.1557912865598641</v>
      </c>
      <c r="I73" s="84">
        <f t="shared" si="9"/>
        <v>2.4951288038887318</v>
      </c>
      <c r="K73" s="83"/>
    </row>
    <row r="74" spans="1:11" outlineLevel="1">
      <c r="A74" s="81">
        <v>35309</v>
      </c>
      <c r="B74" s="82"/>
      <c r="C74" s="82">
        <v>174.26296408111776</v>
      </c>
      <c r="D74" s="83">
        <f t="shared" si="10"/>
        <v>174.26296408111776</v>
      </c>
      <c r="E74" s="83">
        <f t="shared" si="11"/>
        <v>174.26296408111776</v>
      </c>
      <c r="F74" s="84">
        <f t="shared" si="12"/>
        <v>1.3941037126489422</v>
      </c>
      <c r="G74" s="84">
        <f t="shared" si="13"/>
        <v>1.7426296408111777</v>
      </c>
      <c r="H74" s="84">
        <f t="shared" si="14"/>
        <v>1.8820400120760716</v>
      </c>
      <c r="I74" s="84">
        <f t="shared" si="9"/>
        <v>2.1782870510139722</v>
      </c>
      <c r="K74" s="83"/>
    </row>
    <row r="75" spans="1:11" outlineLevel="1">
      <c r="A75" s="81">
        <v>35339</v>
      </c>
      <c r="B75" s="82"/>
      <c r="C75" s="82">
        <v>165.81385067112416</v>
      </c>
      <c r="D75" s="83">
        <f t="shared" si="10"/>
        <v>165.81385067112416</v>
      </c>
      <c r="E75" s="83">
        <f t="shared" si="11"/>
        <v>165.81385067112416</v>
      </c>
      <c r="F75" s="84">
        <f t="shared" si="12"/>
        <v>1.3265108053689931</v>
      </c>
      <c r="G75" s="84">
        <f t="shared" si="13"/>
        <v>1.6581385067112415</v>
      </c>
      <c r="H75" s="84">
        <f t="shared" si="14"/>
        <v>1.790789587248141</v>
      </c>
      <c r="I75" s="84">
        <f t="shared" si="9"/>
        <v>2.0726731333890518</v>
      </c>
      <c r="K75" s="83"/>
    </row>
    <row r="76" spans="1:11" outlineLevel="1">
      <c r="A76" s="81">
        <v>35370</v>
      </c>
      <c r="B76" s="82"/>
      <c r="C76" s="82">
        <v>168.98226819987175</v>
      </c>
      <c r="D76" s="83">
        <f t="shared" si="10"/>
        <v>168.98226819987175</v>
      </c>
      <c r="E76" s="83">
        <f t="shared" si="11"/>
        <v>168.98226819987175</v>
      </c>
      <c r="F76" s="84">
        <f t="shared" si="12"/>
        <v>1.351858145598974</v>
      </c>
      <c r="G76" s="84">
        <f t="shared" si="13"/>
        <v>1.6898226819987177</v>
      </c>
      <c r="H76" s="84">
        <f t="shared" si="14"/>
        <v>1.8250084965586151</v>
      </c>
      <c r="I76" s="84">
        <f t="shared" si="9"/>
        <v>2.1122783524983966</v>
      </c>
      <c r="K76" s="83"/>
    </row>
    <row r="77" spans="1:11" outlineLevel="1">
      <c r="A77" s="81">
        <v>35400</v>
      </c>
      <c r="B77" s="82"/>
      <c r="C77" s="82">
        <v>160.53315478987818</v>
      </c>
      <c r="D77" s="83">
        <f t="shared" si="10"/>
        <v>160.53315478987818</v>
      </c>
      <c r="E77" s="83">
        <f t="shared" si="11"/>
        <v>160.53315478987818</v>
      </c>
      <c r="F77" s="84">
        <f t="shared" si="12"/>
        <v>1.2842652383190254</v>
      </c>
      <c r="G77" s="84">
        <f t="shared" si="13"/>
        <v>1.6053315478987817</v>
      </c>
      <c r="H77" s="84">
        <f t="shared" si="14"/>
        <v>1.7337580717306842</v>
      </c>
      <c r="I77" s="84">
        <f t="shared" si="9"/>
        <v>2.0066644348734775</v>
      </c>
      <c r="K77" s="83"/>
    </row>
    <row r="78" spans="1:11" outlineLevel="1">
      <c r="A78" s="81">
        <v>35431</v>
      </c>
      <c r="B78" s="82"/>
      <c r="C78" s="82">
        <v>163.70157231862578</v>
      </c>
      <c r="D78" s="83">
        <f t="shared" si="10"/>
        <v>163.70157231862578</v>
      </c>
      <c r="E78" s="83">
        <f t="shared" si="11"/>
        <v>163.70157231862578</v>
      </c>
      <c r="F78" s="84">
        <f t="shared" si="12"/>
        <v>1.3096125785490063</v>
      </c>
      <c r="G78" s="84">
        <f t="shared" si="13"/>
        <v>1.6370157231862577</v>
      </c>
      <c r="H78" s="84">
        <f t="shared" si="14"/>
        <v>1.7679769810411583</v>
      </c>
      <c r="I78" s="84">
        <f t="shared" si="9"/>
        <v>2.0462696539828222</v>
      </c>
      <c r="K78" s="83"/>
    </row>
    <row r="79" spans="1:11" outlineLevel="1">
      <c r="A79" s="81">
        <v>35462</v>
      </c>
      <c r="B79" s="82"/>
      <c r="C79" s="82">
        <v>172.15068572861935</v>
      </c>
      <c r="D79" s="83">
        <f t="shared" si="10"/>
        <v>172.15068572861935</v>
      </c>
      <c r="E79" s="83">
        <f t="shared" si="11"/>
        <v>172.15068572861935</v>
      </c>
      <c r="F79" s="84">
        <f t="shared" si="12"/>
        <v>1.3772054858289546</v>
      </c>
      <c r="G79" s="84">
        <f t="shared" si="13"/>
        <v>1.7215068572861933</v>
      </c>
      <c r="H79" s="84">
        <f t="shared" si="14"/>
        <v>1.859227405869089</v>
      </c>
      <c r="I79" s="84">
        <f t="shared" si="9"/>
        <v>2.1518835716077418</v>
      </c>
      <c r="K79" s="83"/>
    </row>
    <row r="80" spans="1:11" outlineLevel="1">
      <c r="A80" s="81">
        <v>35490</v>
      </c>
      <c r="B80" s="82"/>
      <c r="C80" s="82">
        <v>178.48752078611454</v>
      </c>
      <c r="D80" s="83">
        <f t="shared" si="10"/>
        <v>178.48752078611454</v>
      </c>
      <c r="E80" s="83">
        <f t="shared" si="11"/>
        <v>178.48752078611454</v>
      </c>
      <c r="F80" s="84">
        <f t="shared" si="12"/>
        <v>1.4279001662889164</v>
      </c>
      <c r="G80" s="84">
        <f t="shared" si="13"/>
        <v>1.7848752078611454</v>
      </c>
      <c r="H80" s="84">
        <f t="shared" si="14"/>
        <v>1.9276652244900372</v>
      </c>
      <c r="I80" s="84">
        <f t="shared" si="9"/>
        <v>2.2310940098264318</v>
      </c>
      <c r="K80" s="83"/>
    </row>
    <row r="81" spans="1:11" outlineLevel="1">
      <c r="A81" s="81">
        <v>35521</v>
      </c>
      <c r="B81" s="82"/>
      <c r="C81" s="82">
        <v>178.48752078611454</v>
      </c>
      <c r="D81" s="83">
        <f t="shared" si="10"/>
        <v>178.48752078611454</v>
      </c>
      <c r="E81" s="83">
        <f t="shared" si="11"/>
        <v>178.48752078611454</v>
      </c>
      <c r="F81" s="84">
        <f t="shared" si="12"/>
        <v>1.4279001662889164</v>
      </c>
      <c r="G81" s="84">
        <f t="shared" si="13"/>
        <v>1.7848752078611454</v>
      </c>
      <c r="H81" s="84">
        <f t="shared" si="14"/>
        <v>1.9276652244900372</v>
      </c>
      <c r="I81" s="84">
        <f t="shared" si="9"/>
        <v>2.2310940098264318</v>
      </c>
      <c r="K81" s="83"/>
    </row>
    <row r="82" spans="1:11" outlineLevel="1">
      <c r="A82" s="81">
        <v>35551</v>
      </c>
      <c r="B82" s="82"/>
      <c r="C82" s="82">
        <v>181.65593831486214</v>
      </c>
      <c r="D82" s="83">
        <f t="shared" si="10"/>
        <v>181.65593831486214</v>
      </c>
      <c r="E82" s="83">
        <f t="shared" si="11"/>
        <v>181.65593831486214</v>
      </c>
      <c r="F82" s="84">
        <f t="shared" si="12"/>
        <v>1.4532475065188972</v>
      </c>
      <c r="G82" s="84">
        <f t="shared" si="13"/>
        <v>1.8165593831486213</v>
      </c>
      <c r="H82" s="84">
        <f t="shared" si="14"/>
        <v>1.9618841338005111</v>
      </c>
      <c r="I82" s="84">
        <f t="shared" ref="I82:I145" si="15">D82*H$9/1000000</f>
        <v>2.2706992289357766</v>
      </c>
      <c r="K82" s="83"/>
    </row>
    <row r="83" spans="1:11" outlineLevel="1">
      <c r="A83" s="81">
        <v>35582</v>
      </c>
      <c r="B83" s="82"/>
      <c r="C83" s="82">
        <v>164.75771149487497</v>
      </c>
      <c r="D83" s="83">
        <f t="shared" ref="D83:D146" si="16">AVERAGE(B83:C83)</f>
        <v>164.75771149487497</v>
      </c>
      <c r="E83" s="83">
        <f t="shared" ref="E83:E146" si="17">D83</f>
        <v>164.75771149487497</v>
      </c>
      <c r="F83" s="84">
        <f t="shared" ref="F83:F146" si="18">D83*H$6/1000000</f>
        <v>1.3180616919589998</v>
      </c>
      <c r="G83" s="84">
        <f t="shared" ref="G83:G146" si="19">D83*H$7/1000000</f>
        <v>1.6475771149487497</v>
      </c>
      <c r="H83" s="84">
        <f t="shared" ref="H83:H146" si="20">D83*H$8/1000000</f>
        <v>1.7793832841446497</v>
      </c>
      <c r="I83" s="84">
        <f t="shared" si="15"/>
        <v>2.059471393685937</v>
      </c>
      <c r="K83" s="83"/>
    </row>
    <row r="84" spans="1:11" outlineLevel="1">
      <c r="A84" s="81">
        <v>35612</v>
      </c>
      <c r="B84" s="82"/>
      <c r="C84" s="82">
        <v>168.98226819987175</v>
      </c>
      <c r="D84" s="83">
        <f t="shared" si="16"/>
        <v>168.98226819987175</v>
      </c>
      <c r="E84" s="83">
        <f t="shared" si="17"/>
        <v>168.98226819987175</v>
      </c>
      <c r="F84" s="84">
        <f t="shared" si="18"/>
        <v>1.351858145598974</v>
      </c>
      <c r="G84" s="84">
        <f t="shared" si="19"/>
        <v>1.6898226819987177</v>
      </c>
      <c r="H84" s="84">
        <f t="shared" si="20"/>
        <v>1.8250084965586151</v>
      </c>
      <c r="I84" s="84">
        <f t="shared" si="15"/>
        <v>2.1122783524983966</v>
      </c>
      <c r="K84" s="83"/>
    </row>
    <row r="85" spans="1:11" outlineLevel="1">
      <c r="A85" s="81">
        <v>35643</v>
      </c>
      <c r="B85" s="82"/>
      <c r="C85" s="82">
        <v>183.76821666736055</v>
      </c>
      <c r="D85" s="83">
        <f t="shared" si="16"/>
        <v>183.76821666736055</v>
      </c>
      <c r="E85" s="83">
        <f t="shared" si="17"/>
        <v>183.76821666736055</v>
      </c>
      <c r="F85" s="84">
        <f t="shared" si="18"/>
        <v>1.4701457333388843</v>
      </c>
      <c r="G85" s="84">
        <f t="shared" si="19"/>
        <v>1.8376821666736056</v>
      </c>
      <c r="H85" s="84">
        <f t="shared" si="20"/>
        <v>1.984696740007494</v>
      </c>
      <c r="I85" s="84">
        <f t="shared" si="15"/>
        <v>2.297102708342007</v>
      </c>
      <c r="K85" s="83"/>
    </row>
    <row r="86" spans="1:11" outlineLevel="1">
      <c r="A86" s="81">
        <v>35674</v>
      </c>
      <c r="B86" s="82"/>
      <c r="C86" s="82">
        <v>181.65593831486214</v>
      </c>
      <c r="D86" s="83">
        <f t="shared" si="16"/>
        <v>181.65593831486214</v>
      </c>
      <c r="E86" s="83">
        <f t="shared" si="17"/>
        <v>181.65593831486214</v>
      </c>
      <c r="F86" s="84">
        <f t="shared" si="18"/>
        <v>1.4532475065188972</v>
      </c>
      <c r="G86" s="84">
        <f t="shared" si="19"/>
        <v>1.8165593831486213</v>
      </c>
      <c r="H86" s="84">
        <f t="shared" si="20"/>
        <v>1.9618841338005111</v>
      </c>
      <c r="I86" s="84">
        <f t="shared" si="15"/>
        <v>2.2706992289357766</v>
      </c>
      <c r="K86" s="83"/>
    </row>
    <row r="87" spans="1:11" outlineLevel="1">
      <c r="A87" s="81">
        <v>35704</v>
      </c>
      <c r="B87" s="82"/>
      <c r="C87" s="82">
        <v>184.82435584360974</v>
      </c>
      <c r="D87" s="83">
        <f t="shared" si="16"/>
        <v>184.82435584360974</v>
      </c>
      <c r="E87" s="83">
        <f t="shared" si="17"/>
        <v>184.82435584360974</v>
      </c>
      <c r="F87" s="84">
        <f t="shared" si="18"/>
        <v>1.4785948467488779</v>
      </c>
      <c r="G87" s="84">
        <f t="shared" si="19"/>
        <v>1.8482435584360974</v>
      </c>
      <c r="H87" s="84">
        <f t="shared" si="20"/>
        <v>1.9961030431109852</v>
      </c>
      <c r="I87" s="84">
        <f t="shared" si="15"/>
        <v>2.3103044480451214</v>
      </c>
      <c r="K87" s="83"/>
    </row>
    <row r="88" spans="1:11" outlineLevel="1">
      <c r="A88" s="81">
        <v>35735</v>
      </c>
      <c r="B88" s="82"/>
      <c r="C88" s="82">
        <v>165.81385067112416</v>
      </c>
      <c r="D88" s="83">
        <f t="shared" si="16"/>
        <v>165.81385067112416</v>
      </c>
      <c r="E88" s="83">
        <f t="shared" si="17"/>
        <v>165.81385067112416</v>
      </c>
      <c r="F88" s="84">
        <f t="shared" si="18"/>
        <v>1.3265108053689931</v>
      </c>
      <c r="G88" s="84">
        <f t="shared" si="19"/>
        <v>1.6581385067112415</v>
      </c>
      <c r="H88" s="84">
        <f t="shared" si="20"/>
        <v>1.790789587248141</v>
      </c>
      <c r="I88" s="84">
        <f t="shared" si="15"/>
        <v>2.0726731333890518</v>
      </c>
      <c r="K88" s="83"/>
    </row>
    <row r="89" spans="1:11" outlineLevel="1">
      <c r="A89" s="81">
        <v>35765</v>
      </c>
      <c r="B89" s="82"/>
      <c r="C89" s="82">
        <v>163.70157231862578</v>
      </c>
      <c r="D89" s="83">
        <f t="shared" si="16"/>
        <v>163.70157231862578</v>
      </c>
      <c r="E89" s="83">
        <f t="shared" si="17"/>
        <v>163.70157231862578</v>
      </c>
      <c r="F89" s="84">
        <f t="shared" si="18"/>
        <v>1.3096125785490063</v>
      </c>
      <c r="G89" s="84">
        <f t="shared" si="19"/>
        <v>1.6370157231862577</v>
      </c>
      <c r="H89" s="84">
        <f t="shared" si="20"/>
        <v>1.7679769810411583</v>
      </c>
      <c r="I89" s="84">
        <f t="shared" si="15"/>
        <v>2.0462696539828222</v>
      </c>
      <c r="K89" s="83"/>
    </row>
    <row r="90" spans="1:11" outlineLevel="1">
      <c r="A90" s="81">
        <v>35796</v>
      </c>
      <c r="B90" s="82"/>
      <c r="C90" s="82">
        <v>161.58929396612737</v>
      </c>
      <c r="D90" s="83">
        <f t="shared" si="16"/>
        <v>161.58929396612737</v>
      </c>
      <c r="E90" s="83">
        <f t="shared" si="17"/>
        <v>161.58929396612737</v>
      </c>
      <c r="F90" s="84">
        <f t="shared" si="18"/>
        <v>1.2927143517290192</v>
      </c>
      <c r="G90" s="84">
        <f t="shared" si="19"/>
        <v>1.6158929396612738</v>
      </c>
      <c r="H90" s="84">
        <f t="shared" si="20"/>
        <v>1.7451643748341756</v>
      </c>
      <c r="I90" s="84">
        <f t="shared" si="15"/>
        <v>2.0198661745765922</v>
      </c>
      <c r="K90" s="83"/>
    </row>
    <row r="91" spans="1:11" outlineLevel="1">
      <c r="A91" s="81">
        <v>35827</v>
      </c>
      <c r="B91" s="82"/>
      <c r="C91" s="82">
        <v>151.02790220363539</v>
      </c>
      <c r="D91" s="83">
        <f t="shared" si="16"/>
        <v>151.02790220363539</v>
      </c>
      <c r="E91" s="83">
        <f t="shared" si="17"/>
        <v>151.02790220363539</v>
      </c>
      <c r="F91" s="84">
        <f t="shared" si="18"/>
        <v>1.2082232176290832</v>
      </c>
      <c r="G91" s="84">
        <f t="shared" si="19"/>
        <v>1.5102790220363538</v>
      </c>
      <c r="H91" s="84">
        <f t="shared" si="20"/>
        <v>1.6311013437992623</v>
      </c>
      <c r="I91" s="84">
        <f t="shared" si="15"/>
        <v>1.8878487775454424</v>
      </c>
      <c r="K91" s="83"/>
    </row>
    <row r="92" spans="1:11" outlineLevel="1">
      <c r="A92" s="81">
        <v>35855</v>
      </c>
      <c r="B92" s="82"/>
      <c r="C92" s="82">
        <v>153.14018055613377</v>
      </c>
      <c r="D92" s="83">
        <f t="shared" si="16"/>
        <v>153.14018055613377</v>
      </c>
      <c r="E92" s="83">
        <f t="shared" si="17"/>
        <v>153.14018055613377</v>
      </c>
      <c r="F92" s="84">
        <f t="shared" si="18"/>
        <v>1.2251214444490701</v>
      </c>
      <c r="G92" s="84">
        <f t="shared" si="19"/>
        <v>1.5314018055613376</v>
      </c>
      <c r="H92" s="84">
        <f t="shared" si="20"/>
        <v>1.6539139500062447</v>
      </c>
      <c r="I92" s="84">
        <f t="shared" si="15"/>
        <v>1.914252256951672</v>
      </c>
      <c r="K92" s="83"/>
    </row>
    <row r="93" spans="1:11" outlineLevel="1">
      <c r="A93" s="81">
        <v>35886</v>
      </c>
      <c r="B93" s="82"/>
      <c r="C93" s="82">
        <v>160.53315478987818</v>
      </c>
      <c r="D93" s="83">
        <f t="shared" si="16"/>
        <v>160.53315478987818</v>
      </c>
      <c r="E93" s="83">
        <f t="shared" si="17"/>
        <v>160.53315478987818</v>
      </c>
      <c r="F93" s="84">
        <f t="shared" si="18"/>
        <v>1.2842652383190254</v>
      </c>
      <c r="G93" s="84">
        <f t="shared" si="19"/>
        <v>1.6053315478987817</v>
      </c>
      <c r="H93" s="84">
        <f t="shared" si="20"/>
        <v>1.7337580717306842</v>
      </c>
      <c r="I93" s="84">
        <f t="shared" si="15"/>
        <v>2.0066644348734775</v>
      </c>
      <c r="K93" s="83"/>
    </row>
    <row r="94" spans="1:11" outlineLevel="1">
      <c r="A94" s="81">
        <v>35916</v>
      </c>
      <c r="B94" s="82"/>
      <c r="C94" s="82">
        <v>144.6910671461402</v>
      </c>
      <c r="D94" s="83">
        <f t="shared" si="16"/>
        <v>144.6910671461402</v>
      </c>
      <c r="E94" s="83">
        <f t="shared" si="17"/>
        <v>144.6910671461402</v>
      </c>
      <c r="F94" s="84">
        <f t="shared" si="18"/>
        <v>1.1575285371691217</v>
      </c>
      <c r="G94" s="84">
        <f t="shared" si="19"/>
        <v>1.446910671461402</v>
      </c>
      <c r="H94" s="84">
        <f t="shared" si="20"/>
        <v>1.5626635251783141</v>
      </c>
      <c r="I94" s="84">
        <f t="shared" si="15"/>
        <v>1.8086383393267527</v>
      </c>
      <c r="K94" s="83"/>
    </row>
    <row r="95" spans="1:11" outlineLevel="1">
      <c r="A95" s="81">
        <v>35947</v>
      </c>
      <c r="B95" s="82"/>
      <c r="C95" s="82">
        <v>126.73670114990382</v>
      </c>
      <c r="D95" s="83">
        <f t="shared" si="16"/>
        <v>126.73670114990382</v>
      </c>
      <c r="E95" s="83">
        <f t="shared" si="17"/>
        <v>126.73670114990382</v>
      </c>
      <c r="F95" s="84">
        <f t="shared" si="18"/>
        <v>1.0138936091992305</v>
      </c>
      <c r="G95" s="84">
        <f t="shared" si="19"/>
        <v>1.2673670114990383</v>
      </c>
      <c r="H95" s="84">
        <f t="shared" si="20"/>
        <v>1.3687563724189613</v>
      </c>
      <c r="I95" s="84">
        <f t="shared" si="15"/>
        <v>1.5842087643737977</v>
      </c>
      <c r="K95" s="83"/>
    </row>
    <row r="96" spans="1:11" outlineLevel="1">
      <c r="A96" s="81">
        <v>35977</v>
      </c>
      <c r="B96" s="82"/>
      <c r="C96" s="82">
        <v>126.73670114990382</v>
      </c>
      <c r="D96" s="83">
        <f t="shared" si="16"/>
        <v>126.73670114990382</v>
      </c>
      <c r="E96" s="83">
        <f t="shared" si="17"/>
        <v>126.73670114990382</v>
      </c>
      <c r="F96" s="84">
        <f t="shared" si="18"/>
        <v>1.0138936091992305</v>
      </c>
      <c r="G96" s="84">
        <f t="shared" si="19"/>
        <v>1.2673670114990383</v>
      </c>
      <c r="H96" s="84">
        <f t="shared" si="20"/>
        <v>1.3687563724189613</v>
      </c>
      <c r="I96" s="84">
        <f t="shared" si="15"/>
        <v>1.5842087643737977</v>
      </c>
      <c r="K96" s="83"/>
    </row>
    <row r="97" spans="1:12">
      <c r="A97" s="81">
        <v>36008</v>
      </c>
      <c r="B97" s="82"/>
      <c r="C97" s="82">
        <v>125.68056197365462</v>
      </c>
      <c r="D97" s="83">
        <f t="shared" si="16"/>
        <v>125.68056197365462</v>
      </c>
      <c r="E97" s="83">
        <f t="shared" si="17"/>
        <v>125.68056197365462</v>
      </c>
      <c r="F97" s="84">
        <f t="shared" si="18"/>
        <v>1.005444495789237</v>
      </c>
      <c r="G97" s="84">
        <f t="shared" si="19"/>
        <v>1.2568056197365463</v>
      </c>
      <c r="H97" s="84">
        <f t="shared" si="20"/>
        <v>1.3573500693154699</v>
      </c>
      <c r="I97" s="84">
        <f t="shared" si="15"/>
        <v>1.5710070246706829</v>
      </c>
      <c r="K97" s="83"/>
      <c r="L97" s="85"/>
    </row>
    <row r="98" spans="1:12">
      <c r="A98" s="81">
        <v>36039</v>
      </c>
      <c r="B98" s="82"/>
      <c r="C98" s="82">
        <v>125.68056197365462</v>
      </c>
      <c r="D98" s="83">
        <f t="shared" si="16"/>
        <v>125.68056197365462</v>
      </c>
      <c r="E98" s="83">
        <f t="shared" si="17"/>
        <v>125.68056197365462</v>
      </c>
      <c r="F98" s="84">
        <f t="shared" si="18"/>
        <v>1.005444495789237</v>
      </c>
      <c r="G98" s="84">
        <f t="shared" si="19"/>
        <v>1.2568056197365463</v>
      </c>
      <c r="H98" s="84">
        <f t="shared" si="20"/>
        <v>1.3573500693154699</v>
      </c>
      <c r="I98" s="84">
        <f t="shared" si="15"/>
        <v>1.5710070246706829</v>
      </c>
      <c r="K98" s="83"/>
      <c r="L98" s="85"/>
    </row>
    <row r="99" spans="1:12">
      <c r="A99" s="81">
        <v>36069</v>
      </c>
      <c r="B99" s="82"/>
      <c r="C99" s="82">
        <v>120.39986609240863</v>
      </c>
      <c r="D99" s="83">
        <f t="shared" si="16"/>
        <v>120.39986609240863</v>
      </c>
      <c r="E99" s="83">
        <f t="shared" si="17"/>
        <v>120.39986609240863</v>
      </c>
      <c r="F99" s="84">
        <f t="shared" si="18"/>
        <v>0.96319892873926904</v>
      </c>
      <c r="G99" s="84">
        <f t="shared" si="19"/>
        <v>1.2039986609240863</v>
      </c>
      <c r="H99" s="84">
        <f t="shared" si="20"/>
        <v>1.3003185537980131</v>
      </c>
      <c r="I99" s="84">
        <f t="shared" si="15"/>
        <v>1.5049983261551079</v>
      </c>
      <c r="K99" s="83"/>
      <c r="L99" s="85"/>
    </row>
    <row r="100" spans="1:12">
      <c r="A100" s="81">
        <v>36100</v>
      </c>
      <c r="B100" s="82"/>
      <c r="C100" s="82">
        <v>108.78233515366745</v>
      </c>
      <c r="D100" s="83">
        <f t="shared" si="16"/>
        <v>108.78233515366745</v>
      </c>
      <c r="E100" s="83">
        <f t="shared" si="17"/>
        <v>108.78233515366745</v>
      </c>
      <c r="F100" s="84">
        <f t="shared" si="18"/>
        <v>0.87025868122933958</v>
      </c>
      <c r="G100" s="84">
        <f t="shared" si="19"/>
        <v>1.0878233515366744</v>
      </c>
      <c r="H100" s="84">
        <f t="shared" si="20"/>
        <v>1.1748492196596083</v>
      </c>
      <c r="I100" s="84">
        <f t="shared" si="15"/>
        <v>1.3597791894208431</v>
      </c>
      <c r="K100" s="83"/>
      <c r="L100" s="85"/>
    </row>
    <row r="101" spans="1:12">
      <c r="A101" s="81">
        <v>36130</v>
      </c>
      <c r="B101" s="82"/>
      <c r="C101" s="82">
        <v>116.17530938741183</v>
      </c>
      <c r="D101" s="83">
        <f t="shared" si="16"/>
        <v>116.17530938741183</v>
      </c>
      <c r="E101" s="83">
        <f t="shared" si="17"/>
        <v>116.17530938741183</v>
      </c>
      <c r="F101" s="84">
        <f t="shared" si="18"/>
        <v>0.92940247509929463</v>
      </c>
      <c r="G101" s="84">
        <f t="shared" si="19"/>
        <v>1.1617530938741183</v>
      </c>
      <c r="H101" s="84">
        <f t="shared" si="20"/>
        <v>1.2546933413840475</v>
      </c>
      <c r="I101" s="84">
        <f t="shared" si="15"/>
        <v>1.4521913673426479</v>
      </c>
      <c r="K101" s="83"/>
      <c r="L101" s="85"/>
    </row>
    <row r="102" spans="1:12">
      <c r="A102" s="81">
        <v>36161</v>
      </c>
      <c r="B102" s="82"/>
      <c r="C102" s="82">
        <v>120.39986609240863</v>
      </c>
      <c r="D102" s="83">
        <f t="shared" si="16"/>
        <v>120.39986609240863</v>
      </c>
      <c r="E102" s="83">
        <f t="shared" si="17"/>
        <v>120.39986609240863</v>
      </c>
      <c r="F102" s="84">
        <f t="shared" si="18"/>
        <v>0.96319892873926904</v>
      </c>
      <c r="G102" s="84">
        <f t="shared" si="19"/>
        <v>1.2039986609240863</v>
      </c>
      <c r="H102" s="84">
        <f t="shared" si="20"/>
        <v>1.3003185537980131</v>
      </c>
      <c r="I102" s="84">
        <f t="shared" si="15"/>
        <v>1.5049983261551079</v>
      </c>
      <c r="K102" s="83"/>
      <c r="L102" s="85"/>
    </row>
    <row r="103" spans="1:12">
      <c r="A103" s="81">
        <v>36192</v>
      </c>
      <c r="B103" s="82"/>
      <c r="C103" s="82">
        <v>119.34372691615943</v>
      </c>
      <c r="D103" s="83">
        <f t="shared" si="16"/>
        <v>119.34372691615943</v>
      </c>
      <c r="E103" s="83">
        <f t="shared" si="17"/>
        <v>119.34372691615943</v>
      </c>
      <c r="F103" s="84">
        <f t="shared" si="18"/>
        <v>0.9547498153292755</v>
      </c>
      <c r="G103" s="84">
        <f t="shared" si="19"/>
        <v>1.1934372691615944</v>
      </c>
      <c r="H103" s="84">
        <f t="shared" si="20"/>
        <v>1.2889122506945216</v>
      </c>
      <c r="I103" s="84">
        <f t="shared" si="15"/>
        <v>1.4917965864519929</v>
      </c>
      <c r="K103" s="83"/>
      <c r="L103" s="85"/>
    </row>
    <row r="104" spans="1:12">
      <c r="A104" s="81">
        <v>36220</v>
      </c>
      <c r="B104" s="82"/>
      <c r="C104" s="82">
        <v>126.73670114990382</v>
      </c>
      <c r="D104" s="83">
        <f t="shared" si="16"/>
        <v>126.73670114990382</v>
      </c>
      <c r="E104" s="83">
        <f t="shared" si="17"/>
        <v>126.73670114990382</v>
      </c>
      <c r="F104" s="84">
        <f t="shared" si="18"/>
        <v>1.0138936091992305</v>
      </c>
      <c r="G104" s="84">
        <f t="shared" si="19"/>
        <v>1.2673670114990383</v>
      </c>
      <c r="H104" s="84">
        <f t="shared" si="20"/>
        <v>1.3687563724189613</v>
      </c>
      <c r="I104" s="84">
        <f t="shared" si="15"/>
        <v>1.5842087643737977</v>
      </c>
      <c r="K104" s="83"/>
      <c r="L104" s="85"/>
    </row>
    <row r="105" spans="1:12">
      <c r="A105" s="81">
        <v>36251</v>
      </c>
      <c r="B105" s="82"/>
      <c r="C105" s="82">
        <v>121.45600526865783</v>
      </c>
      <c r="D105" s="83">
        <f t="shared" si="16"/>
        <v>121.45600526865783</v>
      </c>
      <c r="E105" s="83">
        <f t="shared" si="17"/>
        <v>121.45600526865783</v>
      </c>
      <c r="F105" s="84">
        <f t="shared" si="18"/>
        <v>0.97164804214926259</v>
      </c>
      <c r="G105" s="84">
        <f t="shared" si="19"/>
        <v>1.2145600526865783</v>
      </c>
      <c r="H105" s="84">
        <f t="shared" si="20"/>
        <v>1.3117248569015045</v>
      </c>
      <c r="I105" s="84">
        <f t="shared" si="15"/>
        <v>1.5182000658582231</v>
      </c>
      <c r="K105" s="83"/>
      <c r="L105" s="85"/>
    </row>
    <row r="106" spans="1:12">
      <c r="A106" s="81">
        <v>36281</v>
      </c>
      <c r="B106" s="82"/>
      <c r="C106" s="82">
        <v>121.45600526865783</v>
      </c>
      <c r="D106" s="83">
        <f t="shared" si="16"/>
        <v>121.45600526865783</v>
      </c>
      <c r="E106" s="83">
        <f t="shared" si="17"/>
        <v>121.45600526865783</v>
      </c>
      <c r="F106" s="84">
        <f t="shared" si="18"/>
        <v>0.97164804214926259</v>
      </c>
      <c r="G106" s="84">
        <f t="shared" si="19"/>
        <v>1.2145600526865783</v>
      </c>
      <c r="H106" s="84">
        <f t="shared" si="20"/>
        <v>1.3117248569015045</v>
      </c>
      <c r="I106" s="84">
        <f t="shared" si="15"/>
        <v>1.5182000658582231</v>
      </c>
      <c r="K106" s="83"/>
      <c r="L106" s="85"/>
    </row>
    <row r="107" spans="1:12">
      <c r="A107" s="81">
        <v>36312</v>
      </c>
      <c r="B107" s="82"/>
      <c r="C107" s="82">
        <v>114.06303103491344</v>
      </c>
      <c r="D107" s="83">
        <f t="shared" si="16"/>
        <v>114.06303103491344</v>
      </c>
      <c r="E107" s="83">
        <f t="shared" si="17"/>
        <v>114.06303103491344</v>
      </c>
      <c r="F107" s="84">
        <f t="shared" si="18"/>
        <v>0.91250424827930754</v>
      </c>
      <c r="G107" s="84">
        <f t="shared" si="19"/>
        <v>1.1406303103491342</v>
      </c>
      <c r="H107" s="84">
        <f t="shared" si="20"/>
        <v>1.2318807351770651</v>
      </c>
      <c r="I107" s="84">
        <f t="shared" si="15"/>
        <v>1.4257878879364179</v>
      </c>
      <c r="K107" s="83"/>
      <c r="L107" s="85"/>
    </row>
    <row r="108" spans="1:12">
      <c r="A108" s="81">
        <v>36342</v>
      </c>
      <c r="B108" s="82"/>
      <c r="C108" s="82">
        <v>124.62442279740543</v>
      </c>
      <c r="D108" s="83">
        <f t="shared" si="16"/>
        <v>124.62442279740543</v>
      </c>
      <c r="E108" s="83">
        <f t="shared" si="17"/>
        <v>124.62442279740543</v>
      </c>
      <c r="F108" s="84">
        <f t="shared" si="18"/>
        <v>0.99699538237924334</v>
      </c>
      <c r="G108" s="84">
        <f t="shared" si="19"/>
        <v>1.2462442279740544</v>
      </c>
      <c r="H108" s="84">
        <f t="shared" si="20"/>
        <v>1.3459437662119786</v>
      </c>
      <c r="I108" s="84">
        <f t="shared" si="15"/>
        <v>1.5578052849675679</v>
      </c>
      <c r="K108" s="83"/>
      <c r="L108" s="85"/>
    </row>
    <row r="109" spans="1:12">
      <c r="A109" s="81">
        <v>36373</v>
      </c>
      <c r="B109" s="82"/>
      <c r="C109" s="82">
        <v>124.62442279740543</v>
      </c>
      <c r="D109" s="83">
        <f t="shared" si="16"/>
        <v>124.62442279740543</v>
      </c>
      <c r="E109" s="83">
        <f t="shared" si="17"/>
        <v>124.62442279740543</v>
      </c>
      <c r="F109" s="84">
        <f t="shared" si="18"/>
        <v>0.99699538237924334</v>
      </c>
      <c r="G109" s="84">
        <f t="shared" si="19"/>
        <v>1.2462442279740544</v>
      </c>
      <c r="H109" s="84">
        <f t="shared" si="20"/>
        <v>1.3459437662119786</v>
      </c>
      <c r="I109" s="84">
        <f t="shared" si="15"/>
        <v>1.5578052849675679</v>
      </c>
      <c r="K109" s="83"/>
      <c r="L109" s="85"/>
    </row>
    <row r="110" spans="1:12">
      <c r="A110" s="81">
        <v>36404</v>
      </c>
      <c r="B110" s="82"/>
      <c r="C110" s="82">
        <v>135.18581455989741</v>
      </c>
      <c r="D110" s="83">
        <f t="shared" si="16"/>
        <v>135.18581455989741</v>
      </c>
      <c r="E110" s="83">
        <f t="shared" si="17"/>
        <v>135.18581455989741</v>
      </c>
      <c r="F110" s="84">
        <f t="shared" si="18"/>
        <v>1.0814865164791794</v>
      </c>
      <c r="G110" s="84">
        <f t="shared" si="19"/>
        <v>1.351858145598974</v>
      </c>
      <c r="H110" s="84">
        <f t="shared" si="20"/>
        <v>1.460006797246892</v>
      </c>
      <c r="I110" s="84">
        <f t="shared" si="15"/>
        <v>1.6898226819987177</v>
      </c>
      <c r="K110" s="83"/>
      <c r="L110" s="85"/>
    </row>
    <row r="111" spans="1:12">
      <c r="A111" s="81">
        <v>36434</v>
      </c>
      <c r="B111" s="82"/>
      <c r="C111" s="82">
        <v>136.2419537361466</v>
      </c>
      <c r="D111" s="83">
        <f t="shared" si="16"/>
        <v>136.2419537361466</v>
      </c>
      <c r="E111" s="83">
        <f t="shared" si="17"/>
        <v>136.2419537361466</v>
      </c>
      <c r="F111" s="84">
        <f t="shared" si="18"/>
        <v>1.0899356298891727</v>
      </c>
      <c r="G111" s="84">
        <f t="shared" si="19"/>
        <v>1.362419537361466</v>
      </c>
      <c r="H111" s="84">
        <f t="shared" si="20"/>
        <v>1.4714131003503832</v>
      </c>
      <c r="I111" s="84">
        <f t="shared" si="15"/>
        <v>1.7030244217018324</v>
      </c>
      <c r="K111" s="83"/>
      <c r="L111" s="85"/>
    </row>
    <row r="112" spans="1:12">
      <c r="A112" s="81">
        <v>36465</v>
      </c>
      <c r="B112" s="82"/>
      <c r="C112" s="82">
        <v>156.30859808488137</v>
      </c>
      <c r="D112" s="83">
        <f t="shared" si="16"/>
        <v>156.30859808488137</v>
      </c>
      <c r="E112" s="83">
        <f t="shared" si="17"/>
        <v>156.30859808488137</v>
      </c>
      <c r="F112" s="84">
        <f t="shared" si="18"/>
        <v>1.250468784679051</v>
      </c>
      <c r="G112" s="84">
        <f t="shared" si="19"/>
        <v>1.5630859808488136</v>
      </c>
      <c r="H112" s="84">
        <f t="shared" si="20"/>
        <v>1.6881328593167189</v>
      </c>
      <c r="I112" s="84">
        <f t="shared" si="15"/>
        <v>1.953857476061017</v>
      </c>
      <c r="K112" s="83"/>
      <c r="L112" s="85"/>
    </row>
    <row r="113" spans="1:12">
      <c r="A113" s="81">
        <v>36495</v>
      </c>
      <c r="B113" s="82"/>
      <c r="C113" s="82">
        <v>153.14018055613377</v>
      </c>
      <c r="D113" s="83">
        <f t="shared" si="16"/>
        <v>153.14018055613377</v>
      </c>
      <c r="E113" s="83">
        <f t="shared" si="17"/>
        <v>153.14018055613377</v>
      </c>
      <c r="F113" s="84">
        <f t="shared" si="18"/>
        <v>1.2251214444490701</v>
      </c>
      <c r="G113" s="84">
        <f t="shared" si="19"/>
        <v>1.5314018055613376</v>
      </c>
      <c r="H113" s="84">
        <f t="shared" si="20"/>
        <v>1.6539139500062447</v>
      </c>
      <c r="I113" s="84">
        <f t="shared" si="15"/>
        <v>1.914252256951672</v>
      </c>
      <c r="K113" s="83"/>
      <c r="L113" s="85"/>
    </row>
    <row r="114" spans="1:12">
      <c r="A114" s="81">
        <v>36526</v>
      </c>
      <c r="B114" s="82"/>
      <c r="C114" s="82">
        <v>149.97176302738617</v>
      </c>
      <c r="D114" s="83">
        <f t="shared" si="16"/>
        <v>149.97176302738617</v>
      </c>
      <c r="E114" s="83">
        <f t="shared" si="17"/>
        <v>149.97176302738617</v>
      </c>
      <c r="F114" s="84">
        <f t="shared" si="18"/>
        <v>1.1997741042190895</v>
      </c>
      <c r="G114" s="84">
        <f t="shared" si="19"/>
        <v>1.4997176302738617</v>
      </c>
      <c r="H114" s="84">
        <f t="shared" si="20"/>
        <v>1.6196950406957706</v>
      </c>
      <c r="I114" s="84">
        <f t="shared" si="15"/>
        <v>1.8746470378423272</v>
      </c>
      <c r="K114" s="83"/>
      <c r="L114" s="85"/>
    </row>
    <row r="115" spans="1:12">
      <c r="A115" s="81">
        <v>36557</v>
      </c>
      <c r="B115" s="82"/>
      <c r="C115" s="82">
        <v>136.2419537361466</v>
      </c>
      <c r="D115" s="83">
        <f t="shared" si="16"/>
        <v>136.2419537361466</v>
      </c>
      <c r="E115" s="83">
        <f t="shared" si="17"/>
        <v>136.2419537361466</v>
      </c>
      <c r="F115" s="84">
        <f t="shared" si="18"/>
        <v>1.0899356298891727</v>
      </c>
      <c r="G115" s="84">
        <f t="shared" si="19"/>
        <v>1.362419537361466</v>
      </c>
      <c r="H115" s="84">
        <f t="shared" si="20"/>
        <v>1.4714131003503832</v>
      </c>
      <c r="I115" s="84">
        <f t="shared" si="15"/>
        <v>1.7030244217018324</v>
      </c>
      <c r="K115" s="83"/>
      <c r="L115" s="85"/>
    </row>
    <row r="116" spans="1:12">
      <c r="A116" s="81">
        <v>36586</v>
      </c>
      <c r="B116" s="82"/>
      <c r="C116" s="82">
        <v>151.02790220363539</v>
      </c>
      <c r="D116" s="83">
        <f t="shared" si="16"/>
        <v>151.02790220363539</v>
      </c>
      <c r="E116" s="83">
        <f t="shared" si="17"/>
        <v>151.02790220363539</v>
      </c>
      <c r="F116" s="84">
        <f t="shared" si="18"/>
        <v>1.2082232176290832</v>
      </c>
      <c r="G116" s="84">
        <f t="shared" si="19"/>
        <v>1.5102790220363538</v>
      </c>
      <c r="H116" s="84">
        <f t="shared" si="20"/>
        <v>1.6311013437992623</v>
      </c>
      <c r="I116" s="84">
        <f t="shared" si="15"/>
        <v>1.8878487775454424</v>
      </c>
      <c r="K116" s="83"/>
      <c r="L116" s="85"/>
    </row>
    <row r="117" spans="1:12">
      <c r="A117" s="81">
        <v>36617</v>
      </c>
      <c r="B117" s="82"/>
      <c r="C117" s="82">
        <v>154.19631973238299</v>
      </c>
      <c r="D117" s="83">
        <f t="shared" si="16"/>
        <v>154.19631973238299</v>
      </c>
      <c r="E117" s="83">
        <f t="shared" si="17"/>
        <v>154.19631973238299</v>
      </c>
      <c r="F117" s="84">
        <f t="shared" si="18"/>
        <v>1.2335705578590639</v>
      </c>
      <c r="G117" s="84">
        <f t="shared" si="19"/>
        <v>1.5419631973238299</v>
      </c>
      <c r="H117" s="84">
        <f t="shared" si="20"/>
        <v>1.6653202531097364</v>
      </c>
      <c r="I117" s="84">
        <f t="shared" si="15"/>
        <v>1.9274539966547872</v>
      </c>
      <c r="K117" s="83"/>
      <c r="L117" s="85"/>
    </row>
    <row r="118" spans="1:12">
      <c r="A118" s="81">
        <v>36647</v>
      </c>
      <c r="B118" s="82"/>
      <c r="C118" s="82">
        <v>152.08404137988458</v>
      </c>
      <c r="D118" s="83">
        <f t="shared" si="16"/>
        <v>152.08404137988458</v>
      </c>
      <c r="E118" s="83">
        <f t="shared" si="17"/>
        <v>152.08404137988458</v>
      </c>
      <c r="F118" s="84">
        <f t="shared" si="18"/>
        <v>1.2166723310390766</v>
      </c>
      <c r="G118" s="84">
        <f t="shared" si="19"/>
        <v>1.5208404137988458</v>
      </c>
      <c r="H118" s="84">
        <f t="shared" si="20"/>
        <v>1.6425076469027535</v>
      </c>
      <c r="I118" s="84">
        <f t="shared" si="15"/>
        <v>1.9010505172485572</v>
      </c>
      <c r="K118" s="83"/>
      <c r="L118" s="85"/>
    </row>
    <row r="119" spans="1:12">
      <c r="A119" s="81">
        <v>36678</v>
      </c>
      <c r="B119" s="82"/>
      <c r="C119" s="82">
        <v>160.53315478987818</v>
      </c>
      <c r="D119" s="83">
        <f t="shared" si="16"/>
        <v>160.53315478987818</v>
      </c>
      <c r="E119" s="83">
        <f t="shared" si="17"/>
        <v>160.53315478987818</v>
      </c>
      <c r="F119" s="84">
        <f t="shared" si="18"/>
        <v>1.2842652383190254</v>
      </c>
      <c r="G119" s="84">
        <f t="shared" si="19"/>
        <v>1.6053315478987817</v>
      </c>
      <c r="H119" s="84">
        <f t="shared" si="20"/>
        <v>1.7337580717306842</v>
      </c>
      <c r="I119" s="84">
        <f t="shared" si="15"/>
        <v>2.0066644348734775</v>
      </c>
      <c r="K119" s="83"/>
      <c r="L119" s="85"/>
    </row>
    <row r="120" spans="1:12">
      <c r="A120" s="81">
        <v>36708</v>
      </c>
      <c r="B120" s="82"/>
      <c r="C120" s="82">
        <v>173.20682490486857</v>
      </c>
      <c r="D120" s="83">
        <f t="shared" si="16"/>
        <v>173.20682490486857</v>
      </c>
      <c r="E120" s="83">
        <f t="shared" si="17"/>
        <v>173.20682490486857</v>
      </c>
      <c r="F120" s="84">
        <f t="shared" si="18"/>
        <v>1.3856545992389486</v>
      </c>
      <c r="G120" s="84">
        <f t="shared" si="19"/>
        <v>1.7320682490486856</v>
      </c>
      <c r="H120" s="84">
        <f t="shared" si="20"/>
        <v>1.8706337089725804</v>
      </c>
      <c r="I120" s="84">
        <f t="shared" si="15"/>
        <v>2.165085311310857</v>
      </c>
      <c r="K120" s="83"/>
      <c r="L120" s="85"/>
    </row>
    <row r="121" spans="1:12">
      <c r="A121" s="81">
        <v>36739</v>
      </c>
      <c r="B121" s="82"/>
      <c r="C121" s="82">
        <v>179.54365996236373</v>
      </c>
      <c r="D121" s="83">
        <f t="shared" si="16"/>
        <v>179.54365996236373</v>
      </c>
      <c r="E121" s="83">
        <f t="shared" si="17"/>
        <v>179.54365996236373</v>
      </c>
      <c r="F121" s="84">
        <f t="shared" si="18"/>
        <v>1.4363492796989099</v>
      </c>
      <c r="G121" s="84">
        <f t="shared" si="19"/>
        <v>1.7954365996236372</v>
      </c>
      <c r="H121" s="84">
        <f t="shared" si="20"/>
        <v>1.9390715275935284</v>
      </c>
      <c r="I121" s="84">
        <f t="shared" si="15"/>
        <v>2.2442957495295466</v>
      </c>
      <c r="K121" s="83"/>
      <c r="L121" s="85"/>
    </row>
    <row r="122" spans="1:12">
      <c r="A122" s="81">
        <v>36770</v>
      </c>
      <c r="B122" s="82"/>
      <c r="C122" s="82">
        <v>177.43138160986535</v>
      </c>
      <c r="D122" s="83">
        <f t="shared" si="16"/>
        <v>177.43138160986535</v>
      </c>
      <c r="E122" s="83">
        <f t="shared" si="17"/>
        <v>177.43138160986535</v>
      </c>
      <c r="F122" s="84">
        <f t="shared" si="18"/>
        <v>1.4194510528789228</v>
      </c>
      <c r="G122" s="84">
        <f t="shared" si="19"/>
        <v>1.7743138160986536</v>
      </c>
      <c r="H122" s="84">
        <f t="shared" si="20"/>
        <v>1.9162589213865457</v>
      </c>
      <c r="I122" s="84">
        <f t="shared" si="15"/>
        <v>2.217892270123317</v>
      </c>
      <c r="K122" s="83"/>
      <c r="L122" s="85"/>
    </row>
    <row r="123" spans="1:12">
      <c r="A123" s="81">
        <v>36800</v>
      </c>
      <c r="B123" s="82"/>
      <c r="C123" s="82">
        <v>181.65593831486214</v>
      </c>
      <c r="D123" s="83">
        <f t="shared" si="16"/>
        <v>181.65593831486214</v>
      </c>
      <c r="E123" s="83">
        <f t="shared" si="17"/>
        <v>181.65593831486214</v>
      </c>
      <c r="F123" s="84">
        <f t="shared" si="18"/>
        <v>1.4532475065188972</v>
      </c>
      <c r="G123" s="84">
        <f t="shared" si="19"/>
        <v>1.8165593831486213</v>
      </c>
      <c r="H123" s="84">
        <f t="shared" si="20"/>
        <v>1.9618841338005111</v>
      </c>
      <c r="I123" s="84">
        <f t="shared" si="15"/>
        <v>2.2706992289357766</v>
      </c>
      <c r="K123" s="83"/>
      <c r="L123" s="85"/>
    </row>
    <row r="124" spans="1:12">
      <c r="A124" s="81">
        <v>36831</v>
      </c>
      <c r="B124" s="82"/>
      <c r="C124" s="82">
        <v>172.15068572861935</v>
      </c>
      <c r="D124" s="83">
        <f t="shared" si="16"/>
        <v>172.15068572861935</v>
      </c>
      <c r="E124" s="83">
        <f t="shared" si="17"/>
        <v>172.15068572861935</v>
      </c>
      <c r="F124" s="84">
        <f t="shared" si="18"/>
        <v>1.3772054858289546</v>
      </c>
      <c r="G124" s="84">
        <f t="shared" si="19"/>
        <v>1.7215068572861933</v>
      </c>
      <c r="H124" s="84">
        <f t="shared" si="20"/>
        <v>1.859227405869089</v>
      </c>
      <c r="I124" s="84">
        <f t="shared" si="15"/>
        <v>2.1518835716077418</v>
      </c>
      <c r="K124" s="83"/>
      <c r="L124" s="85"/>
    </row>
    <row r="125" spans="1:12">
      <c r="A125" s="81">
        <v>36861</v>
      </c>
      <c r="B125" s="82"/>
      <c r="C125" s="82">
        <v>181.65593831486214</v>
      </c>
      <c r="D125" s="83">
        <f t="shared" si="16"/>
        <v>181.65593831486214</v>
      </c>
      <c r="E125" s="83">
        <f t="shared" si="17"/>
        <v>181.65593831486214</v>
      </c>
      <c r="F125" s="84">
        <f t="shared" si="18"/>
        <v>1.4532475065188972</v>
      </c>
      <c r="G125" s="84">
        <f t="shared" si="19"/>
        <v>1.8165593831486213</v>
      </c>
      <c r="H125" s="84">
        <f t="shared" si="20"/>
        <v>1.9618841338005111</v>
      </c>
      <c r="I125" s="84">
        <f t="shared" si="15"/>
        <v>2.2706992289357766</v>
      </c>
      <c r="K125" s="83"/>
      <c r="L125" s="85"/>
    </row>
    <row r="126" spans="1:12">
      <c r="A126" s="81">
        <v>36892</v>
      </c>
      <c r="B126" s="82"/>
      <c r="C126" s="82">
        <v>190.10505172485574</v>
      </c>
      <c r="D126" s="83">
        <f t="shared" si="16"/>
        <v>190.10505172485574</v>
      </c>
      <c r="E126" s="83">
        <f t="shared" si="17"/>
        <v>190.10505172485574</v>
      </c>
      <c r="F126" s="84">
        <f t="shared" si="18"/>
        <v>1.5208404137988458</v>
      </c>
      <c r="G126" s="84">
        <f t="shared" si="19"/>
        <v>1.9010505172485574</v>
      </c>
      <c r="H126" s="84">
        <f t="shared" si="20"/>
        <v>2.0531345586284422</v>
      </c>
      <c r="I126" s="84">
        <f t="shared" si="15"/>
        <v>2.376313146560697</v>
      </c>
      <c r="K126" s="83"/>
      <c r="L126" s="85"/>
    </row>
    <row r="127" spans="1:12">
      <c r="A127" s="81">
        <v>36923</v>
      </c>
      <c r="B127" s="82"/>
      <c r="C127" s="82">
        <v>182.71207749111133</v>
      </c>
      <c r="D127" s="83">
        <f t="shared" si="16"/>
        <v>182.71207749111133</v>
      </c>
      <c r="E127" s="83">
        <f t="shared" si="17"/>
        <v>182.71207749111133</v>
      </c>
      <c r="F127" s="84">
        <f t="shared" si="18"/>
        <v>1.4616966199288906</v>
      </c>
      <c r="G127" s="84">
        <f t="shared" si="19"/>
        <v>1.8271207749111134</v>
      </c>
      <c r="H127" s="84">
        <f t="shared" si="20"/>
        <v>1.9732904369040025</v>
      </c>
      <c r="I127" s="84">
        <f t="shared" si="15"/>
        <v>2.2839009686388918</v>
      </c>
      <c r="K127" s="83"/>
      <c r="L127" s="85"/>
    </row>
    <row r="128" spans="1:12">
      <c r="A128" s="81">
        <v>36951</v>
      </c>
      <c r="B128" s="82"/>
      <c r="C128" s="82">
        <v>178.48752078611454</v>
      </c>
      <c r="D128" s="83">
        <f t="shared" si="16"/>
        <v>178.48752078611454</v>
      </c>
      <c r="E128" s="83">
        <f t="shared" si="17"/>
        <v>178.48752078611454</v>
      </c>
      <c r="F128" s="84">
        <f t="shared" si="18"/>
        <v>1.4279001662889164</v>
      </c>
      <c r="G128" s="84">
        <f t="shared" si="19"/>
        <v>1.7848752078611454</v>
      </c>
      <c r="H128" s="84">
        <f t="shared" si="20"/>
        <v>1.9276652244900372</v>
      </c>
      <c r="I128" s="84">
        <f t="shared" si="15"/>
        <v>2.2310940098264318</v>
      </c>
      <c r="K128" s="83"/>
      <c r="L128" s="85"/>
    </row>
    <row r="129" spans="1:12">
      <c r="A129" s="81">
        <v>36982</v>
      </c>
      <c r="B129" s="82"/>
      <c r="C129" s="82">
        <v>190.10505172485574</v>
      </c>
      <c r="D129" s="83">
        <f t="shared" si="16"/>
        <v>190.10505172485574</v>
      </c>
      <c r="E129" s="83">
        <f t="shared" si="17"/>
        <v>190.10505172485574</v>
      </c>
      <c r="F129" s="84">
        <f t="shared" si="18"/>
        <v>1.5208404137988458</v>
      </c>
      <c r="G129" s="84">
        <f t="shared" si="19"/>
        <v>1.9010505172485574</v>
      </c>
      <c r="H129" s="84">
        <f t="shared" si="20"/>
        <v>2.0531345586284422</v>
      </c>
      <c r="I129" s="84">
        <f t="shared" si="15"/>
        <v>2.376313146560697</v>
      </c>
      <c r="K129" s="83"/>
      <c r="L129" s="85"/>
    </row>
    <row r="130" spans="1:12">
      <c r="A130" s="81">
        <v>37012</v>
      </c>
      <c r="B130" s="82"/>
      <c r="C130" s="82">
        <v>185.88049501985893</v>
      </c>
      <c r="D130" s="83">
        <f t="shared" si="16"/>
        <v>185.88049501985893</v>
      </c>
      <c r="E130" s="83">
        <f t="shared" si="17"/>
        <v>185.88049501985893</v>
      </c>
      <c r="F130" s="84">
        <f t="shared" si="18"/>
        <v>1.4870439601588714</v>
      </c>
      <c r="G130" s="84">
        <f t="shared" si="19"/>
        <v>1.8588049501985893</v>
      </c>
      <c r="H130" s="84">
        <f t="shared" si="20"/>
        <v>2.0075093462144764</v>
      </c>
      <c r="I130" s="84">
        <f t="shared" si="15"/>
        <v>2.3235061877482366</v>
      </c>
      <c r="K130" s="83"/>
      <c r="L130" s="85"/>
    </row>
    <row r="131" spans="1:12">
      <c r="A131" s="81">
        <v>37043</v>
      </c>
      <c r="B131" s="82"/>
      <c r="C131" s="82">
        <v>190.10505172485574</v>
      </c>
      <c r="D131" s="83">
        <f t="shared" si="16"/>
        <v>190.10505172485574</v>
      </c>
      <c r="E131" s="83">
        <f t="shared" si="17"/>
        <v>190.10505172485574</v>
      </c>
      <c r="F131" s="84">
        <f t="shared" si="18"/>
        <v>1.5208404137988458</v>
      </c>
      <c r="G131" s="84">
        <f t="shared" si="19"/>
        <v>1.9010505172485574</v>
      </c>
      <c r="H131" s="84">
        <f t="shared" si="20"/>
        <v>2.0531345586284422</v>
      </c>
      <c r="I131" s="84">
        <f t="shared" si="15"/>
        <v>2.376313146560697</v>
      </c>
      <c r="K131" s="83"/>
      <c r="L131" s="85"/>
    </row>
    <row r="132" spans="1:12">
      <c r="A132" s="81">
        <v>37073</v>
      </c>
      <c r="B132" s="82"/>
      <c r="C132" s="82">
        <v>161.58929396612737</v>
      </c>
      <c r="D132" s="83">
        <f t="shared" si="16"/>
        <v>161.58929396612737</v>
      </c>
      <c r="E132" s="83">
        <f t="shared" si="17"/>
        <v>161.58929396612737</v>
      </c>
      <c r="F132" s="84">
        <f t="shared" si="18"/>
        <v>1.2927143517290192</v>
      </c>
      <c r="G132" s="84">
        <f t="shared" si="19"/>
        <v>1.6158929396612738</v>
      </c>
      <c r="H132" s="84">
        <f t="shared" si="20"/>
        <v>1.7451643748341756</v>
      </c>
      <c r="I132" s="84">
        <f t="shared" si="15"/>
        <v>2.0198661745765922</v>
      </c>
      <c r="K132" s="83"/>
      <c r="L132" s="85"/>
    </row>
    <row r="133" spans="1:12">
      <c r="A133" s="81">
        <v>37104</v>
      </c>
      <c r="B133" s="82"/>
      <c r="C133" s="82">
        <v>161.58929396612737</v>
      </c>
      <c r="D133" s="83">
        <f t="shared" si="16"/>
        <v>161.58929396612737</v>
      </c>
      <c r="E133" s="83">
        <f t="shared" si="17"/>
        <v>161.58929396612737</v>
      </c>
      <c r="F133" s="84">
        <f t="shared" si="18"/>
        <v>1.2927143517290192</v>
      </c>
      <c r="G133" s="84">
        <f t="shared" si="19"/>
        <v>1.6158929396612738</v>
      </c>
      <c r="H133" s="84">
        <f t="shared" si="20"/>
        <v>1.7451643748341756</v>
      </c>
      <c r="I133" s="84">
        <f t="shared" si="15"/>
        <v>2.0198661745765922</v>
      </c>
      <c r="K133" s="83"/>
      <c r="L133" s="85"/>
    </row>
    <row r="134" spans="1:12">
      <c r="A134" s="81">
        <v>37135</v>
      </c>
      <c r="B134" s="82"/>
      <c r="C134" s="82">
        <v>164.75771149487497</v>
      </c>
      <c r="D134" s="83">
        <f t="shared" si="16"/>
        <v>164.75771149487497</v>
      </c>
      <c r="E134" s="83">
        <f t="shared" si="17"/>
        <v>164.75771149487497</v>
      </c>
      <c r="F134" s="84">
        <f t="shared" si="18"/>
        <v>1.3180616919589998</v>
      </c>
      <c r="G134" s="84">
        <f t="shared" si="19"/>
        <v>1.6475771149487497</v>
      </c>
      <c r="H134" s="84">
        <f t="shared" si="20"/>
        <v>1.7793832841446497</v>
      </c>
      <c r="I134" s="84">
        <f t="shared" si="15"/>
        <v>2.059471393685937</v>
      </c>
      <c r="K134" s="83"/>
      <c r="L134" s="85"/>
    </row>
    <row r="135" spans="1:12">
      <c r="A135" s="81">
        <v>37165</v>
      </c>
      <c r="B135" s="82"/>
      <c r="C135" s="82">
        <v>147.8594846748878</v>
      </c>
      <c r="D135" s="83">
        <f t="shared" si="16"/>
        <v>147.8594846748878</v>
      </c>
      <c r="E135" s="83">
        <f t="shared" si="17"/>
        <v>147.8594846748878</v>
      </c>
      <c r="F135" s="84">
        <f t="shared" si="18"/>
        <v>1.1828758773991024</v>
      </c>
      <c r="G135" s="84">
        <f t="shared" si="19"/>
        <v>1.4785948467488781</v>
      </c>
      <c r="H135" s="84">
        <f t="shared" si="20"/>
        <v>1.5968824344887882</v>
      </c>
      <c r="I135" s="84">
        <f t="shared" si="15"/>
        <v>1.8482435584360974</v>
      </c>
      <c r="K135" s="83"/>
      <c r="L135" s="85"/>
    </row>
    <row r="136" spans="1:12">
      <c r="A136" s="81">
        <v>37196</v>
      </c>
      <c r="B136" s="82"/>
      <c r="C136" s="82">
        <v>136.2419537361466</v>
      </c>
      <c r="D136" s="83">
        <f t="shared" si="16"/>
        <v>136.2419537361466</v>
      </c>
      <c r="E136" s="83">
        <f t="shared" si="17"/>
        <v>136.2419537361466</v>
      </c>
      <c r="F136" s="84">
        <f t="shared" si="18"/>
        <v>1.0899356298891727</v>
      </c>
      <c r="G136" s="84">
        <f t="shared" si="19"/>
        <v>1.362419537361466</v>
      </c>
      <c r="H136" s="84">
        <f t="shared" si="20"/>
        <v>1.4714131003503832</v>
      </c>
      <c r="I136" s="84">
        <f t="shared" si="15"/>
        <v>1.7030244217018324</v>
      </c>
      <c r="K136" s="83"/>
      <c r="L136" s="85"/>
    </row>
    <row r="137" spans="1:12">
      <c r="A137" s="81">
        <v>37226</v>
      </c>
      <c r="B137" s="82"/>
      <c r="C137" s="82">
        <v>144.6910671461402</v>
      </c>
      <c r="D137" s="83">
        <f t="shared" si="16"/>
        <v>144.6910671461402</v>
      </c>
      <c r="E137" s="83">
        <f t="shared" si="17"/>
        <v>144.6910671461402</v>
      </c>
      <c r="F137" s="84">
        <f t="shared" si="18"/>
        <v>1.1575285371691217</v>
      </c>
      <c r="G137" s="84">
        <f t="shared" si="19"/>
        <v>1.446910671461402</v>
      </c>
      <c r="H137" s="84">
        <f t="shared" si="20"/>
        <v>1.5626635251783141</v>
      </c>
      <c r="I137" s="84">
        <f t="shared" si="15"/>
        <v>1.8086383393267527</v>
      </c>
      <c r="K137" s="83"/>
      <c r="L137" s="85"/>
    </row>
    <row r="138" spans="1:12">
      <c r="A138" s="81">
        <v>37257</v>
      </c>
      <c r="B138" s="82"/>
      <c r="C138" s="82">
        <v>149.97176302738617</v>
      </c>
      <c r="D138" s="83">
        <f t="shared" si="16"/>
        <v>149.97176302738617</v>
      </c>
      <c r="E138" s="83">
        <f t="shared" si="17"/>
        <v>149.97176302738617</v>
      </c>
      <c r="F138" s="84">
        <f t="shared" si="18"/>
        <v>1.1997741042190895</v>
      </c>
      <c r="G138" s="84">
        <f t="shared" si="19"/>
        <v>1.4997176302738617</v>
      </c>
      <c r="H138" s="84">
        <f t="shared" si="20"/>
        <v>1.6196950406957706</v>
      </c>
      <c r="I138" s="84">
        <f t="shared" si="15"/>
        <v>1.8746470378423272</v>
      </c>
      <c r="K138" s="83"/>
      <c r="L138" s="85"/>
    </row>
    <row r="139" spans="1:12">
      <c r="A139" s="81">
        <v>37288</v>
      </c>
      <c r="B139" s="82"/>
      <c r="C139" s="82">
        <v>147.8594846748878</v>
      </c>
      <c r="D139" s="83">
        <f t="shared" si="16"/>
        <v>147.8594846748878</v>
      </c>
      <c r="E139" s="83">
        <f t="shared" si="17"/>
        <v>147.8594846748878</v>
      </c>
      <c r="F139" s="84">
        <f t="shared" si="18"/>
        <v>1.1828758773991024</v>
      </c>
      <c r="G139" s="84">
        <f t="shared" si="19"/>
        <v>1.4785948467488781</v>
      </c>
      <c r="H139" s="84">
        <f t="shared" si="20"/>
        <v>1.5968824344887882</v>
      </c>
      <c r="I139" s="84">
        <f t="shared" si="15"/>
        <v>1.8482435584360974</v>
      </c>
      <c r="K139" s="83"/>
      <c r="L139" s="85"/>
    </row>
    <row r="140" spans="1:12">
      <c r="A140" s="81">
        <v>37316</v>
      </c>
      <c r="B140" s="82"/>
      <c r="C140" s="82">
        <v>154.19631973238299</v>
      </c>
      <c r="D140" s="83">
        <f t="shared" si="16"/>
        <v>154.19631973238299</v>
      </c>
      <c r="E140" s="83">
        <f t="shared" si="17"/>
        <v>154.19631973238299</v>
      </c>
      <c r="F140" s="84">
        <f t="shared" si="18"/>
        <v>1.2335705578590639</v>
      </c>
      <c r="G140" s="84">
        <f t="shared" si="19"/>
        <v>1.5419631973238299</v>
      </c>
      <c r="H140" s="84">
        <f t="shared" si="20"/>
        <v>1.6653202531097364</v>
      </c>
      <c r="I140" s="84">
        <f t="shared" si="15"/>
        <v>1.9274539966547872</v>
      </c>
      <c r="K140" s="83"/>
      <c r="L140" s="85"/>
    </row>
    <row r="141" spans="1:12">
      <c r="A141" s="81">
        <v>37347</v>
      </c>
      <c r="B141" s="82"/>
      <c r="C141" s="82">
        <v>156.30859808488137</v>
      </c>
      <c r="D141" s="83">
        <f t="shared" si="16"/>
        <v>156.30859808488137</v>
      </c>
      <c r="E141" s="83">
        <f t="shared" si="17"/>
        <v>156.30859808488137</v>
      </c>
      <c r="F141" s="84">
        <f t="shared" si="18"/>
        <v>1.250468784679051</v>
      </c>
      <c r="G141" s="84">
        <f t="shared" si="19"/>
        <v>1.5630859808488136</v>
      </c>
      <c r="H141" s="84">
        <f t="shared" si="20"/>
        <v>1.6881328593167189</v>
      </c>
      <c r="I141" s="84">
        <f t="shared" si="15"/>
        <v>1.953857476061017</v>
      </c>
      <c r="K141" s="83"/>
      <c r="L141" s="85"/>
    </row>
    <row r="142" spans="1:12">
      <c r="A142" s="81">
        <v>37377</v>
      </c>
      <c r="B142" s="82"/>
      <c r="C142" s="82">
        <v>143.63492796989101</v>
      </c>
      <c r="D142" s="83">
        <f t="shared" si="16"/>
        <v>143.63492796989101</v>
      </c>
      <c r="E142" s="83">
        <f t="shared" si="17"/>
        <v>143.63492796989101</v>
      </c>
      <c r="F142" s="84">
        <f t="shared" si="18"/>
        <v>1.149079423759128</v>
      </c>
      <c r="G142" s="84">
        <f t="shared" si="19"/>
        <v>1.4363492796989101</v>
      </c>
      <c r="H142" s="84">
        <f t="shared" si="20"/>
        <v>1.5512572220748231</v>
      </c>
      <c r="I142" s="84">
        <f t="shared" si="15"/>
        <v>1.7954365996236374</v>
      </c>
      <c r="K142" s="83"/>
      <c r="L142" s="85"/>
    </row>
    <row r="143" spans="1:12">
      <c r="A143" s="81">
        <v>37408</v>
      </c>
      <c r="B143" s="82"/>
      <c r="C143" s="82">
        <v>147.8594846748878</v>
      </c>
      <c r="D143" s="83">
        <f t="shared" si="16"/>
        <v>147.8594846748878</v>
      </c>
      <c r="E143" s="83">
        <f t="shared" si="17"/>
        <v>147.8594846748878</v>
      </c>
      <c r="F143" s="84">
        <f t="shared" si="18"/>
        <v>1.1828758773991024</v>
      </c>
      <c r="G143" s="84">
        <f t="shared" si="19"/>
        <v>1.4785948467488781</v>
      </c>
      <c r="H143" s="84">
        <f t="shared" si="20"/>
        <v>1.5968824344887882</v>
      </c>
      <c r="I143" s="84">
        <f t="shared" si="15"/>
        <v>1.8482435584360974</v>
      </c>
      <c r="K143" s="83"/>
      <c r="L143" s="85"/>
    </row>
    <row r="144" spans="1:12">
      <c r="A144" s="81">
        <v>37438</v>
      </c>
      <c r="B144" s="82"/>
      <c r="C144" s="82">
        <v>155.25245890863218</v>
      </c>
      <c r="D144" s="83">
        <f t="shared" si="16"/>
        <v>155.25245890863218</v>
      </c>
      <c r="E144" s="83">
        <f t="shared" si="17"/>
        <v>155.25245890863218</v>
      </c>
      <c r="F144" s="84">
        <f t="shared" si="18"/>
        <v>1.2420196712690572</v>
      </c>
      <c r="G144" s="84">
        <f t="shared" si="19"/>
        <v>1.552524589086322</v>
      </c>
      <c r="H144" s="84">
        <f t="shared" si="20"/>
        <v>1.6767265562132276</v>
      </c>
      <c r="I144" s="84">
        <f t="shared" si="15"/>
        <v>1.9406557363579022</v>
      </c>
      <c r="K144" s="83"/>
      <c r="L144" s="85"/>
    </row>
    <row r="145" spans="1:13">
      <c r="A145" s="81">
        <v>37469</v>
      </c>
      <c r="B145" s="82"/>
      <c r="C145" s="82">
        <v>151.02790220363539</v>
      </c>
      <c r="D145" s="83">
        <f t="shared" si="16"/>
        <v>151.02790220363539</v>
      </c>
      <c r="E145" s="83">
        <f t="shared" si="17"/>
        <v>151.02790220363539</v>
      </c>
      <c r="F145" s="84">
        <f t="shared" si="18"/>
        <v>1.2082232176290832</v>
      </c>
      <c r="G145" s="84">
        <f t="shared" si="19"/>
        <v>1.5102790220363538</v>
      </c>
      <c r="H145" s="84">
        <f t="shared" si="20"/>
        <v>1.6311013437992623</v>
      </c>
      <c r="I145" s="84">
        <f t="shared" si="15"/>
        <v>1.8878487775454424</v>
      </c>
      <c r="K145" s="83"/>
      <c r="L145" s="85"/>
    </row>
    <row r="146" spans="1:13">
      <c r="A146" s="81">
        <v>37500</v>
      </c>
      <c r="B146" s="82"/>
      <c r="C146" s="82">
        <v>161.58929396612737</v>
      </c>
      <c r="D146" s="83">
        <f t="shared" si="16"/>
        <v>161.58929396612737</v>
      </c>
      <c r="E146" s="83">
        <f t="shared" si="17"/>
        <v>161.58929396612737</v>
      </c>
      <c r="F146" s="84">
        <f t="shared" si="18"/>
        <v>1.2927143517290192</v>
      </c>
      <c r="G146" s="84">
        <f t="shared" si="19"/>
        <v>1.6158929396612738</v>
      </c>
      <c r="H146" s="84">
        <f t="shared" si="20"/>
        <v>1.7451643748341756</v>
      </c>
      <c r="I146" s="84">
        <f t="shared" ref="I146:I209" si="21">D146*H$9/1000000</f>
        <v>2.0198661745765922</v>
      </c>
      <c r="K146" s="83"/>
      <c r="L146" s="85"/>
    </row>
    <row r="147" spans="1:13">
      <c r="A147" s="81">
        <v>37530</v>
      </c>
      <c r="B147" s="82"/>
      <c r="C147" s="82">
        <v>171.09454655237016</v>
      </c>
      <c r="D147" s="83">
        <f t="shared" ref="D147:D210" si="22">AVERAGE(B147:C147)</f>
        <v>171.09454655237016</v>
      </c>
      <c r="E147" s="83">
        <f t="shared" ref="E147:E210" si="23">D147</f>
        <v>171.09454655237016</v>
      </c>
      <c r="F147" s="84">
        <f t="shared" ref="F147:F210" si="24">D147*H$6/1000000</f>
        <v>1.3687563724189613</v>
      </c>
      <c r="G147" s="84">
        <f t="shared" ref="G147:G210" si="25">D147*H$7/1000000</f>
        <v>1.7109454655237015</v>
      </c>
      <c r="H147" s="84">
        <f t="shared" ref="H147:H210" si="26">D147*H$8/1000000</f>
        <v>1.8478211027655977</v>
      </c>
      <c r="I147" s="84">
        <f t="shared" si="21"/>
        <v>2.138681831904627</v>
      </c>
      <c r="K147" s="83"/>
      <c r="L147" s="85"/>
    </row>
    <row r="148" spans="1:13">
      <c r="A148" s="81">
        <v>37561</v>
      </c>
      <c r="B148" s="82"/>
      <c r="C148" s="82">
        <v>181.65593831486214</v>
      </c>
      <c r="D148" s="83">
        <f t="shared" si="22"/>
        <v>181.65593831486214</v>
      </c>
      <c r="E148" s="83">
        <f t="shared" si="23"/>
        <v>181.65593831486214</v>
      </c>
      <c r="F148" s="84">
        <f t="shared" si="24"/>
        <v>1.4532475065188972</v>
      </c>
      <c r="G148" s="84">
        <f t="shared" si="25"/>
        <v>1.8165593831486213</v>
      </c>
      <c r="H148" s="84">
        <f t="shared" si="26"/>
        <v>1.9618841338005111</v>
      </c>
      <c r="I148" s="84">
        <f t="shared" si="21"/>
        <v>2.2706992289357766</v>
      </c>
      <c r="K148" s="83"/>
      <c r="L148" s="85"/>
    </row>
    <row r="149" spans="1:13">
      <c r="A149" s="81">
        <v>37591</v>
      </c>
      <c r="B149" s="82"/>
      <c r="C149" s="82">
        <v>192.21733007735412</v>
      </c>
      <c r="D149" s="83">
        <f t="shared" si="22"/>
        <v>192.21733007735412</v>
      </c>
      <c r="E149" s="83">
        <f t="shared" si="23"/>
        <v>192.21733007735412</v>
      </c>
      <c r="F149" s="84">
        <f t="shared" si="24"/>
        <v>1.5377386406188329</v>
      </c>
      <c r="G149" s="84">
        <f t="shared" si="25"/>
        <v>1.9221733007735413</v>
      </c>
      <c r="H149" s="84">
        <f t="shared" si="26"/>
        <v>2.0759471648354242</v>
      </c>
      <c r="I149" s="84">
        <f t="shared" si="21"/>
        <v>2.4027166259669266</v>
      </c>
      <c r="K149" s="83"/>
      <c r="L149" s="85"/>
    </row>
    <row r="150" spans="1:13">
      <c r="A150" s="81">
        <v>37622</v>
      </c>
      <c r="B150" s="82"/>
      <c r="C150" s="82">
        <v>190.10505172485574</v>
      </c>
      <c r="D150" s="83">
        <f t="shared" si="22"/>
        <v>190.10505172485574</v>
      </c>
      <c r="E150" s="83">
        <f t="shared" si="23"/>
        <v>190.10505172485574</v>
      </c>
      <c r="F150" s="84">
        <f t="shared" si="24"/>
        <v>1.5208404137988458</v>
      </c>
      <c r="G150" s="84">
        <f t="shared" si="25"/>
        <v>1.9010505172485574</v>
      </c>
      <c r="H150" s="84">
        <f t="shared" si="26"/>
        <v>2.0531345586284422</v>
      </c>
      <c r="I150" s="84">
        <f t="shared" si="21"/>
        <v>2.376313146560697</v>
      </c>
      <c r="K150" s="83"/>
      <c r="L150" s="85"/>
      <c r="M150" s="85"/>
    </row>
    <row r="151" spans="1:13">
      <c r="A151" s="81">
        <v>37653</v>
      </c>
      <c r="B151" s="82"/>
      <c r="C151" s="82">
        <v>197.49802595860012</v>
      </c>
      <c r="D151" s="83">
        <f t="shared" si="22"/>
        <v>197.49802595860012</v>
      </c>
      <c r="E151" s="83">
        <f t="shared" si="23"/>
        <v>197.49802595860012</v>
      </c>
      <c r="F151" s="84">
        <f t="shared" si="24"/>
        <v>1.5799842076688011</v>
      </c>
      <c r="G151" s="84">
        <f t="shared" si="25"/>
        <v>1.9749802595860013</v>
      </c>
      <c r="H151" s="84">
        <f t="shared" si="26"/>
        <v>2.1329786803528816</v>
      </c>
      <c r="I151" s="84">
        <f t="shared" si="21"/>
        <v>2.4687253244825014</v>
      </c>
      <c r="K151" s="83"/>
      <c r="L151" s="85"/>
      <c r="M151" s="85"/>
    </row>
    <row r="152" spans="1:13">
      <c r="A152" s="81">
        <v>37681</v>
      </c>
      <c r="B152" s="82"/>
      <c r="C152" s="82">
        <v>226.01378371732849</v>
      </c>
      <c r="D152" s="83">
        <f t="shared" si="22"/>
        <v>226.01378371732849</v>
      </c>
      <c r="E152" s="83">
        <f t="shared" si="23"/>
        <v>226.01378371732849</v>
      </c>
      <c r="F152" s="84">
        <f t="shared" si="24"/>
        <v>1.808110269738628</v>
      </c>
      <c r="G152" s="84">
        <f t="shared" si="25"/>
        <v>2.2601378371732848</v>
      </c>
      <c r="H152" s="84">
        <f t="shared" si="26"/>
        <v>2.4409488641471477</v>
      </c>
      <c r="I152" s="84">
        <f t="shared" si="21"/>
        <v>2.8251722964666062</v>
      </c>
      <c r="K152" s="83"/>
      <c r="L152" s="85"/>
      <c r="M152" s="85"/>
    </row>
    <row r="153" spans="1:13">
      <c r="A153" s="81">
        <v>37712</v>
      </c>
      <c r="B153" s="82"/>
      <c r="C153" s="82">
        <v>211.2278352498397</v>
      </c>
      <c r="D153" s="83">
        <f t="shared" si="22"/>
        <v>211.2278352498397</v>
      </c>
      <c r="E153" s="83">
        <f t="shared" si="23"/>
        <v>211.2278352498397</v>
      </c>
      <c r="F153" s="84">
        <f t="shared" si="24"/>
        <v>1.6898226819987177</v>
      </c>
      <c r="G153" s="84">
        <f t="shared" si="25"/>
        <v>2.112278352498397</v>
      </c>
      <c r="H153" s="84">
        <f t="shared" si="26"/>
        <v>2.2812606206982684</v>
      </c>
      <c r="I153" s="84">
        <f t="shared" si="21"/>
        <v>2.6403479406229962</v>
      </c>
      <c r="K153" s="83"/>
      <c r="L153" s="85"/>
      <c r="M153" s="85"/>
    </row>
    <row r="154" spans="1:13">
      <c r="A154" s="81">
        <v>37742</v>
      </c>
      <c r="B154" s="82"/>
      <c r="C154" s="82">
        <v>211.2278352498397</v>
      </c>
      <c r="D154" s="83">
        <f t="shared" si="22"/>
        <v>211.2278352498397</v>
      </c>
      <c r="E154" s="83">
        <f t="shared" si="23"/>
        <v>211.2278352498397</v>
      </c>
      <c r="F154" s="84">
        <f t="shared" si="24"/>
        <v>1.6898226819987177</v>
      </c>
      <c r="G154" s="84">
        <f t="shared" si="25"/>
        <v>2.112278352498397</v>
      </c>
      <c r="H154" s="84">
        <f t="shared" si="26"/>
        <v>2.2812606206982684</v>
      </c>
      <c r="I154" s="84">
        <f t="shared" si="21"/>
        <v>2.6403479406229962</v>
      </c>
      <c r="K154" s="83"/>
      <c r="L154" s="85"/>
      <c r="M154" s="85"/>
    </row>
    <row r="155" spans="1:13">
      <c r="A155" s="81">
        <v>37773</v>
      </c>
      <c r="B155" s="82"/>
      <c r="C155" s="82">
        <v>230.23834042232528</v>
      </c>
      <c r="D155" s="83">
        <f t="shared" si="22"/>
        <v>230.23834042232528</v>
      </c>
      <c r="E155" s="83">
        <f t="shared" si="23"/>
        <v>230.23834042232528</v>
      </c>
      <c r="F155" s="84">
        <f t="shared" si="24"/>
        <v>1.8419067233786022</v>
      </c>
      <c r="G155" s="84">
        <f t="shared" si="25"/>
        <v>2.3023834042232529</v>
      </c>
      <c r="H155" s="84">
        <f t="shared" si="26"/>
        <v>2.4865740765611131</v>
      </c>
      <c r="I155" s="84">
        <f t="shared" si="21"/>
        <v>2.8779792552790662</v>
      </c>
      <c r="K155" s="83"/>
      <c r="L155" s="85"/>
      <c r="M155" s="85"/>
    </row>
    <row r="156" spans="1:13">
      <c r="A156" s="81">
        <v>37803</v>
      </c>
      <c r="B156" s="82"/>
      <c r="C156" s="82">
        <v>258.75409818105362</v>
      </c>
      <c r="D156" s="83">
        <f t="shared" si="22"/>
        <v>258.75409818105362</v>
      </c>
      <c r="E156" s="83">
        <f t="shared" si="23"/>
        <v>258.75409818105362</v>
      </c>
      <c r="F156" s="84">
        <f t="shared" si="24"/>
        <v>2.0700327854484288</v>
      </c>
      <c r="G156" s="84">
        <f t="shared" si="25"/>
        <v>2.5875409818105362</v>
      </c>
      <c r="H156" s="84">
        <f t="shared" si="26"/>
        <v>2.7945442603553792</v>
      </c>
      <c r="I156" s="84">
        <f t="shared" si="21"/>
        <v>3.2344262272631701</v>
      </c>
      <c r="K156" s="83"/>
      <c r="L156" s="85"/>
      <c r="M156" s="85"/>
    </row>
    <row r="157" spans="1:13">
      <c r="A157" s="81">
        <v>37834</v>
      </c>
      <c r="B157" s="82"/>
      <c r="C157" s="82">
        <v>248.19270641856164</v>
      </c>
      <c r="D157" s="83">
        <f t="shared" si="22"/>
        <v>248.19270641856164</v>
      </c>
      <c r="E157" s="83">
        <f t="shared" si="23"/>
        <v>248.19270641856164</v>
      </c>
      <c r="F157" s="84">
        <f t="shared" si="24"/>
        <v>1.9855416513484931</v>
      </c>
      <c r="G157" s="84">
        <f t="shared" si="25"/>
        <v>2.4819270641856166</v>
      </c>
      <c r="H157" s="84">
        <f t="shared" si="26"/>
        <v>2.6804812293204656</v>
      </c>
      <c r="I157" s="84">
        <f t="shared" si="21"/>
        <v>3.1024088302320205</v>
      </c>
      <c r="K157" s="83"/>
      <c r="L157" s="85"/>
      <c r="M157" s="85"/>
    </row>
    <row r="158" spans="1:13">
      <c r="A158" s="81">
        <v>37865</v>
      </c>
      <c r="B158" s="82"/>
      <c r="C158" s="82">
        <v>242.91201053731567</v>
      </c>
      <c r="D158" s="83">
        <f t="shared" si="22"/>
        <v>242.91201053731567</v>
      </c>
      <c r="E158" s="83">
        <f t="shared" si="23"/>
        <v>242.91201053731567</v>
      </c>
      <c r="F158" s="84">
        <f t="shared" si="24"/>
        <v>1.9432960842985252</v>
      </c>
      <c r="G158" s="84">
        <f t="shared" si="25"/>
        <v>2.4291201053731566</v>
      </c>
      <c r="H158" s="84">
        <f t="shared" si="26"/>
        <v>2.6234497138030091</v>
      </c>
      <c r="I158" s="84">
        <f t="shared" si="21"/>
        <v>3.0364001317164462</v>
      </c>
      <c r="K158" s="83"/>
      <c r="L158" s="85"/>
      <c r="M158" s="85"/>
    </row>
    <row r="159" spans="1:13">
      <c r="A159" s="81">
        <v>37895</v>
      </c>
      <c r="B159" s="82"/>
      <c r="C159" s="82">
        <v>253.47340229980765</v>
      </c>
      <c r="D159" s="83">
        <f t="shared" si="22"/>
        <v>253.47340229980765</v>
      </c>
      <c r="E159" s="83">
        <f t="shared" si="23"/>
        <v>253.47340229980765</v>
      </c>
      <c r="F159" s="84">
        <f t="shared" si="24"/>
        <v>2.0277872183984611</v>
      </c>
      <c r="G159" s="84">
        <f t="shared" si="25"/>
        <v>2.5347340229980766</v>
      </c>
      <c r="H159" s="84">
        <f t="shared" si="26"/>
        <v>2.7375127448379226</v>
      </c>
      <c r="I159" s="84">
        <f t="shared" si="21"/>
        <v>3.1684175287475953</v>
      </c>
      <c r="K159" s="83"/>
      <c r="L159" s="85"/>
      <c r="M159" s="85"/>
    </row>
    <row r="160" spans="1:13">
      <c r="A160" s="81">
        <v>37926</v>
      </c>
      <c r="B160" s="82"/>
      <c r="C160" s="82">
        <v>269.31548994354563</v>
      </c>
      <c r="D160" s="83">
        <f t="shared" si="22"/>
        <v>269.31548994354563</v>
      </c>
      <c r="E160" s="83">
        <f t="shared" si="23"/>
        <v>269.31548994354563</v>
      </c>
      <c r="F160" s="84">
        <f t="shared" si="24"/>
        <v>2.1545239195483648</v>
      </c>
      <c r="G160" s="84">
        <f t="shared" si="25"/>
        <v>2.6931548994354562</v>
      </c>
      <c r="H160" s="84">
        <f t="shared" si="26"/>
        <v>2.9086072913902927</v>
      </c>
      <c r="I160" s="84">
        <f t="shared" si="21"/>
        <v>3.3664436242943205</v>
      </c>
      <c r="K160" s="83"/>
      <c r="L160" s="85"/>
      <c r="M160" s="85"/>
    </row>
    <row r="161" spans="1:13">
      <c r="A161" s="81">
        <v>37956</v>
      </c>
      <c r="B161" s="82"/>
      <c r="C161" s="82">
        <v>279.87688170603758</v>
      </c>
      <c r="D161" s="83">
        <f t="shared" si="22"/>
        <v>279.87688170603758</v>
      </c>
      <c r="E161" s="83">
        <f t="shared" si="23"/>
        <v>279.87688170603758</v>
      </c>
      <c r="F161" s="84">
        <f t="shared" si="24"/>
        <v>2.2390150536483007</v>
      </c>
      <c r="G161" s="84">
        <f t="shared" si="25"/>
        <v>2.7987688170603757</v>
      </c>
      <c r="H161" s="84">
        <f t="shared" si="26"/>
        <v>3.0226703224252058</v>
      </c>
      <c r="I161" s="84">
        <f t="shared" si="21"/>
        <v>3.4984610213254701</v>
      </c>
      <c r="K161" s="83"/>
      <c r="L161" s="85"/>
      <c r="M161" s="85"/>
    </row>
    <row r="162" spans="1:13">
      <c r="A162" s="81">
        <v>37987</v>
      </c>
      <c r="B162" s="82"/>
      <c r="C162" s="82">
        <v>308.39263946476598</v>
      </c>
      <c r="D162" s="83">
        <f t="shared" si="22"/>
        <v>308.39263946476598</v>
      </c>
      <c r="E162" s="83">
        <f t="shared" si="23"/>
        <v>308.39263946476598</v>
      </c>
      <c r="F162" s="84">
        <f t="shared" si="24"/>
        <v>2.4671411157181278</v>
      </c>
      <c r="G162" s="84">
        <f t="shared" si="25"/>
        <v>3.0839263946476598</v>
      </c>
      <c r="H162" s="84">
        <f t="shared" si="26"/>
        <v>3.3306405062194728</v>
      </c>
      <c r="I162" s="84">
        <f t="shared" si="21"/>
        <v>3.8549079933095745</v>
      </c>
      <c r="K162" s="83"/>
      <c r="L162" s="85"/>
      <c r="M162" s="85"/>
    </row>
    <row r="163" spans="1:13">
      <c r="A163" s="81">
        <v>38018</v>
      </c>
      <c r="B163" s="82"/>
      <c r="C163" s="82">
        <v>348.52592816223552</v>
      </c>
      <c r="D163" s="83">
        <f t="shared" si="22"/>
        <v>348.52592816223552</v>
      </c>
      <c r="E163" s="83">
        <f t="shared" si="23"/>
        <v>348.52592816223552</v>
      </c>
      <c r="F163" s="84">
        <f t="shared" si="24"/>
        <v>2.7882074252978843</v>
      </c>
      <c r="G163" s="84">
        <f t="shared" si="25"/>
        <v>3.4852592816223553</v>
      </c>
      <c r="H163" s="84">
        <f t="shared" si="26"/>
        <v>3.7640800241521433</v>
      </c>
      <c r="I163" s="84">
        <f t="shared" si="21"/>
        <v>4.3565741020279445</v>
      </c>
      <c r="K163" s="83"/>
      <c r="L163" s="85"/>
      <c r="M163" s="85"/>
    </row>
    <row r="164" spans="1:13">
      <c r="A164" s="81">
        <v>38047</v>
      </c>
      <c r="B164" s="82"/>
      <c r="C164" s="82">
        <v>372.8171292159671</v>
      </c>
      <c r="D164" s="83">
        <f t="shared" si="22"/>
        <v>372.8171292159671</v>
      </c>
      <c r="E164" s="83">
        <f t="shared" si="23"/>
        <v>372.8171292159671</v>
      </c>
      <c r="F164" s="84">
        <f t="shared" si="24"/>
        <v>2.9825370337277368</v>
      </c>
      <c r="G164" s="84">
        <f t="shared" si="25"/>
        <v>3.7281712921596708</v>
      </c>
      <c r="H164" s="84">
        <f t="shared" si="26"/>
        <v>4.0264249955324445</v>
      </c>
      <c r="I164" s="84">
        <f t="shared" si="21"/>
        <v>4.6602141151995893</v>
      </c>
      <c r="K164" s="83"/>
      <c r="L164" s="85"/>
      <c r="M164" s="85"/>
    </row>
    <row r="165" spans="1:13">
      <c r="A165" s="81">
        <v>38078</v>
      </c>
      <c r="B165" s="82">
        <v>377.57024544798873</v>
      </c>
      <c r="C165" s="82">
        <v>401.33288697469544</v>
      </c>
      <c r="D165" s="83">
        <f t="shared" si="22"/>
        <v>389.45156621134208</v>
      </c>
      <c r="E165" s="83">
        <f t="shared" si="23"/>
        <v>389.45156621134208</v>
      </c>
      <c r="F165" s="84">
        <f t="shared" si="24"/>
        <v>3.1156125296907367</v>
      </c>
      <c r="G165" s="84">
        <f t="shared" si="25"/>
        <v>3.8945156621134207</v>
      </c>
      <c r="H165" s="84">
        <f t="shared" si="26"/>
        <v>4.2060769150824946</v>
      </c>
      <c r="I165" s="84">
        <f t="shared" si="21"/>
        <v>4.8681445776417762</v>
      </c>
      <c r="K165" s="83"/>
      <c r="L165" s="85"/>
      <c r="M165" s="85"/>
    </row>
    <row r="166" spans="1:13">
      <c r="A166" s="81">
        <v>38108</v>
      </c>
      <c r="B166" s="82">
        <v>362.26334360550271</v>
      </c>
      <c r="C166" s="82">
        <v>384.43466015470824</v>
      </c>
      <c r="D166" s="83">
        <f t="shared" si="22"/>
        <v>373.34900188010545</v>
      </c>
      <c r="E166" s="83">
        <f t="shared" si="23"/>
        <v>373.34900188010545</v>
      </c>
      <c r="F166" s="84">
        <f t="shared" si="24"/>
        <v>2.9867920150408436</v>
      </c>
      <c r="G166" s="84">
        <f t="shared" si="25"/>
        <v>3.7334900188010542</v>
      </c>
      <c r="H166" s="84">
        <f t="shared" si="26"/>
        <v>4.0321692203051391</v>
      </c>
      <c r="I166" s="84">
        <f t="shared" si="21"/>
        <v>4.6668625235013179</v>
      </c>
      <c r="K166" s="83"/>
      <c r="L166" s="85"/>
      <c r="M166" s="85"/>
    </row>
    <row r="167" spans="1:13">
      <c r="A167" s="81">
        <v>38139</v>
      </c>
      <c r="B167" s="82">
        <v>311.24033746388261</v>
      </c>
      <c r="C167" s="82">
        <v>300.99966523102159</v>
      </c>
      <c r="D167" s="83">
        <f t="shared" si="22"/>
        <v>306.1200013474521</v>
      </c>
      <c r="E167" s="83">
        <f t="shared" si="23"/>
        <v>306.1200013474521</v>
      </c>
      <c r="F167" s="84">
        <f t="shared" si="24"/>
        <v>2.4489600107796168</v>
      </c>
      <c r="G167" s="84">
        <f t="shared" si="25"/>
        <v>3.0612000134745214</v>
      </c>
      <c r="H167" s="84">
        <f t="shared" si="26"/>
        <v>3.3060960145524829</v>
      </c>
      <c r="I167" s="84">
        <f t="shared" si="21"/>
        <v>3.8265000168431511</v>
      </c>
      <c r="K167" s="83"/>
      <c r="L167" s="85"/>
      <c r="M167" s="85"/>
    </row>
    <row r="168" spans="1:13">
      <c r="A168" s="81">
        <v>38169</v>
      </c>
      <c r="B168" s="82">
        <v>367.36564421966472</v>
      </c>
      <c r="C168" s="82">
        <v>374.92940756846548</v>
      </c>
      <c r="D168" s="83">
        <f t="shared" si="22"/>
        <v>371.1475258940651</v>
      </c>
      <c r="E168" s="83">
        <f t="shared" si="23"/>
        <v>371.1475258940651</v>
      </c>
      <c r="F168" s="84">
        <f t="shared" si="24"/>
        <v>2.9691802071525206</v>
      </c>
      <c r="G168" s="84">
        <f t="shared" si="25"/>
        <v>3.7114752589406512</v>
      </c>
      <c r="H168" s="84">
        <f t="shared" si="26"/>
        <v>4.0083932796559028</v>
      </c>
      <c r="I168" s="84">
        <f t="shared" si="21"/>
        <v>4.6393440736758143</v>
      </c>
      <c r="K168" s="83"/>
      <c r="L168" s="85"/>
      <c r="M168" s="85"/>
    </row>
    <row r="169" spans="1:13">
      <c r="A169" s="81">
        <v>38200</v>
      </c>
      <c r="B169" s="82">
        <v>372.46794483382672</v>
      </c>
      <c r="C169" s="82">
        <v>383.37852097845905</v>
      </c>
      <c r="D169" s="83">
        <f t="shared" si="22"/>
        <v>377.92323290614286</v>
      </c>
      <c r="E169" s="83">
        <f t="shared" si="23"/>
        <v>377.92323290614286</v>
      </c>
      <c r="F169" s="84">
        <f t="shared" si="24"/>
        <v>3.0233858632491426</v>
      </c>
      <c r="G169" s="84">
        <f t="shared" si="25"/>
        <v>3.7792323290614287</v>
      </c>
      <c r="H169" s="84">
        <f t="shared" si="26"/>
        <v>4.0815709153863429</v>
      </c>
      <c r="I169" s="84">
        <f t="shared" si="21"/>
        <v>4.7240404113267855</v>
      </c>
      <c r="K169" s="83"/>
      <c r="L169" s="85"/>
      <c r="M169" s="85"/>
    </row>
    <row r="170" spans="1:13">
      <c r="A170" s="81">
        <v>38231</v>
      </c>
      <c r="B170" s="82">
        <v>387.77484667631273</v>
      </c>
      <c r="C170" s="82">
        <v>390.77149521220343</v>
      </c>
      <c r="D170" s="83">
        <f t="shared" si="22"/>
        <v>389.27317094425808</v>
      </c>
      <c r="E170" s="83">
        <f t="shared" si="23"/>
        <v>389.27317094425808</v>
      </c>
      <c r="F170" s="84">
        <f t="shared" si="24"/>
        <v>3.1141853675540649</v>
      </c>
      <c r="G170" s="84">
        <f t="shared" si="25"/>
        <v>3.8927317094425811</v>
      </c>
      <c r="H170" s="84">
        <f t="shared" si="26"/>
        <v>4.2041502461979876</v>
      </c>
      <c r="I170" s="84">
        <f t="shared" si="21"/>
        <v>4.8659146368032253</v>
      </c>
      <c r="K170" s="83"/>
      <c r="L170" s="85"/>
      <c r="M170" s="85"/>
    </row>
    <row r="171" spans="1:13">
      <c r="A171" s="81">
        <v>38261</v>
      </c>
      <c r="B171" s="82">
        <v>387.77484667631273</v>
      </c>
      <c r="C171" s="82">
        <v>401.33288697469544</v>
      </c>
      <c r="D171" s="83">
        <f t="shared" si="22"/>
        <v>394.55386682550409</v>
      </c>
      <c r="E171" s="83">
        <f t="shared" si="23"/>
        <v>394.55386682550409</v>
      </c>
      <c r="F171" s="84">
        <f t="shared" si="24"/>
        <v>3.1564309346040327</v>
      </c>
      <c r="G171" s="84">
        <f t="shared" si="25"/>
        <v>3.9455386682550411</v>
      </c>
      <c r="H171" s="84">
        <f t="shared" si="26"/>
        <v>4.2611817617154442</v>
      </c>
      <c r="I171" s="84">
        <f t="shared" si="21"/>
        <v>4.9319233353188006</v>
      </c>
      <c r="K171" s="83"/>
      <c r="L171" s="85"/>
      <c r="M171" s="85"/>
    </row>
    <row r="172" spans="1:13">
      <c r="A172" s="81">
        <v>38292</v>
      </c>
      <c r="B172" s="82">
        <v>397.97944790463674</v>
      </c>
      <c r="C172" s="82">
        <v>401.33288697469544</v>
      </c>
      <c r="D172" s="83">
        <f t="shared" si="22"/>
        <v>399.65616743966609</v>
      </c>
      <c r="E172" s="83">
        <f t="shared" si="23"/>
        <v>399.65616743966609</v>
      </c>
      <c r="F172" s="84">
        <f t="shared" si="24"/>
        <v>3.1972493395173287</v>
      </c>
      <c r="G172" s="84">
        <f t="shared" si="25"/>
        <v>3.996561674396661</v>
      </c>
      <c r="H172" s="84">
        <f t="shared" si="26"/>
        <v>4.3162866083483937</v>
      </c>
      <c r="I172" s="84">
        <f t="shared" si="21"/>
        <v>4.9957020929958258</v>
      </c>
      <c r="K172" s="83"/>
      <c r="L172" s="85"/>
      <c r="M172" s="85"/>
    </row>
    <row r="173" spans="1:13">
      <c r="A173" s="81">
        <v>38322</v>
      </c>
      <c r="B173" s="82">
        <v>403.08174851879875</v>
      </c>
      <c r="C173" s="82">
        <v>401.33288697469544</v>
      </c>
      <c r="D173" s="83">
        <f t="shared" si="22"/>
        <v>402.20731774674709</v>
      </c>
      <c r="E173" s="83">
        <f t="shared" si="23"/>
        <v>402.20731774674709</v>
      </c>
      <c r="F173" s="84">
        <f t="shared" si="24"/>
        <v>3.2176585419739769</v>
      </c>
      <c r="G173" s="84">
        <f t="shared" si="25"/>
        <v>4.0220731774674707</v>
      </c>
      <c r="H173" s="84">
        <f t="shared" si="26"/>
        <v>4.343839031664869</v>
      </c>
      <c r="I173" s="84">
        <f t="shared" si="21"/>
        <v>5.027591471834338</v>
      </c>
      <c r="K173" s="83"/>
      <c r="L173" s="85"/>
      <c r="M173" s="85"/>
    </row>
    <row r="174" spans="1:13">
      <c r="A174" s="81">
        <v>38353</v>
      </c>
      <c r="B174" s="82">
        <v>418.38865036128482</v>
      </c>
      <c r="C174" s="82">
        <v>422.4556704996794</v>
      </c>
      <c r="D174" s="83">
        <f t="shared" si="22"/>
        <v>420.42216043048211</v>
      </c>
      <c r="E174" s="83">
        <f t="shared" si="23"/>
        <v>420.42216043048211</v>
      </c>
      <c r="F174" s="84">
        <f t="shared" si="24"/>
        <v>3.3633772834438571</v>
      </c>
      <c r="G174" s="84">
        <f t="shared" si="25"/>
        <v>4.2042216043048208</v>
      </c>
      <c r="H174" s="84">
        <f t="shared" si="26"/>
        <v>4.5405593326492069</v>
      </c>
      <c r="I174" s="84">
        <f t="shared" si="21"/>
        <v>5.2552770053810267</v>
      </c>
      <c r="K174" s="83"/>
      <c r="L174" s="85"/>
      <c r="M174" s="85"/>
    </row>
    <row r="175" spans="1:13">
      <c r="A175" s="81">
        <v>38384</v>
      </c>
      <c r="B175" s="82">
        <v>428.59325158960883</v>
      </c>
      <c r="C175" s="82">
        <v>443.57845402466336</v>
      </c>
      <c r="D175" s="83">
        <f t="shared" si="22"/>
        <v>436.08585280713612</v>
      </c>
      <c r="E175" s="83">
        <f t="shared" si="23"/>
        <v>436.08585280713612</v>
      </c>
      <c r="F175" s="84">
        <f t="shared" si="24"/>
        <v>3.4886868224570891</v>
      </c>
      <c r="G175" s="84">
        <f t="shared" si="25"/>
        <v>4.3608585280713612</v>
      </c>
      <c r="H175" s="84">
        <f t="shared" si="26"/>
        <v>4.7097272103170695</v>
      </c>
      <c r="I175" s="84">
        <f t="shared" si="21"/>
        <v>5.4510731600892015</v>
      </c>
      <c r="K175" s="83"/>
      <c r="L175" s="85"/>
      <c r="M175" s="85"/>
    </row>
    <row r="176" spans="1:13">
      <c r="A176" s="81">
        <v>38412</v>
      </c>
      <c r="B176" s="82">
        <v>403.08174851879875</v>
      </c>
      <c r="C176" s="82">
        <v>443.57845402466336</v>
      </c>
      <c r="D176" s="83">
        <f t="shared" si="22"/>
        <v>423.33010127173105</v>
      </c>
      <c r="E176" s="83">
        <f t="shared" si="23"/>
        <v>423.33010127173105</v>
      </c>
      <c r="F176" s="84">
        <f t="shared" si="24"/>
        <v>3.3866408101738488</v>
      </c>
      <c r="G176" s="84">
        <f t="shared" si="25"/>
        <v>4.2333010127173107</v>
      </c>
      <c r="H176" s="84">
        <f t="shared" si="26"/>
        <v>4.5719650937346952</v>
      </c>
      <c r="I176" s="84">
        <f t="shared" si="21"/>
        <v>5.291626265896638</v>
      </c>
      <c r="K176" s="83"/>
      <c r="L176" s="85"/>
      <c r="M176" s="85"/>
    </row>
    <row r="177" spans="1:13">
      <c r="A177" s="81">
        <v>38443</v>
      </c>
      <c r="B177" s="82">
        <v>392.87714729047474</v>
      </c>
      <c r="C177" s="82">
        <v>443.57845402466336</v>
      </c>
      <c r="D177" s="83">
        <f t="shared" si="22"/>
        <v>418.22780065756905</v>
      </c>
      <c r="E177" s="83">
        <f t="shared" si="23"/>
        <v>418.22780065756905</v>
      </c>
      <c r="F177" s="84">
        <f t="shared" si="24"/>
        <v>3.3458224052605523</v>
      </c>
      <c r="G177" s="84">
        <f t="shared" si="25"/>
        <v>4.1822780065756904</v>
      </c>
      <c r="H177" s="84">
        <f t="shared" si="26"/>
        <v>4.5168602471017456</v>
      </c>
      <c r="I177" s="84">
        <f t="shared" si="21"/>
        <v>5.2278475082196127</v>
      </c>
      <c r="K177" s="83"/>
      <c r="L177" s="85"/>
      <c r="M177" s="85"/>
    </row>
    <row r="178" spans="1:13">
      <c r="A178" s="81">
        <v>38473</v>
      </c>
      <c r="B178" s="82">
        <v>372.46794483382672</v>
      </c>
      <c r="C178" s="82">
        <v>374.92940756846548</v>
      </c>
      <c r="D178" s="83">
        <f t="shared" si="22"/>
        <v>373.6986762011461</v>
      </c>
      <c r="E178" s="83">
        <f t="shared" si="23"/>
        <v>373.6986762011461</v>
      </c>
      <c r="F178" s="84">
        <f t="shared" si="24"/>
        <v>2.9895894096091689</v>
      </c>
      <c r="G178" s="84">
        <f t="shared" si="25"/>
        <v>3.736986762011461</v>
      </c>
      <c r="H178" s="84">
        <f t="shared" si="26"/>
        <v>4.035945702972378</v>
      </c>
      <c r="I178" s="84">
        <f t="shared" si="21"/>
        <v>4.6712334525143264</v>
      </c>
      <c r="K178" s="83"/>
      <c r="L178" s="85"/>
      <c r="M178" s="85"/>
    </row>
    <row r="179" spans="1:13">
      <c r="A179" s="81">
        <v>38504</v>
      </c>
      <c r="B179" s="82">
        <v>301.0357362355586</v>
      </c>
      <c r="C179" s="82">
        <v>327.40314463725156</v>
      </c>
      <c r="D179" s="83">
        <f t="shared" si="22"/>
        <v>314.21944043640508</v>
      </c>
      <c r="E179" s="83">
        <f t="shared" si="23"/>
        <v>314.21944043640508</v>
      </c>
      <c r="F179" s="84">
        <f t="shared" si="24"/>
        <v>2.5137555234912408</v>
      </c>
      <c r="G179" s="84">
        <f t="shared" si="25"/>
        <v>3.1421944043640506</v>
      </c>
      <c r="H179" s="84">
        <f t="shared" si="26"/>
        <v>3.3935699567131747</v>
      </c>
      <c r="I179" s="84">
        <f t="shared" si="21"/>
        <v>3.9277430054550635</v>
      </c>
      <c r="K179" s="83"/>
      <c r="L179" s="85"/>
      <c r="M179" s="85"/>
    </row>
    <row r="180" spans="1:13">
      <c r="A180" s="81">
        <v>38534</v>
      </c>
      <c r="B180" s="82">
        <v>372.46794483382672</v>
      </c>
      <c r="C180" s="82">
        <v>300.99966523102159</v>
      </c>
      <c r="D180" s="83">
        <f t="shared" si="22"/>
        <v>336.73380503242413</v>
      </c>
      <c r="E180" s="83">
        <f t="shared" si="23"/>
        <v>336.73380503242413</v>
      </c>
      <c r="F180" s="84">
        <f t="shared" si="24"/>
        <v>2.6938704402593929</v>
      </c>
      <c r="G180" s="84">
        <f t="shared" si="25"/>
        <v>3.3673380503242414</v>
      </c>
      <c r="H180" s="84">
        <f t="shared" si="26"/>
        <v>3.6367250943501808</v>
      </c>
      <c r="I180" s="84">
        <f t="shared" si="21"/>
        <v>4.2091725629053016</v>
      </c>
      <c r="K180" s="83"/>
      <c r="L180" s="85"/>
      <c r="M180" s="85"/>
    </row>
    <row r="181" spans="1:13">
      <c r="A181" s="81">
        <v>38565</v>
      </c>
      <c r="B181" s="82">
        <v>352.05874237717865</v>
      </c>
      <c r="C181" s="82">
        <v>300.99966523102159</v>
      </c>
      <c r="D181" s="83">
        <f t="shared" si="22"/>
        <v>326.52920380410012</v>
      </c>
      <c r="E181" s="83">
        <f t="shared" si="23"/>
        <v>326.52920380410012</v>
      </c>
      <c r="F181" s="84">
        <f t="shared" si="24"/>
        <v>2.6122336304328009</v>
      </c>
      <c r="G181" s="84">
        <f t="shared" si="25"/>
        <v>3.2652920380410011</v>
      </c>
      <c r="H181" s="84">
        <f t="shared" si="26"/>
        <v>3.5265154010842816</v>
      </c>
      <c r="I181" s="84">
        <f t="shared" si="21"/>
        <v>4.0816150475512512</v>
      </c>
      <c r="K181" s="83"/>
      <c r="L181" s="85"/>
      <c r="M181" s="85"/>
    </row>
    <row r="182" spans="1:13">
      <c r="A182" s="81">
        <v>38596</v>
      </c>
      <c r="B182" s="82">
        <v>357.16104299134071</v>
      </c>
      <c r="C182" s="82">
        <v>385.49079933095743</v>
      </c>
      <c r="D182" s="83">
        <f t="shared" si="22"/>
        <v>371.32592116114904</v>
      </c>
      <c r="E182" s="83">
        <f t="shared" si="23"/>
        <v>371.32592116114904</v>
      </c>
      <c r="F182" s="84">
        <f t="shared" si="24"/>
        <v>2.9706073692891923</v>
      </c>
      <c r="G182" s="84">
        <f t="shared" si="25"/>
        <v>3.7132592116114904</v>
      </c>
      <c r="H182" s="84">
        <f t="shared" si="26"/>
        <v>4.0103199485404097</v>
      </c>
      <c r="I182" s="84">
        <f t="shared" si="21"/>
        <v>4.6415740145143634</v>
      </c>
      <c r="K182" s="83"/>
      <c r="L182" s="85"/>
      <c r="M182" s="85"/>
    </row>
    <row r="183" spans="1:13">
      <c r="A183" s="81">
        <v>38626</v>
      </c>
      <c r="B183" s="82">
        <v>346.95644176301664</v>
      </c>
      <c r="C183" s="82">
        <v>343.24523228098951</v>
      </c>
      <c r="D183" s="83">
        <f t="shared" si="22"/>
        <v>345.10083702200308</v>
      </c>
      <c r="E183" s="83">
        <f t="shared" si="23"/>
        <v>345.10083702200308</v>
      </c>
      <c r="F183" s="84">
        <f t="shared" si="24"/>
        <v>2.7608066961760245</v>
      </c>
      <c r="G183" s="84">
        <f t="shared" si="25"/>
        <v>3.4510083702200305</v>
      </c>
      <c r="H183" s="84">
        <f t="shared" si="26"/>
        <v>3.7270890398376331</v>
      </c>
      <c r="I183" s="84">
        <f t="shared" si="21"/>
        <v>4.313760462775039</v>
      </c>
      <c r="K183" s="83"/>
      <c r="L183" s="85"/>
      <c r="M183" s="85"/>
    </row>
    <row r="184" spans="1:13">
      <c r="A184" s="81">
        <v>38657</v>
      </c>
      <c r="B184" s="82">
        <v>352.05874237717865</v>
      </c>
      <c r="C184" s="82">
        <v>332.6838405184975</v>
      </c>
      <c r="D184" s="83">
        <f t="shared" si="22"/>
        <v>342.37129144783808</v>
      </c>
      <c r="E184" s="83">
        <f t="shared" si="23"/>
        <v>342.37129144783808</v>
      </c>
      <c r="F184" s="84">
        <f t="shared" si="24"/>
        <v>2.7389703315827045</v>
      </c>
      <c r="G184" s="84">
        <f t="shared" si="25"/>
        <v>3.4237129144783807</v>
      </c>
      <c r="H184" s="84">
        <f t="shared" si="26"/>
        <v>3.6976099476366513</v>
      </c>
      <c r="I184" s="84">
        <f t="shared" si="21"/>
        <v>4.2796411430979759</v>
      </c>
      <c r="K184" s="83"/>
      <c r="L184" s="85"/>
      <c r="M184" s="85"/>
    </row>
    <row r="185" spans="1:13">
      <c r="A185" s="81">
        <v>38687</v>
      </c>
      <c r="B185" s="82">
        <v>346.95644176301664</v>
      </c>
      <c r="C185" s="82">
        <v>348.52592816223552</v>
      </c>
      <c r="D185" s="83">
        <f t="shared" si="22"/>
        <v>347.74118496262611</v>
      </c>
      <c r="E185" s="83">
        <f t="shared" si="23"/>
        <v>347.74118496262611</v>
      </c>
      <c r="F185" s="84">
        <f t="shared" si="24"/>
        <v>2.7819294797010086</v>
      </c>
      <c r="G185" s="84">
        <f t="shared" si="25"/>
        <v>3.4774118496262614</v>
      </c>
      <c r="H185" s="84">
        <f t="shared" si="26"/>
        <v>3.7556047975963618</v>
      </c>
      <c r="I185" s="84">
        <f t="shared" si="21"/>
        <v>4.3467648120328262</v>
      </c>
      <c r="K185" s="83"/>
      <c r="L185" s="85"/>
      <c r="M185" s="85"/>
    </row>
    <row r="186" spans="1:13">
      <c r="A186" s="81">
        <v>38718</v>
      </c>
      <c r="B186" s="82">
        <v>346.95644176301664</v>
      </c>
      <c r="C186" s="82">
        <v>348.52592816223552</v>
      </c>
      <c r="D186" s="83">
        <f t="shared" si="22"/>
        <v>347.74118496262611</v>
      </c>
      <c r="E186" s="83">
        <f t="shared" si="23"/>
        <v>347.74118496262611</v>
      </c>
      <c r="F186" s="84">
        <f t="shared" si="24"/>
        <v>2.7819294797010086</v>
      </c>
      <c r="G186" s="84">
        <f t="shared" si="25"/>
        <v>3.4774118496262614</v>
      </c>
      <c r="H186" s="84">
        <f t="shared" si="26"/>
        <v>3.7556047975963618</v>
      </c>
      <c r="I186" s="84">
        <f t="shared" si="21"/>
        <v>4.3467648120328262</v>
      </c>
      <c r="K186" s="83"/>
      <c r="L186" s="85"/>
      <c r="M186" s="85"/>
    </row>
    <row r="187" spans="1:13">
      <c r="A187" s="81">
        <v>38749</v>
      </c>
      <c r="B187" s="82">
        <v>352.05874237717865</v>
      </c>
      <c r="C187" s="82">
        <v>348.52592816223552</v>
      </c>
      <c r="D187" s="83">
        <f t="shared" si="22"/>
        <v>350.29233526970711</v>
      </c>
      <c r="E187" s="83">
        <f t="shared" si="23"/>
        <v>350.29233526970711</v>
      </c>
      <c r="F187" s="84">
        <f t="shared" si="24"/>
        <v>2.8023386821576572</v>
      </c>
      <c r="G187" s="84">
        <f t="shared" si="25"/>
        <v>3.5029233526970711</v>
      </c>
      <c r="H187" s="84">
        <f t="shared" si="26"/>
        <v>3.783157220912837</v>
      </c>
      <c r="I187" s="84">
        <f t="shared" si="21"/>
        <v>4.3786541908713392</v>
      </c>
      <c r="K187" s="83"/>
      <c r="L187" s="85"/>
      <c r="M187" s="85"/>
    </row>
    <row r="188" spans="1:13">
      <c r="A188" s="81">
        <v>38777</v>
      </c>
      <c r="B188" s="82">
        <v>346.95644176301664</v>
      </c>
      <c r="C188" s="82">
        <v>374.92940756846548</v>
      </c>
      <c r="D188" s="83">
        <f t="shared" si="22"/>
        <v>360.94292466574109</v>
      </c>
      <c r="E188" s="83">
        <f t="shared" si="23"/>
        <v>360.94292466574109</v>
      </c>
      <c r="F188" s="84">
        <f t="shared" si="24"/>
        <v>2.8875433973259286</v>
      </c>
      <c r="G188" s="84">
        <f t="shared" si="25"/>
        <v>3.6094292466574109</v>
      </c>
      <c r="H188" s="84">
        <f t="shared" si="26"/>
        <v>3.8981835863900036</v>
      </c>
      <c r="I188" s="84">
        <f t="shared" si="21"/>
        <v>4.5117865583217638</v>
      </c>
      <c r="K188" s="83"/>
      <c r="L188" s="85"/>
      <c r="M188" s="85"/>
    </row>
    <row r="189" spans="1:13">
      <c r="A189" s="81">
        <v>38808</v>
      </c>
      <c r="B189" s="82">
        <v>352.05874237717865</v>
      </c>
      <c r="C189" s="82">
        <v>382.32238180220986</v>
      </c>
      <c r="D189" s="83">
        <f t="shared" si="22"/>
        <v>367.19056208969425</v>
      </c>
      <c r="E189" s="83">
        <f t="shared" si="23"/>
        <v>367.19056208969425</v>
      </c>
      <c r="F189" s="84">
        <f t="shared" si="24"/>
        <v>2.937524496717554</v>
      </c>
      <c r="G189" s="84">
        <f t="shared" si="25"/>
        <v>3.6719056208969425</v>
      </c>
      <c r="H189" s="84">
        <f t="shared" si="26"/>
        <v>3.9656580705686979</v>
      </c>
      <c r="I189" s="84">
        <f t="shared" si="21"/>
        <v>4.5898820261211775</v>
      </c>
      <c r="K189" s="83"/>
      <c r="L189" s="85"/>
      <c r="M189" s="85"/>
    </row>
    <row r="190" spans="1:13">
      <c r="A190" s="81">
        <v>38838</v>
      </c>
      <c r="B190" s="82">
        <v>367.36564421966472</v>
      </c>
      <c r="C190" s="82">
        <v>380.21010344971148</v>
      </c>
      <c r="D190" s="83">
        <f t="shared" si="22"/>
        <v>373.78787383468807</v>
      </c>
      <c r="E190" s="83">
        <f t="shared" si="23"/>
        <v>373.78787383468807</v>
      </c>
      <c r="F190" s="84">
        <f t="shared" si="24"/>
        <v>2.9903029906775047</v>
      </c>
      <c r="G190" s="84">
        <f t="shared" si="25"/>
        <v>3.7378787383468808</v>
      </c>
      <c r="H190" s="84">
        <f t="shared" si="26"/>
        <v>4.036909037414631</v>
      </c>
      <c r="I190" s="84">
        <f t="shared" si="21"/>
        <v>4.6723484229336005</v>
      </c>
      <c r="K190" s="83"/>
      <c r="L190" s="85"/>
      <c r="M190" s="85"/>
    </row>
    <row r="191" spans="1:13">
      <c r="A191" s="81">
        <v>38869</v>
      </c>
      <c r="B191" s="82">
        <v>346.95644176301664</v>
      </c>
      <c r="C191" s="82">
        <v>364.36801580597347</v>
      </c>
      <c r="D191" s="83">
        <f t="shared" si="22"/>
        <v>355.66222878449503</v>
      </c>
      <c r="E191" s="83">
        <f t="shared" si="23"/>
        <v>355.66222878449503</v>
      </c>
      <c r="F191" s="84">
        <f t="shared" si="24"/>
        <v>2.8452978302759604</v>
      </c>
      <c r="G191" s="84">
        <f t="shared" si="25"/>
        <v>3.5566222878449505</v>
      </c>
      <c r="H191" s="84">
        <f t="shared" si="26"/>
        <v>3.8411520708725462</v>
      </c>
      <c r="I191" s="84">
        <f t="shared" si="21"/>
        <v>4.4457778598061877</v>
      </c>
      <c r="K191" s="83"/>
      <c r="L191" s="85"/>
      <c r="M191" s="85"/>
    </row>
    <row r="192" spans="1:13">
      <c r="A192" s="81">
        <v>38899</v>
      </c>
      <c r="B192" s="82">
        <v>357.16104299134071</v>
      </c>
      <c r="C192" s="82">
        <v>369.64871168721947</v>
      </c>
      <c r="D192" s="83">
        <f t="shared" si="22"/>
        <v>363.40487733928012</v>
      </c>
      <c r="E192" s="83">
        <f t="shared" si="23"/>
        <v>363.40487733928012</v>
      </c>
      <c r="F192" s="84">
        <f t="shared" si="24"/>
        <v>2.907239018714241</v>
      </c>
      <c r="G192" s="84">
        <f t="shared" si="25"/>
        <v>3.6340487733928013</v>
      </c>
      <c r="H192" s="84">
        <f t="shared" si="26"/>
        <v>3.9247726752642254</v>
      </c>
      <c r="I192" s="84">
        <f t="shared" si="21"/>
        <v>4.542560966741001</v>
      </c>
      <c r="K192" s="83"/>
      <c r="L192" s="85"/>
      <c r="M192" s="85"/>
    </row>
    <row r="193" spans="1:13">
      <c r="A193" s="81">
        <v>38930</v>
      </c>
      <c r="B193" s="82">
        <v>367.36564421966472</v>
      </c>
      <c r="C193" s="82">
        <v>374.92940756846548</v>
      </c>
      <c r="D193" s="83">
        <f t="shared" si="22"/>
        <v>371.1475258940651</v>
      </c>
      <c r="E193" s="83">
        <f t="shared" si="23"/>
        <v>371.1475258940651</v>
      </c>
      <c r="F193" s="84">
        <f t="shared" si="24"/>
        <v>2.9691802071525206</v>
      </c>
      <c r="G193" s="84">
        <f t="shared" si="25"/>
        <v>3.7114752589406512</v>
      </c>
      <c r="H193" s="84">
        <f t="shared" si="26"/>
        <v>4.0083932796559028</v>
      </c>
      <c r="I193" s="84">
        <f t="shared" si="21"/>
        <v>4.6393440736758143</v>
      </c>
      <c r="K193" s="83"/>
      <c r="L193" s="85"/>
      <c r="M193" s="85"/>
    </row>
    <row r="194" spans="1:13">
      <c r="A194" s="81">
        <v>38961</v>
      </c>
      <c r="B194" s="82">
        <v>428.59325158960883</v>
      </c>
      <c r="C194" s="82">
        <v>390.77149521220343</v>
      </c>
      <c r="D194" s="83">
        <f t="shared" si="22"/>
        <v>409.68237340090616</v>
      </c>
      <c r="E194" s="83">
        <f t="shared" si="23"/>
        <v>409.68237340090616</v>
      </c>
      <c r="F194" s="84">
        <f t="shared" si="24"/>
        <v>3.2774589872072495</v>
      </c>
      <c r="G194" s="84">
        <f t="shared" si="25"/>
        <v>4.0968237340090612</v>
      </c>
      <c r="H194" s="84">
        <f t="shared" si="26"/>
        <v>4.4245696327297868</v>
      </c>
      <c r="I194" s="84">
        <f t="shared" si="21"/>
        <v>5.1210296675113272</v>
      </c>
      <c r="K194" s="83"/>
      <c r="L194" s="85"/>
      <c r="M194" s="85"/>
    </row>
    <row r="195" spans="1:13">
      <c r="A195" s="81">
        <v>38991</v>
      </c>
      <c r="B195" s="82">
        <v>438.79785281793284</v>
      </c>
      <c r="C195" s="82">
        <v>390.77149521220343</v>
      </c>
      <c r="D195" s="83">
        <f t="shared" si="22"/>
        <v>414.78467401506816</v>
      </c>
      <c r="E195" s="83">
        <f t="shared" si="23"/>
        <v>414.78467401506816</v>
      </c>
      <c r="F195" s="84">
        <f t="shared" si="24"/>
        <v>3.3182773921205451</v>
      </c>
      <c r="G195" s="84">
        <f t="shared" si="25"/>
        <v>4.1478467401506816</v>
      </c>
      <c r="H195" s="84">
        <f t="shared" si="26"/>
        <v>4.4796744793627363</v>
      </c>
      <c r="I195" s="84">
        <f t="shared" si="21"/>
        <v>5.1848084251883524</v>
      </c>
      <c r="K195" s="83"/>
      <c r="L195" s="85"/>
      <c r="M195" s="85"/>
    </row>
    <row r="196" spans="1:13">
      <c r="A196" s="81">
        <v>39022</v>
      </c>
      <c r="B196" s="82">
        <v>413.28634974712281</v>
      </c>
      <c r="C196" s="82">
        <v>422.4556704996794</v>
      </c>
      <c r="D196" s="83">
        <f t="shared" si="22"/>
        <v>417.87101012340111</v>
      </c>
      <c r="E196" s="83">
        <f t="shared" si="23"/>
        <v>417.87101012340111</v>
      </c>
      <c r="F196" s="84">
        <f t="shared" si="24"/>
        <v>3.3429680809872089</v>
      </c>
      <c r="G196" s="84">
        <f t="shared" si="25"/>
        <v>4.1787101012340111</v>
      </c>
      <c r="H196" s="84">
        <f t="shared" si="26"/>
        <v>4.5130069093327316</v>
      </c>
      <c r="I196" s="84">
        <f t="shared" si="21"/>
        <v>5.2233876265425145</v>
      </c>
      <c r="K196" s="83"/>
      <c r="L196" s="85"/>
      <c r="M196" s="85"/>
    </row>
    <row r="197" spans="1:13">
      <c r="A197" s="81">
        <v>39052</v>
      </c>
      <c r="B197" s="82">
        <v>423.49095097544682</v>
      </c>
      <c r="C197" s="82">
        <v>411.89427873718739</v>
      </c>
      <c r="D197" s="83">
        <f t="shared" si="22"/>
        <v>417.69261485631711</v>
      </c>
      <c r="E197" s="83">
        <f t="shared" si="23"/>
        <v>417.69261485631711</v>
      </c>
      <c r="F197" s="84">
        <f t="shared" si="24"/>
        <v>3.3415409188505367</v>
      </c>
      <c r="G197" s="84">
        <f t="shared" si="25"/>
        <v>4.1769261485631715</v>
      </c>
      <c r="H197" s="84">
        <f t="shared" si="26"/>
        <v>4.5110802404482246</v>
      </c>
      <c r="I197" s="84">
        <f t="shared" si="21"/>
        <v>5.2211576857039637</v>
      </c>
      <c r="K197" s="83"/>
      <c r="L197" s="85"/>
      <c r="M197" s="85"/>
    </row>
    <row r="198" spans="1:13">
      <c r="A198" s="81">
        <v>39083</v>
      </c>
      <c r="B198" s="82">
        <v>428.59325158960883</v>
      </c>
      <c r="C198" s="82">
        <v>454.13984578715537</v>
      </c>
      <c r="D198" s="83">
        <f t="shared" si="22"/>
        <v>441.36654868838207</v>
      </c>
      <c r="E198" s="83">
        <f t="shared" si="23"/>
        <v>441.36654868838207</v>
      </c>
      <c r="F198" s="84">
        <f t="shared" si="24"/>
        <v>3.5309323895070568</v>
      </c>
      <c r="G198" s="84">
        <f t="shared" si="25"/>
        <v>4.4136654868838212</v>
      </c>
      <c r="H198" s="84">
        <f t="shared" si="26"/>
        <v>4.7667587258345261</v>
      </c>
      <c r="I198" s="84">
        <f t="shared" si="21"/>
        <v>5.5170818586047758</v>
      </c>
      <c r="K198" s="83"/>
      <c r="L198" s="85"/>
      <c r="M198" s="85"/>
    </row>
    <row r="199" spans="1:13">
      <c r="A199" s="81">
        <v>39114</v>
      </c>
      <c r="B199" s="82">
        <v>428.59325158960883</v>
      </c>
      <c r="C199" s="82">
        <v>454.13984578715537</v>
      </c>
      <c r="D199" s="83">
        <f t="shared" si="22"/>
        <v>441.36654868838207</v>
      </c>
      <c r="E199" s="83">
        <f t="shared" si="23"/>
        <v>441.36654868838207</v>
      </c>
      <c r="F199" s="84">
        <f t="shared" si="24"/>
        <v>3.5309323895070568</v>
      </c>
      <c r="G199" s="84">
        <f t="shared" si="25"/>
        <v>4.4136654868838212</v>
      </c>
      <c r="H199" s="84">
        <f t="shared" si="26"/>
        <v>4.7667587258345261</v>
      </c>
      <c r="I199" s="84">
        <f t="shared" si="21"/>
        <v>5.5170818586047758</v>
      </c>
      <c r="K199" s="83"/>
      <c r="L199" s="85"/>
      <c r="M199" s="85"/>
    </row>
    <row r="200" spans="1:13">
      <c r="A200" s="81">
        <v>39142</v>
      </c>
      <c r="B200" s="82">
        <v>428.59325158960883</v>
      </c>
      <c r="C200" s="82">
        <v>459.42054166840137</v>
      </c>
      <c r="D200" s="83">
        <f t="shared" si="22"/>
        <v>444.0068966290051</v>
      </c>
      <c r="E200" s="83">
        <f t="shared" si="23"/>
        <v>444.0068966290051</v>
      </c>
      <c r="F200" s="84">
        <f t="shared" si="24"/>
        <v>3.5520551730320409</v>
      </c>
      <c r="G200" s="84">
        <f t="shared" si="25"/>
        <v>4.4400689662900508</v>
      </c>
      <c r="H200" s="84">
        <f t="shared" si="26"/>
        <v>4.7952744835932553</v>
      </c>
      <c r="I200" s="84">
        <f t="shared" si="21"/>
        <v>5.550086207862563</v>
      </c>
      <c r="K200" s="83"/>
      <c r="L200" s="85"/>
      <c r="M200" s="85"/>
    </row>
    <row r="201" spans="1:13">
      <c r="A201" s="81">
        <v>39173</v>
      </c>
      <c r="B201" s="82">
        <v>449.00245404625684</v>
      </c>
      <c r="C201" s="82">
        <v>469.98193343089332</v>
      </c>
      <c r="D201" s="83">
        <f t="shared" si="22"/>
        <v>459.49219373857511</v>
      </c>
      <c r="E201" s="83">
        <f t="shared" si="23"/>
        <v>459.49219373857511</v>
      </c>
      <c r="F201" s="84">
        <f t="shared" si="24"/>
        <v>3.6759375499086007</v>
      </c>
      <c r="G201" s="84">
        <f t="shared" si="25"/>
        <v>4.5949219373857506</v>
      </c>
      <c r="H201" s="84">
        <f t="shared" si="26"/>
        <v>4.9625156923766109</v>
      </c>
      <c r="I201" s="84">
        <f t="shared" si="21"/>
        <v>5.7436524217321887</v>
      </c>
      <c r="K201" s="83"/>
      <c r="L201" s="85"/>
      <c r="M201" s="85"/>
    </row>
    <row r="202" spans="1:13">
      <c r="A202" s="81">
        <v>39203</v>
      </c>
      <c r="B202" s="82">
        <v>449.00245404625684</v>
      </c>
      <c r="C202" s="82">
        <v>454.13984578715537</v>
      </c>
      <c r="D202" s="83">
        <f t="shared" si="22"/>
        <v>451.57114991670608</v>
      </c>
      <c r="E202" s="83">
        <f t="shared" si="23"/>
        <v>451.57114991670608</v>
      </c>
      <c r="F202" s="84">
        <f t="shared" si="24"/>
        <v>3.6125691993336488</v>
      </c>
      <c r="G202" s="84">
        <f t="shared" si="25"/>
        <v>4.5157114991670602</v>
      </c>
      <c r="H202" s="84">
        <f t="shared" si="26"/>
        <v>4.8769684191004252</v>
      </c>
      <c r="I202" s="84">
        <f t="shared" si="21"/>
        <v>5.6446393739588263</v>
      </c>
      <c r="K202" s="83"/>
      <c r="L202" s="85"/>
      <c r="M202" s="85"/>
    </row>
    <row r="203" spans="1:13">
      <c r="A203" s="81">
        <v>39234</v>
      </c>
      <c r="B203" s="82">
        <v>449.00245404625684</v>
      </c>
      <c r="C203" s="82">
        <v>454.13984578715537</v>
      </c>
      <c r="D203" s="83">
        <f t="shared" si="22"/>
        <v>451.57114991670608</v>
      </c>
      <c r="E203" s="83">
        <f t="shared" si="23"/>
        <v>451.57114991670608</v>
      </c>
      <c r="F203" s="84">
        <f t="shared" si="24"/>
        <v>3.6125691993336488</v>
      </c>
      <c r="G203" s="84">
        <f t="shared" si="25"/>
        <v>4.5157114991670602</v>
      </c>
      <c r="H203" s="84">
        <f t="shared" si="26"/>
        <v>4.8769684191004252</v>
      </c>
      <c r="I203" s="84">
        <f t="shared" si="21"/>
        <v>5.6446393739588263</v>
      </c>
      <c r="K203" s="83"/>
      <c r="L203" s="85"/>
      <c r="M203" s="85"/>
    </row>
    <row r="204" spans="1:13">
      <c r="A204" s="81">
        <v>39264</v>
      </c>
      <c r="B204" s="82">
        <v>510.23006141620095</v>
      </c>
      <c r="C204" s="82">
        <v>454.13984578715537</v>
      </c>
      <c r="D204" s="83">
        <f t="shared" si="22"/>
        <v>482.18495360167816</v>
      </c>
      <c r="E204" s="83">
        <f t="shared" si="23"/>
        <v>482.18495360167816</v>
      </c>
      <c r="F204" s="84">
        <f t="shared" si="24"/>
        <v>3.857479628813425</v>
      </c>
      <c r="G204" s="84">
        <f t="shared" si="25"/>
        <v>4.8218495360167815</v>
      </c>
      <c r="H204" s="84">
        <f t="shared" si="26"/>
        <v>5.2075974988981244</v>
      </c>
      <c r="I204" s="84">
        <f t="shared" si="21"/>
        <v>6.0273119200209768</v>
      </c>
      <c r="K204" s="83"/>
      <c r="L204" s="85"/>
      <c r="M204" s="85"/>
    </row>
    <row r="205" spans="1:13">
      <c r="A205" s="81">
        <v>39295</v>
      </c>
      <c r="B205" s="82">
        <v>530.63926387284903</v>
      </c>
      <c r="C205" s="82">
        <v>454.13984578715537</v>
      </c>
      <c r="D205" s="83">
        <f t="shared" si="22"/>
        <v>492.38955483000223</v>
      </c>
      <c r="E205" s="83">
        <f t="shared" si="23"/>
        <v>492.38955483000223</v>
      </c>
      <c r="F205" s="84">
        <f t="shared" si="24"/>
        <v>3.9391164386400179</v>
      </c>
      <c r="G205" s="84">
        <f t="shared" si="25"/>
        <v>4.9238955483000222</v>
      </c>
      <c r="H205" s="84">
        <f t="shared" si="26"/>
        <v>5.3178071921640244</v>
      </c>
      <c r="I205" s="84">
        <f t="shared" si="21"/>
        <v>6.1548694353750273</v>
      </c>
      <c r="K205" s="83"/>
      <c r="L205" s="85"/>
      <c r="M205" s="85"/>
    </row>
    <row r="206" spans="1:13">
      <c r="A206" s="81">
        <v>39326</v>
      </c>
      <c r="B206" s="82">
        <v>530.63926387284903</v>
      </c>
      <c r="C206" s="82">
        <v>454.13984578715537</v>
      </c>
      <c r="D206" s="83">
        <f t="shared" si="22"/>
        <v>492.38955483000223</v>
      </c>
      <c r="E206" s="83">
        <f t="shared" si="23"/>
        <v>492.38955483000223</v>
      </c>
      <c r="F206" s="84">
        <f t="shared" si="24"/>
        <v>3.9391164386400179</v>
      </c>
      <c r="G206" s="84">
        <f t="shared" si="25"/>
        <v>4.9238955483000222</v>
      </c>
      <c r="H206" s="84">
        <f t="shared" si="26"/>
        <v>5.3178071921640244</v>
      </c>
      <c r="I206" s="84">
        <f t="shared" si="21"/>
        <v>6.1548694353750273</v>
      </c>
      <c r="K206" s="83"/>
      <c r="L206" s="85"/>
      <c r="M206" s="85"/>
    </row>
    <row r="207" spans="1:13">
      <c r="A207" s="81">
        <v>39356</v>
      </c>
      <c r="B207" s="82">
        <v>489.82085895955294</v>
      </c>
      <c r="C207" s="82">
        <v>512.22750048086129</v>
      </c>
      <c r="D207" s="83">
        <f t="shared" si="22"/>
        <v>501.02417972020714</v>
      </c>
      <c r="E207" s="83">
        <f t="shared" si="23"/>
        <v>501.02417972020714</v>
      </c>
      <c r="F207" s="84">
        <f t="shared" si="24"/>
        <v>4.0081934377616566</v>
      </c>
      <c r="G207" s="84">
        <f t="shared" si="25"/>
        <v>5.0102417972020712</v>
      </c>
      <c r="H207" s="84">
        <f t="shared" si="26"/>
        <v>5.4110611409782372</v>
      </c>
      <c r="I207" s="84">
        <f t="shared" si="21"/>
        <v>6.2628022465025897</v>
      </c>
      <c r="K207" s="83"/>
      <c r="L207" s="85"/>
      <c r="M207" s="85"/>
    </row>
    <row r="208" spans="1:13">
      <c r="A208" s="81">
        <v>39387</v>
      </c>
      <c r="B208" s="82">
        <v>489.82085895955294</v>
      </c>
      <c r="C208" s="82">
        <v>501.66610871836929</v>
      </c>
      <c r="D208" s="83">
        <f t="shared" si="22"/>
        <v>495.74348383896108</v>
      </c>
      <c r="E208" s="83">
        <f t="shared" si="23"/>
        <v>495.74348383896108</v>
      </c>
      <c r="F208" s="84">
        <f t="shared" si="24"/>
        <v>3.9659478707116889</v>
      </c>
      <c r="G208" s="84">
        <f t="shared" si="25"/>
        <v>4.9574348383896112</v>
      </c>
      <c r="H208" s="84">
        <f t="shared" si="26"/>
        <v>5.3540296254607789</v>
      </c>
      <c r="I208" s="84">
        <f t="shared" si="21"/>
        <v>6.1967935479870135</v>
      </c>
      <c r="K208" s="83"/>
      <c r="L208" s="85"/>
      <c r="M208" s="85"/>
    </row>
    <row r="209" spans="1:13">
      <c r="A209" s="81">
        <v>39417</v>
      </c>
      <c r="B209" s="82">
        <v>489.82085895955294</v>
      </c>
      <c r="C209" s="82">
        <v>496.38541283712328</v>
      </c>
      <c r="D209" s="83">
        <f t="shared" si="22"/>
        <v>493.10313589833811</v>
      </c>
      <c r="E209" s="83">
        <f t="shared" si="23"/>
        <v>493.10313589833811</v>
      </c>
      <c r="F209" s="84">
        <f t="shared" si="24"/>
        <v>3.9448250871867048</v>
      </c>
      <c r="G209" s="84">
        <f t="shared" si="25"/>
        <v>4.9310313589833807</v>
      </c>
      <c r="H209" s="84">
        <f t="shared" si="26"/>
        <v>5.3255138677020524</v>
      </c>
      <c r="I209" s="84">
        <f t="shared" si="21"/>
        <v>6.1637891987292264</v>
      </c>
      <c r="K209" s="83"/>
      <c r="L209" s="85"/>
      <c r="M209" s="85"/>
    </row>
    <row r="210" spans="1:13">
      <c r="A210" s="81">
        <v>39448</v>
      </c>
      <c r="B210" s="82">
        <v>469.41165650290492</v>
      </c>
      <c r="C210" s="82">
        <v>496.38541283712328</v>
      </c>
      <c r="D210" s="83">
        <f t="shared" si="22"/>
        <v>482.8985346700141</v>
      </c>
      <c r="E210" s="83">
        <f t="shared" si="23"/>
        <v>482.8985346700141</v>
      </c>
      <c r="F210" s="84">
        <f t="shared" si="24"/>
        <v>3.8631882773601127</v>
      </c>
      <c r="G210" s="84">
        <f t="shared" si="25"/>
        <v>4.8289853467001409</v>
      </c>
      <c r="H210" s="84">
        <f t="shared" si="26"/>
        <v>5.2153041744361524</v>
      </c>
      <c r="I210" s="84">
        <f t="shared" ref="I210:I273" si="27">D210*H$9/1000000</f>
        <v>6.0362316833751759</v>
      </c>
      <c r="K210" s="83"/>
      <c r="L210" s="85"/>
      <c r="M210" s="85"/>
    </row>
    <row r="211" spans="1:13">
      <c r="A211" s="81">
        <v>39479</v>
      </c>
      <c r="B211" s="82">
        <v>642.88987738441324</v>
      </c>
      <c r="C211" s="82">
        <v>601.99933046204319</v>
      </c>
      <c r="D211" s="83">
        <f t="shared" ref="D211:D274" si="28">AVERAGE(B211:C211)</f>
        <v>622.44460392322821</v>
      </c>
      <c r="E211" s="83">
        <f t="shared" ref="E211:E274" si="29">D211</f>
        <v>622.44460392322821</v>
      </c>
      <c r="F211" s="84">
        <f t="shared" ref="F211:F274" si="30">D211*H$6/1000000</f>
        <v>4.9795568313858256</v>
      </c>
      <c r="G211" s="84">
        <f t="shared" ref="G211:G274" si="31">D211*H$7/1000000</f>
        <v>6.2244460392322818</v>
      </c>
      <c r="H211" s="84">
        <f t="shared" ref="H211:H274" si="32">D211*H$8/1000000</f>
        <v>6.722401722370865</v>
      </c>
      <c r="I211" s="84">
        <f t="shared" si="27"/>
        <v>7.7805575490403527</v>
      </c>
      <c r="K211" s="83"/>
      <c r="L211" s="85"/>
      <c r="M211" s="85"/>
    </row>
    <row r="212" spans="1:13">
      <c r="A212" s="81">
        <v>39508</v>
      </c>
      <c r="B212" s="82">
        <v>693.91288352603328</v>
      </c>
      <c r="C212" s="82">
        <v>665.36768103699501</v>
      </c>
      <c r="D212" s="83">
        <f t="shared" si="28"/>
        <v>679.64028228151415</v>
      </c>
      <c r="E212" s="83">
        <f t="shared" si="29"/>
        <v>679.64028228151415</v>
      </c>
      <c r="F212" s="84">
        <f t="shared" si="30"/>
        <v>5.4371222582521135</v>
      </c>
      <c r="G212" s="84">
        <f t="shared" si="31"/>
        <v>6.7964028228151419</v>
      </c>
      <c r="H212" s="84">
        <f t="shared" si="32"/>
        <v>7.340115048640353</v>
      </c>
      <c r="I212" s="84">
        <f t="shared" si="27"/>
        <v>8.4955035285189258</v>
      </c>
      <c r="K212" s="83"/>
      <c r="L212" s="85"/>
      <c r="M212" s="85"/>
    </row>
    <row r="213" spans="1:13">
      <c r="A213" s="81">
        <v>39539</v>
      </c>
      <c r="B213" s="82">
        <v>704.11748475435729</v>
      </c>
      <c r="C213" s="82">
        <v>670.64837691824107</v>
      </c>
      <c r="D213" s="83">
        <f t="shared" si="28"/>
        <v>687.38293083629924</v>
      </c>
      <c r="E213" s="83">
        <f t="shared" si="29"/>
        <v>687.38293083629924</v>
      </c>
      <c r="F213" s="84">
        <f t="shared" si="30"/>
        <v>5.4990634466903936</v>
      </c>
      <c r="G213" s="84">
        <f t="shared" si="31"/>
        <v>6.8738293083629927</v>
      </c>
      <c r="H213" s="84">
        <f t="shared" si="32"/>
        <v>7.4237356530320318</v>
      </c>
      <c r="I213" s="84">
        <f t="shared" si="27"/>
        <v>8.5922866354537408</v>
      </c>
      <c r="K213" s="83"/>
      <c r="L213" s="85"/>
      <c r="M213" s="85"/>
    </row>
    <row r="214" spans="1:13">
      <c r="A214" s="81">
        <v>39569</v>
      </c>
      <c r="B214" s="82">
        <v>673.50368106938527</v>
      </c>
      <c r="C214" s="82">
        <v>633.6835057495191</v>
      </c>
      <c r="D214" s="83">
        <f t="shared" si="28"/>
        <v>653.59359340945218</v>
      </c>
      <c r="E214" s="83">
        <f t="shared" si="29"/>
        <v>653.59359340945218</v>
      </c>
      <c r="F214" s="84">
        <f t="shared" si="30"/>
        <v>5.2287487472756178</v>
      </c>
      <c r="G214" s="84">
        <f t="shared" si="31"/>
        <v>6.535935934094522</v>
      </c>
      <c r="H214" s="84">
        <f t="shared" si="32"/>
        <v>7.0588108088220833</v>
      </c>
      <c r="I214" s="84">
        <f t="shared" si="27"/>
        <v>8.1699199176181523</v>
      </c>
      <c r="K214" s="83"/>
      <c r="L214" s="85"/>
      <c r="M214" s="85"/>
    </row>
    <row r="215" spans="1:13">
      <c r="A215" s="81">
        <v>39600</v>
      </c>
      <c r="B215" s="82">
        <v>663.29907984106126</v>
      </c>
      <c r="C215" s="82">
        <v>654.80628927450311</v>
      </c>
      <c r="D215" s="83">
        <f t="shared" si="28"/>
        <v>659.05268455778219</v>
      </c>
      <c r="E215" s="83">
        <f t="shared" si="29"/>
        <v>659.05268455778219</v>
      </c>
      <c r="F215" s="84">
        <f t="shared" si="30"/>
        <v>5.2724214764622568</v>
      </c>
      <c r="G215" s="84">
        <f t="shared" si="31"/>
        <v>6.5905268455778216</v>
      </c>
      <c r="H215" s="84">
        <f t="shared" si="32"/>
        <v>7.1177689932240478</v>
      </c>
      <c r="I215" s="84">
        <f t="shared" si="27"/>
        <v>8.2381585569722766</v>
      </c>
      <c r="K215" s="83"/>
      <c r="L215" s="85"/>
      <c r="M215" s="85"/>
    </row>
    <row r="216" spans="1:13">
      <c r="A216" s="81">
        <v>39630</v>
      </c>
      <c r="B216" s="82">
        <v>673.50368106938527</v>
      </c>
      <c r="C216" s="82">
        <v>697.05185632447103</v>
      </c>
      <c r="D216" s="83">
        <f t="shared" si="28"/>
        <v>685.27776869692821</v>
      </c>
      <c r="E216" s="83">
        <f t="shared" si="29"/>
        <v>685.27776869692821</v>
      </c>
      <c r="F216" s="84">
        <f t="shared" si="30"/>
        <v>5.4822221495754251</v>
      </c>
      <c r="G216" s="84">
        <f t="shared" si="31"/>
        <v>6.852777686969282</v>
      </c>
      <c r="H216" s="84">
        <f t="shared" si="32"/>
        <v>7.4009999019268244</v>
      </c>
      <c r="I216" s="84">
        <f t="shared" si="27"/>
        <v>8.5659721087116019</v>
      </c>
      <c r="K216" s="83"/>
      <c r="L216" s="85"/>
      <c r="M216" s="85"/>
    </row>
    <row r="217" spans="1:13">
      <c r="A217" s="81">
        <v>39661</v>
      </c>
      <c r="B217" s="82">
        <v>663.29907984106126</v>
      </c>
      <c r="C217" s="82">
        <v>665.36768103699501</v>
      </c>
      <c r="D217" s="83">
        <f t="shared" si="28"/>
        <v>664.33338043902813</v>
      </c>
      <c r="E217" s="83">
        <f t="shared" si="29"/>
        <v>664.33338043902813</v>
      </c>
      <c r="F217" s="84">
        <f t="shared" si="30"/>
        <v>5.314667043512225</v>
      </c>
      <c r="G217" s="84">
        <f t="shared" si="31"/>
        <v>6.6433338043902816</v>
      </c>
      <c r="H217" s="84">
        <f t="shared" si="32"/>
        <v>7.1748005087415034</v>
      </c>
      <c r="I217" s="84">
        <f t="shared" si="27"/>
        <v>8.304167255487851</v>
      </c>
      <c r="K217" s="83"/>
      <c r="L217" s="85"/>
      <c r="M217" s="85"/>
    </row>
    <row r="218" spans="1:13">
      <c r="A218" s="81">
        <v>39692</v>
      </c>
      <c r="B218" s="82">
        <v>561.25306755782105</v>
      </c>
      <c r="C218" s="82">
        <v>559.75376341207516</v>
      </c>
      <c r="D218" s="83">
        <f t="shared" si="28"/>
        <v>560.50341548494816</v>
      </c>
      <c r="E218" s="83">
        <f t="shared" si="29"/>
        <v>560.50341548494816</v>
      </c>
      <c r="F218" s="84">
        <f t="shared" si="30"/>
        <v>4.4840273238795856</v>
      </c>
      <c r="G218" s="84">
        <f t="shared" si="31"/>
        <v>5.6050341548494815</v>
      </c>
      <c r="H218" s="84">
        <f t="shared" si="32"/>
        <v>6.0534368872374396</v>
      </c>
      <c r="I218" s="84">
        <f t="shared" si="27"/>
        <v>7.0062926935618517</v>
      </c>
      <c r="K218" s="83"/>
      <c r="L218" s="85"/>
      <c r="M218" s="85"/>
    </row>
    <row r="219" spans="1:13">
      <c r="A219" s="81">
        <v>39722</v>
      </c>
      <c r="B219" s="82">
        <v>204.0920245664804</v>
      </c>
      <c r="C219" s="82">
        <v>211.2278352498397</v>
      </c>
      <c r="D219" s="83">
        <f t="shared" si="28"/>
        <v>207.65992990816005</v>
      </c>
      <c r="E219" s="83">
        <f t="shared" si="29"/>
        <v>207.65992990816005</v>
      </c>
      <c r="F219" s="84">
        <f t="shared" si="30"/>
        <v>1.6612794392652805</v>
      </c>
      <c r="G219" s="84">
        <f t="shared" si="31"/>
        <v>2.0765992990816007</v>
      </c>
      <c r="H219" s="84">
        <f t="shared" si="32"/>
        <v>2.2427272430081282</v>
      </c>
      <c r="I219" s="84">
        <f t="shared" si="27"/>
        <v>2.5957491238520007</v>
      </c>
      <c r="K219" s="83"/>
      <c r="L219" s="85"/>
      <c r="M219" s="85"/>
    </row>
    <row r="220" spans="1:13">
      <c r="A220" s="81">
        <v>39753</v>
      </c>
      <c r="B220" s="82">
        <v>265.31963193642451</v>
      </c>
      <c r="C220" s="82">
        <v>290.43827346852959</v>
      </c>
      <c r="D220" s="83">
        <f t="shared" si="28"/>
        <v>277.87895270247702</v>
      </c>
      <c r="E220" s="83">
        <f t="shared" si="29"/>
        <v>277.87895270247702</v>
      </c>
      <c r="F220" s="84">
        <f t="shared" si="30"/>
        <v>2.2230316216198163</v>
      </c>
      <c r="G220" s="84">
        <f t="shared" si="31"/>
        <v>2.7787895270247702</v>
      </c>
      <c r="H220" s="84">
        <f t="shared" si="32"/>
        <v>3.001092689186752</v>
      </c>
      <c r="I220" s="84">
        <f t="shared" si="27"/>
        <v>3.4734869087809628</v>
      </c>
      <c r="K220" s="83"/>
      <c r="L220" s="85"/>
      <c r="M220" s="85"/>
    </row>
    <row r="221" spans="1:13">
      <c r="A221" s="81">
        <v>39783</v>
      </c>
      <c r="B221" s="82">
        <v>265.31963193642451</v>
      </c>
      <c r="C221" s="82">
        <v>285.15757758728358</v>
      </c>
      <c r="D221" s="83">
        <f t="shared" si="28"/>
        <v>275.23860476185405</v>
      </c>
      <c r="E221" s="83">
        <f t="shared" si="29"/>
        <v>275.23860476185405</v>
      </c>
      <c r="F221" s="84">
        <f t="shared" si="30"/>
        <v>2.2019088380948322</v>
      </c>
      <c r="G221" s="84">
        <f t="shared" si="31"/>
        <v>2.7523860476185407</v>
      </c>
      <c r="H221" s="84">
        <f t="shared" si="32"/>
        <v>2.9725769314280237</v>
      </c>
      <c r="I221" s="84">
        <f t="shared" si="27"/>
        <v>3.4404825595231756</v>
      </c>
      <c r="K221" s="83"/>
      <c r="L221" s="85"/>
      <c r="M221" s="85"/>
    </row>
    <row r="222" spans="1:13">
      <c r="A222" s="81">
        <v>39814</v>
      </c>
      <c r="B222" s="82">
        <v>275.52423316474852</v>
      </c>
      <c r="C222" s="82">
        <v>279.87688170603758</v>
      </c>
      <c r="D222" s="83">
        <f t="shared" si="28"/>
        <v>277.70055743539308</v>
      </c>
      <c r="E222" s="83">
        <f t="shared" si="29"/>
        <v>277.70055743539308</v>
      </c>
      <c r="F222" s="84">
        <f t="shared" si="30"/>
        <v>2.221604459483145</v>
      </c>
      <c r="G222" s="84">
        <f t="shared" si="31"/>
        <v>2.777005574353931</v>
      </c>
      <c r="H222" s="84">
        <f t="shared" si="32"/>
        <v>2.9991660203022454</v>
      </c>
      <c r="I222" s="84">
        <f t="shared" si="27"/>
        <v>3.4712569679424132</v>
      </c>
      <c r="K222" s="83"/>
      <c r="L222" s="85"/>
      <c r="M222" s="85"/>
    </row>
    <row r="223" spans="1:13">
      <c r="A223" s="81">
        <v>39845</v>
      </c>
      <c r="B223" s="82">
        <v>306.13803684972061</v>
      </c>
      <c r="C223" s="82">
        <v>285.15757758728358</v>
      </c>
      <c r="D223" s="83">
        <f t="shared" si="28"/>
        <v>295.64780721850207</v>
      </c>
      <c r="E223" s="83">
        <f t="shared" si="29"/>
        <v>295.64780721850207</v>
      </c>
      <c r="F223" s="84">
        <f t="shared" si="30"/>
        <v>2.3651824577480163</v>
      </c>
      <c r="G223" s="84">
        <f t="shared" si="31"/>
        <v>2.9564780721850208</v>
      </c>
      <c r="H223" s="84">
        <f t="shared" si="32"/>
        <v>3.1929963179598224</v>
      </c>
      <c r="I223" s="84">
        <f t="shared" si="27"/>
        <v>3.6955975902312757</v>
      </c>
      <c r="K223" s="83"/>
      <c r="L223" s="85"/>
      <c r="M223" s="85"/>
    </row>
    <row r="224" spans="1:13">
      <c r="A224" s="81">
        <v>39873</v>
      </c>
      <c r="B224" s="82">
        <v>336.75184053469263</v>
      </c>
      <c r="C224" s="82">
        <v>300.99966523102159</v>
      </c>
      <c r="D224" s="83">
        <f t="shared" si="28"/>
        <v>318.87575288285711</v>
      </c>
      <c r="E224" s="83">
        <f t="shared" si="29"/>
        <v>318.87575288285711</v>
      </c>
      <c r="F224" s="84">
        <f t="shared" si="30"/>
        <v>2.5510060230628571</v>
      </c>
      <c r="G224" s="84">
        <f t="shared" si="31"/>
        <v>3.188757528828571</v>
      </c>
      <c r="H224" s="84">
        <f t="shared" si="32"/>
        <v>3.4438581311348568</v>
      </c>
      <c r="I224" s="84">
        <f t="shared" si="27"/>
        <v>3.9859469110357137</v>
      </c>
      <c r="K224" s="83"/>
      <c r="L224" s="85"/>
      <c r="M224" s="85"/>
    </row>
    <row r="225" spans="1:13">
      <c r="A225" s="81">
        <v>39904</v>
      </c>
      <c r="B225" s="82">
        <v>280.62653377891053</v>
      </c>
      <c r="C225" s="82">
        <v>242.91201053731567</v>
      </c>
      <c r="D225" s="83">
        <f t="shared" si="28"/>
        <v>261.7692721581131</v>
      </c>
      <c r="E225" s="83">
        <f t="shared" si="29"/>
        <v>261.7692721581131</v>
      </c>
      <c r="F225" s="84">
        <f t="shared" si="30"/>
        <v>2.094154177264905</v>
      </c>
      <c r="G225" s="84">
        <f t="shared" si="31"/>
        <v>2.6176927215811308</v>
      </c>
      <c r="H225" s="84">
        <f t="shared" si="32"/>
        <v>2.8271081393076214</v>
      </c>
      <c r="I225" s="84">
        <f t="shared" si="27"/>
        <v>3.2721159019764134</v>
      </c>
      <c r="K225" s="83"/>
      <c r="L225" s="85"/>
      <c r="M225" s="85"/>
    </row>
    <row r="226" spans="1:13">
      <c r="A226" s="81">
        <v>39934</v>
      </c>
      <c r="B226" s="82">
        <v>250.01273009393847</v>
      </c>
      <c r="C226" s="82">
        <v>253.47340229980765</v>
      </c>
      <c r="D226" s="83">
        <f t="shared" si="28"/>
        <v>251.74306619687306</v>
      </c>
      <c r="E226" s="83">
        <f t="shared" si="29"/>
        <v>251.74306619687306</v>
      </c>
      <c r="F226" s="84">
        <f t="shared" si="30"/>
        <v>2.0139445295749843</v>
      </c>
      <c r="G226" s="84">
        <f t="shared" si="31"/>
        <v>2.5174306619687306</v>
      </c>
      <c r="H226" s="84">
        <f t="shared" si="32"/>
        <v>2.7188251149262292</v>
      </c>
      <c r="I226" s="84">
        <f t="shared" si="27"/>
        <v>3.1467883274609134</v>
      </c>
      <c r="K226" s="83"/>
      <c r="L226" s="85"/>
      <c r="M226" s="85"/>
    </row>
    <row r="227" spans="1:13">
      <c r="A227" s="81">
        <v>39965</v>
      </c>
      <c r="B227" s="82">
        <v>265.31963193642451</v>
      </c>
      <c r="C227" s="82">
        <v>274.59618582479163</v>
      </c>
      <c r="D227" s="83">
        <f t="shared" si="28"/>
        <v>269.9579088806081</v>
      </c>
      <c r="E227" s="83">
        <f t="shared" si="29"/>
        <v>269.9579088806081</v>
      </c>
      <c r="F227" s="84">
        <f t="shared" si="30"/>
        <v>2.1596632710448649</v>
      </c>
      <c r="G227" s="84">
        <f t="shared" si="31"/>
        <v>2.6995790888060811</v>
      </c>
      <c r="H227" s="84">
        <f t="shared" si="32"/>
        <v>2.9155454159105676</v>
      </c>
      <c r="I227" s="84">
        <f t="shared" si="27"/>
        <v>3.3744738610076013</v>
      </c>
      <c r="K227" s="83"/>
      <c r="L227" s="85"/>
      <c r="M227" s="85"/>
    </row>
    <row r="228" spans="1:13">
      <c r="A228" s="81">
        <v>39995</v>
      </c>
      <c r="B228" s="82">
        <v>265.31963193642451</v>
      </c>
      <c r="C228" s="82">
        <v>264.03479406229962</v>
      </c>
      <c r="D228" s="83">
        <f t="shared" si="28"/>
        <v>264.67721299936204</v>
      </c>
      <c r="E228" s="83">
        <f t="shared" si="29"/>
        <v>264.67721299936204</v>
      </c>
      <c r="F228" s="84">
        <f t="shared" si="30"/>
        <v>2.1174177039948963</v>
      </c>
      <c r="G228" s="84">
        <f t="shared" si="31"/>
        <v>2.6467721299936202</v>
      </c>
      <c r="H228" s="84">
        <f t="shared" si="32"/>
        <v>2.8585139003931102</v>
      </c>
      <c r="I228" s="84">
        <f t="shared" si="27"/>
        <v>3.3084651624920256</v>
      </c>
      <c r="K228" s="83"/>
      <c r="L228" s="85"/>
      <c r="M228" s="85"/>
    </row>
    <row r="229" spans="1:13">
      <c r="A229" s="81">
        <v>40026</v>
      </c>
      <c r="B229" s="82">
        <v>275.52423316474852</v>
      </c>
      <c r="C229" s="82">
        <v>274.59618582479163</v>
      </c>
      <c r="D229" s="83">
        <f t="shared" si="28"/>
        <v>275.06020949477011</v>
      </c>
      <c r="E229" s="83">
        <f t="shared" si="29"/>
        <v>275.06020949477011</v>
      </c>
      <c r="F229" s="84">
        <f t="shared" si="30"/>
        <v>2.2004816759581609</v>
      </c>
      <c r="G229" s="84">
        <f t="shared" si="31"/>
        <v>2.750602094947701</v>
      </c>
      <c r="H229" s="84">
        <f t="shared" si="32"/>
        <v>2.9706502625435172</v>
      </c>
      <c r="I229" s="84">
        <f t="shared" si="27"/>
        <v>3.4382526186846261</v>
      </c>
      <c r="K229" s="83"/>
      <c r="L229" s="85"/>
      <c r="M229" s="85"/>
    </row>
    <row r="230" spans="1:13">
      <c r="A230" s="81">
        <v>40057</v>
      </c>
      <c r="B230" s="82">
        <v>295.93343562139654</v>
      </c>
      <c r="C230" s="82">
        <v>295.71896934977559</v>
      </c>
      <c r="D230" s="83">
        <f t="shared" si="28"/>
        <v>295.82620248558607</v>
      </c>
      <c r="E230" s="83">
        <f t="shared" si="29"/>
        <v>295.82620248558607</v>
      </c>
      <c r="F230" s="84">
        <f t="shared" si="30"/>
        <v>2.3666096198846884</v>
      </c>
      <c r="G230" s="84">
        <f t="shared" si="31"/>
        <v>2.9582620248558604</v>
      </c>
      <c r="H230" s="84">
        <f t="shared" si="32"/>
        <v>3.1949229868443298</v>
      </c>
      <c r="I230" s="84">
        <f t="shared" si="27"/>
        <v>3.6978275310698261</v>
      </c>
      <c r="K230" s="83"/>
      <c r="L230" s="85"/>
      <c r="M230" s="85"/>
    </row>
    <row r="231" spans="1:13">
      <c r="A231" s="81">
        <v>40087</v>
      </c>
      <c r="B231" s="82">
        <v>285.72883439307253</v>
      </c>
      <c r="C231" s="82">
        <v>322.12244875600555</v>
      </c>
      <c r="D231" s="83">
        <f t="shared" si="28"/>
        <v>303.92564157453904</v>
      </c>
      <c r="E231" s="83">
        <f t="shared" si="29"/>
        <v>303.92564157453904</v>
      </c>
      <c r="F231" s="84">
        <f t="shared" si="30"/>
        <v>2.4314051325963124</v>
      </c>
      <c r="G231" s="84">
        <f t="shared" si="31"/>
        <v>3.0392564157453905</v>
      </c>
      <c r="H231" s="84">
        <f t="shared" si="32"/>
        <v>3.2823969290050217</v>
      </c>
      <c r="I231" s="84">
        <f t="shared" si="27"/>
        <v>3.799070519681738</v>
      </c>
      <c r="K231" s="83"/>
      <c r="L231" s="85"/>
      <c r="M231" s="85"/>
    </row>
    <row r="232" spans="1:13">
      <c r="A232" s="81">
        <v>40118</v>
      </c>
      <c r="B232" s="82">
        <v>306.13803684972061</v>
      </c>
      <c r="C232" s="82">
        <v>337.96453639974351</v>
      </c>
      <c r="D232" s="83">
        <f t="shared" si="28"/>
        <v>322.05128662473203</v>
      </c>
      <c r="E232" s="83">
        <f t="shared" si="29"/>
        <v>322.05128662473203</v>
      </c>
      <c r="F232" s="84">
        <f t="shared" si="30"/>
        <v>2.5764102929978563</v>
      </c>
      <c r="G232" s="84">
        <f t="shared" si="31"/>
        <v>3.2205128662473199</v>
      </c>
      <c r="H232" s="84">
        <f t="shared" si="32"/>
        <v>3.4781538955471061</v>
      </c>
      <c r="I232" s="84">
        <f t="shared" si="27"/>
        <v>4.02564108280915</v>
      </c>
      <c r="K232" s="83"/>
      <c r="L232" s="85"/>
      <c r="M232" s="85"/>
    </row>
    <row r="233" spans="1:13">
      <c r="A233" s="81">
        <v>40148</v>
      </c>
      <c r="B233" s="82">
        <v>316.34263807804462</v>
      </c>
      <c r="C233" s="82">
        <v>348.52592816223552</v>
      </c>
      <c r="D233" s="83">
        <f t="shared" si="28"/>
        <v>332.43428312014009</v>
      </c>
      <c r="E233" s="83">
        <f t="shared" si="29"/>
        <v>332.43428312014009</v>
      </c>
      <c r="F233" s="84">
        <f t="shared" si="30"/>
        <v>2.6594742649611205</v>
      </c>
      <c r="G233" s="84">
        <f t="shared" si="31"/>
        <v>3.3243428312014012</v>
      </c>
      <c r="H233" s="84">
        <f t="shared" si="32"/>
        <v>3.5902902576975126</v>
      </c>
      <c r="I233" s="84">
        <f t="shared" si="27"/>
        <v>4.1554285390017514</v>
      </c>
      <c r="K233" s="83"/>
      <c r="L233" s="85"/>
      <c r="M233" s="85"/>
    </row>
    <row r="234" spans="1:13">
      <c r="A234" s="81">
        <v>40179</v>
      </c>
      <c r="B234" s="82">
        <v>357.16104299134071</v>
      </c>
      <c r="C234" s="82">
        <v>380.21010344971148</v>
      </c>
      <c r="D234" s="83">
        <f t="shared" si="28"/>
        <v>368.68557322052607</v>
      </c>
      <c r="E234" s="83">
        <f t="shared" si="29"/>
        <v>368.68557322052607</v>
      </c>
      <c r="F234" s="84">
        <f t="shared" si="30"/>
        <v>2.9494845857642082</v>
      </c>
      <c r="G234" s="84">
        <f t="shared" si="31"/>
        <v>3.6868557322052604</v>
      </c>
      <c r="H234" s="84">
        <f t="shared" si="32"/>
        <v>3.9818041907816815</v>
      </c>
      <c r="I234" s="84">
        <f t="shared" si="27"/>
        <v>4.6085696652565753</v>
      </c>
      <c r="K234" s="83"/>
      <c r="L234" s="85"/>
      <c r="M234" s="85"/>
    </row>
    <row r="235" spans="1:13">
      <c r="A235" s="81">
        <v>40210</v>
      </c>
      <c r="B235" s="82">
        <v>357.16104299134071</v>
      </c>
      <c r="C235" s="82">
        <v>411.89427873718739</v>
      </c>
      <c r="D235" s="83">
        <f t="shared" si="28"/>
        <v>384.52766086426402</v>
      </c>
      <c r="E235" s="83">
        <f t="shared" si="29"/>
        <v>384.52766086426402</v>
      </c>
      <c r="F235" s="84">
        <f t="shared" si="30"/>
        <v>3.0762212869141119</v>
      </c>
      <c r="G235" s="84">
        <f t="shared" si="31"/>
        <v>3.84527660864264</v>
      </c>
      <c r="H235" s="84">
        <f t="shared" si="32"/>
        <v>4.152898737334052</v>
      </c>
      <c r="I235" s="84">
        <f t="shared" si="27"/>
        <v>4.8065957608033001</v>
      </c>
      <c r="K235" s="83"/>
      <c r="L235" s="85"/>
      <c r="M235" s="85"/>
    </row>
    <row r="236" spans="1:13">
      <c r="A236" s="81">
        <v>40238</v>
      </c>
      <c r="B236" s="82">
        <v>387.77484667631273</v>
      </c>
      <c r="C236" s="82">
        <v>422.4556704996794</v>
      </c>
      <c r="D236" s="83">
        <f t="shared" si="28"/>
        <v>405.1152585879961</v>
      </c>
      <c r="E236" s="83">
        <f t="shared" si="29"/>
        <v>405.1152585879961</v>
      </c>
      <c r="F236" s="84">
        <f t="shared" si="30"/>
        <v>3.2409220687039686</v>
      </c>
      <c r="G236" s="84">
        <f t="shared" si="31"/>
        <v>4.0511525858799606</v>
      </c>
      <c r="H236" s="84">
        <f t="shared" si="32"/>
        <v>4.3752447927503573</v>
      </c>
      <c r="I236" s="84">
        <f t="shared" si="27"/>
        <v>5.063940732349951</v>
      </c>
      <c r="K236" s="83"/>
      <c r="L236" s="85"/>
      <c r="M236" s="85"/>
    </row>
    <row r="237" spans="1:13">
      <c r="A237" s="81">
        <v>40269</v>
      </c>
      <c r="B237" s="82">
        <v>438.79785281793284</v>
      </c>
      <c r="C237" s="82">
        <v>443.57845402466336</v>
      </c>
      <c r="D237" s="83">
        <f t="shared" si="28"/>
        <v>441.18815342129813</v>
      </c>
      <c r="E237" s="83">
        <f t="shared" si="29"/>
        <v>441.18815342129813</v>
      </c>
      <c r="F237" s="84">
        <f t="shared" si="30"/>
        <v>3.5295052273703851</v>
      </c>
      <c r="G237" s="84">
        <f t="shared" si="31"/>
        <v>4.4118815342129816</v>
      </c>
      <c r="H237" s="84">
        <f t="shared" si="32"/>
        <v>4.76483205695002</v>
      </c>
      <c r="I237" s="84">
        <f t="shared" si="27"/>
        <v>5.5148519177662267</v>
      </c>
      <c r="K237" s="83"/>
      <c r="L237" s="85"/>
      <c r="M237" s="85"/>
    </row>
    <row r="238" spans="1:13">
      <c r="A238" s="81">
        <v>40299</v>
      </c>
      <c r="B238" s="82">
        <v>377.57024544798873</v>
      </c>
      <c r="C238" s="82">
        <v>380.21010344971148</v>
      </c>
      <c r="D238" s="83">
        <f t="shared" si="28"/>
        <v>378.89017444885008</v>
      </c>
      <c r="E238" s="83">
        <f t="shared" si="29"/>
        <v>378.89017444885008</v>
      </c>
      <c r="F238" s="84">
        <f t="shared" si="30"/>
        <v>3.0311213955908007</v>
      </c>
      <c r="G238" s="84">
        <f t="shared" si="31"/>
        <v>3.7889017444885007</v>
      </c>
      <c r="H238" s="84">
        <f t="shared" si="32"/>
        <v>4.0920138840475806</v>
      </c>
      <c r="I238" s="84">
        <f t="shared" si="27"/>
        <v>4.7361271806106258</v>
      </c>
      <c r="K238" s="83"/>
      <c r="L238" s="85"/>
      <c r="M238" s="85"/>
    </row>
    <row r="239" spans="1:13">
      <c r="A239" s="81">
        <v>40330</v>
      </c>
      <c r="B239" s="82">
        <v>367.36564421966472</v>
      </c>
      <c r="C239" s="82">
        <v>369.64871168721947</v>
      </c>
      <c r="D239" s="83">
        <f t="shared" si="28"/>
        <v>368.50717795344212</v>
      </c>
      <c r="E239" s="83">
        <f t="shared" si="29"/>
        <v>368.50717795344212</v>
      </c>
      <c r="F239" s="84">
        <f t="shared" si="30"/>
        <v>2.9480574236275374</v>
      </c>
      <c r="G239" s="84">
        <f t="shared" si="31"/>
        <v>3.6850717795344212</v>
      </c>
      <c r="H239" s="84">
        <f t="shared" si="32"/>
        <v>3.9798775218971749</v>
      </c>
      <c r="I239" s="84">
        <f t="shared" si="27"/>
        <v>4.6063397244180262</v>
      </c>
      <c r="K239" s="83"/>
      <c r="L239" s="85"/>
      <c r="M239" s="85"/>
    </row>
    <row r="240" spans="1:13">
      <c r="A240" s="81">
        <v>40360</v>
      </c>
      <c r="B240" s="82">
        <v>367.36564421966472</v>
      </c>
      <c r="C240" s="82">
        <v>411.89427873718739</v>
      </c>
      <c r="D240" s="83">
        <f t="shared" si="28"/>
        <v>389.62996147842603</v>
      </c>
      <c r="E240" s="83">
        <f t="shared" si="29"/>
        <v>389.62996147842603</v>
      </c>
      <c r="F240" s="84">
        <f t="shared" si="30"/>
        <v>3.1170396918274079</v>
      </c>
      <c r="G240" s="84">
        <f t="shared" si="31"/>
        <v>3.8962996147842603</v>
      </c>
      <c r="H240" s="84">
        <f t="shared" si="32"/>
        <v>4.2080035839670016</v>
      </c>
      <c r="I240" s="84">
        <f t="shared" si="27"/>
        <v>4.8703745184803253</v>
      </c>
      <c r="K240" s="83"/>
      <c r="L240" s="85"/>
      <c r="M240" s="85"/>
    </row>
    <row r="241" spans="1:13">
      <c r="A241" s="81">
        <v>40391</v>
      </c>
      <c r="B241" s="82">
        <v>367.36564421966472</v>
      </c>
      <c r="C241" s="82">
        <v>443.57845402466336</v>
      </c>
      <c r="D241" s="83">
        <f t="shared" si="28"/>
        <v>405.47204912216404</v>
      </c>
      <c r="E241" s="83">
        <f t="shared" si="29"/>
        <v>405.47204912216404</v>
      </c>
      <c r="F241" s="84">
        <f t="shared" si="30"/>
        <v>3.243776392977312</v>
      </c>
      <c r="G241" s="84">
        <f t="shared" si="31"/>
        <v>4.0547204912216399</v>
      </c>
      <c r="H241" s="84">
        <f t="shared" si="32"/>
        <v>4.3790981305193712</v>
      </c>
      <c r="I241" s="84">
        <f t="shared" si="27"/>
        <v>5.0684006140270501</v>
      </c>
      <c r="K241" s="83"/>
      <c r="L241" s="85"/>
      <c r="M241" s="85"/>
    </row>
    <row r="242" spans="1:13">
      <c r="A242" s="81">
        <v>40422</v>
      </c>
      <c r="B242" s="82">
        <v>367.36564421966472</v>
      </c>
      <c r="C242" s="82">
        <v>438.29775814341735</v>
      </c>
      <c r="D242" s="83">
        <f t="shared" si="28"/>
        <v>402.83170118154101</v>
      </c>
      <c r="E242" s="83">
        <f t="shared" si="29"/>
        <v>402.83170118154101</v>
      </c>
      <c r="F242" s="84">
        <f t="shared" si="30"/>
        <v>3.2226536094523284</v>
      </c>
      <c r="G242" s="84">
        <f t="shared" si="31"/>
        <v>4.0283170118154104</v>
      </c>
      <c r="H242" s="84">
        <f t="shared" si="32"/>
        <v>4.350582372760643</v>
      </c>
      <c r="I242" s="84">
        <f t="shared" si="27"/>
        <v>5.0353962647692629</v>
      </c>
      <c r="K242" s="83"/>
      <c r="L242" s="85"/>
      <c r="M242" s="85"/>
    </row>
    <row r="243" spans="1:13">
      <c r="A243" s="81">
        <v>40452</v>
      </c>
      <c r="B243" s="82">
        <v>367.36564421966472</v>
      </c>
      <c r="C243" s="82">
        <v>448.85914990590936</v>
      </c>
      <c r="D243" s="83">
        <f t="shared" si="28"/>
        <v>408.11239706278707</v>
      </c>
      <c r="E243" s="83">
        <f t="shared" si="29"/>
        <v>408.11239706278707</v>
      </c>
      <c r="F243" s="84">
        <f t="shared" si="30"/>
        <v>3.2648991765022966</v>
      </c>
      <c r="G243" s="84">
        <f t="shared" si="31"/>
        <v>4.0811239706278712</v>
      </c>
      <c r="H243" s="84">
        <f t="shared" si="32"/>
        <v>4.4076138882781004</v>
      </c>
      <c r="I243" s="84">
        <f t="shared" si="27"/>
        <v>5.1014049632848382</v>
      </c>
      <c r="K243" s="83"/>
      <c r="L243" s="85"/>
      <c r="M243" s="85"/>
    </row>
    <row r="244" spans="1:13">
      <c r="A244" s="81">
        <v>40483</v>
      </c>
      <c r="B244" s="82">
        <v>367.36564421966472</v>
      </c>
      <c r="C244" s="82">
        <v>459.42054166840137</v>
      </c>
      <c r="D244" s="83">
        <f t="shared" si="28"/>
        <v>413.39309294403301</v>
      </c>
      <c r="E244" s="83">
        <f t="shared" si="29"/>
        <v>413.39309294403301</v>
      </c>
      <c r="F244" s="84">
        <f t="shared" si="30"/>
        <v>3.3071447435522643</v>
      </c>
      <c r="G244" s="84">
        <f t="shared" si="31"/>
        <v>4.1339309294403304</v>
      </c>
      <c r="H244" s="84">
        <f t="shared" si="32"/>
        <v>4.4646454037955561</v>
      </c>
      <c r="I244" s="84">
        <f t="shared" si="27"/>
        <v>5.1674136618004125</v>
      </c>
      <c r="K244" s="83"/>
      <c r="L244" s="85"/>
      <c r="M244" s="85"/>
    </row>
    <row r="245" spans="1:13">
      <c r="A245" s="81">
        <v>40513</v>
      </c>
      <c r="B245" s="82">
        <v>367.36564421966472</v>
      </c>
      <c r="C245" s="82">
        <v>459.42054166840137</v>
      </c>
      <c r="D245" s="83">
        <f t="shared" si="28"/>
        <v>413.39309294403301</v>
      </c>
      <c r="E245" s="83">
        <f t="shared" si="29"/>
        <v>413.39309294403301</v>
      </c>
      <c r="F245" s="84">
        <f t="shared" si="30"/>
        <v>3.3071447435522643</v>
      </c>
      <c r="G245" s="84">
        <f t="shared" si="31"/>
        <v>4.1339309294403304</v>
      </c>
      <c r="H245" s="84">
        <f t="shared" si="32"/>
        <v>4.4646454037955561</v>
      </c>
      <c r="I245" s="84">
        <f t="shared" si="27"/>
        <v>5.1674136618004125</v>
      </c>
      <c r="K245" s="83"/>
      <c r="L245" s="85"/>
      <c r="M245" s="85"/>
    </row>
    <row r="246" spans="1:13">
      <c r="A246" s="81">
        <v>40544</v>
      </c>
      <c r="B246" s="82">
        <v>367.36564421966472</v>
      </c>
      <c r="C246" s="82">
        <v>512.22750048086129</v>
      </c>
      <c r="D246" s="83">
        <f t="shared" si="28"/>
        <v>439.79657235026298</v>
      </c>
      <c r="E246" s="83">
        <f t="shared" si="29"/>
        <v>439.79657235026298</v>
      </c>
      <c r="F246" s="84">
        <f t="shared" si="30"/>
        <v>3.5183725788021039</v>
      </c>
      <c r="G246" s="84">
        <f t="shared" si="31"/>
        <v>4.3979657235026295</v>
      </c>
      <c r="H246" s="84">
        <f t="shared" si="32"/>
        <v>4.7498029813828406</v>
      </c>
      <c r="I246" s="84">
        <f t="shared" si="27"/>
        <v>5.4974571543782877</v>
      </c>
      <c r="K246" s="83"/>
      <c r="L246" s="85"/>
      <c r="M246" s="85"/>
    </row>
    <row r="247" spans="1:13">
      <c r="A247" s="81">
        <v>40575</v>
      </c>
      <c r="B247" s="82">
        <v>367.36564421966472</v>
      </c>
      <c r="C247" s="82">
        <v>496.38541283712328</v>
      </c>
      <c r="D247" s="83">
        <f t="shared" si="28"/>
        <v>431.875528528394</v>
      </c>
      <c r="E247" s="83">
        <f t="shared" si="29"/>
        <v>431.875528528394</v>
      </c>
      <c r="F247" s="84">
        <f t="shared" si="30"/>
        <v>3.455004228227152</v>
      </c>
      <c r="G247" s="84">
        <f t="shared" si="31"/>
        <v>4.3187552852839399</v>
      </c>
      <c r="H247" s="84">
        <f t="shared" si="32"/>
        <v>4.6642557081066558</v>
      </c>
      <c r="I247" s="84">
        <f t="shared" si="27"/>
        <v>5.3984441066049254</v>
      </c>
      <c r="K247" s="83"/>
      <c r="L247" s="85"/>
      <c r="M247" s="85"/>
    </row>
    <row r="248" spans="1:13">
      <c r="A248" s="81">
        <v>40603</v>
      </c>
      <c r="B248" s="82">
        <v>367.36564421966472</v>
      </c>
      <c r="C248" s="82">
        <v>528.06958812459925</v>
      </c>
      <c r="D248" s="83">
        <f t="shared" si="28"/>
        <v>447.71761617213201</v>
      </c>
      <c r="E248" s="83">
        <f t="shared" si="29"/>
        <v>447.71761617213201</v>
      </c>
      <c r="F248" s="84">
        <f t="shared" si="30"/>
        <v>3.5817409293770561</v>
      </c>
      <c r="G248" s="84">
        <f t="shared" si="31"/>
        <v>4.4771761617213199</v>
      </c>
      <c r="H248" s="84">
        <f t="shared" si="32"/>
        <v>4.8353502546590263</v>
      </c>
      <c r="I248" s="84">
        <f t="shared" si="27"/>
        <v>5.5964702021516501</v>
      </c>
      <c r="K248" s="83"/>
      <c r="L248" s="85"/>
      <c r="M248" s="85"/>
    </row>
    <row r="249" spans="1:13">
      <c r="A249" s="81">
        <v>40634</v>
      </c>
      <c r="B249" s="82">
        <v>510.23006141620095</v>
      </c>
      <c r="C249" s="82">
        <v>543.9116757683372</v>
      </c>
      <c r="D249" s="83">
        <f t="shared" si="28"/>
        <v>527.07086859226911</v>
      </c>
      <c r="E249" s="83">
        <f t="shared" si="29"/>
        <v>527.07086859226911</v>
      </c>
      <c r="F249" s="84">
        <f t="shared" si="30"/>
        <v>4.2165669487381532</v>
      </c>
      <c r="G249" s="84">
        <f t="shared" si="31"/>
        <v>5.270708685922691</v>
      </c>
      <c r="H249" s="84">
        <f t="shared" si="32"/>
        <v>5.692365380796506</v>
      </c>
      <c r="I249" s="84">
        <f t="shared" si="27"/>
        <v>6.588385857403364</v>
      </c>
      <c r="K249" s="83"/>
      <c r="L249" s="85"/>
      <c r="M249" s="85"/>
    </row>
    <row r="250" spans="1:13">
      <c r="A250" s="81">
        <v>40664</v>
      </c>
      <c r="B250" s="82">
        <v>510.23006141620095</v>
      </c>
      <c r="C250" s="82">
        <v>538.63097988709126</v>
      </c>
      <c r="D250" s="83">
        <f t="shared" si="28"/>
        <v>524.43052065164613</v>
      </c>
      <c r="E250" s="83">
        <f t="shared" si="29"/>
        <v>524.43052065164613</v>
      </c>
      <c r="F250" s="84">
        <f t="shared" si="30"/>
        <v>4.1954441652131695</v>
      </c>
      <c r="G250" s="84">
        <f t="shared" si="31"/>
        <v>5.2443052065164615</v>
      </c>
      <c r="H250" s="84">
        <f t="shared" si="32"/>
        <v>5.6638496230377777</v>
      </c>
      <c r="I250" s="84">
        <f t="shared" si="27"/>
        <v>6.555381508145576</v>
      </c>
      <c r="K250" s="83"/>
      <c r="L250" s="85"/>
      <c r="M250" s="85"/>
    </row>
    <row r="251" spans="1:13">
      <c r="A251" s="81">
        <v>40695</v>
      </c>
      <c r="B251" s="82">
        <v>505.12776080203895</v>
      </c>
      <c r="C251" s="82">
        <v>517.50819636210724</v>
      </c>
      <c r="D251" s="83">
        <f t="shared" si="28"/>
        <v>511.31797858207312</v>
      </c>
      <c r="E251" s="83">
        <f t="shared" si="29"/>
        <v>511.31797858207312</v>
      </c>
      <c r="F251" s="84">
        <f t="shared" si="30"/>
        <v>4.0905438286565854</v>
      </c>
      <c r="G251" s="84">
        <f t="shared" si="31"/>
        <v>5.1131797858207308</v>
      </c>
      <c r="H251" s="84">
        <f t="shared" si="32"/>
        <v>5.5222341686863903</v>
      </c>
      <c r="I251" s="84">
        <f t="shared" si="27"/>
        <v>6.3914747322759142</v>
      </c>
      <c r="K251" s="83"/>
      <c r="L251" s="85"/>
      <c r="M251" s="85"/>
    </row>
    <row r="252" spans="1:13">
      <c r="A252" s="81">
        <v>40725</v>
      </c>
      <c r="B252" s="82">
        <v>505.12776080203895</v>
      </c>
      <c r="C252" s="82">
        <v>575.59585105581323</v>
      </c>
      <c r="D252" s="83">
        <f t="shared" si="28"/>
        <v>540.36180592892606</v>
      </c>
      <c r="E252" s="83">
        <f t="shared" si="29"/>
        <v>540.36180592892606</v>
      </c>
      <c r="F252" s="84">
        <f t="shared" si="30"/>
        <v>4.322894447431409</v>
      </c>
      <c r="G252" s="84">
        <f t="shared" si="31"/>
        <v>5.4036180592892604</v>
      </c>
      <c r="H252" s="84">
        <f t="shared" si="32"/>
        <v>5.8359075040324013</v>
      </c>
      <c r="I252" s="84">
        <f t="shared" si="27"/>
        <v>6.7545225741115758</v>
      </c>
      <c r="K252" s="83"/>
      <c r="L252" s="85"/>
      <c r="M252" s="85"/>
    </row>
    <row r="253" spans="1:13">
      <c r="A253" s="81">
        <v>40756</v>
      </c>
      <c r="B253" s="82">
        <v>515.33236203036302</v>
      </c>
      <c r="C253" s="82">
        <v>549.19237164958327</v>
      </c>
      <c r="D253" s="83">
        <f t="shared" si="28"/>
        <v>532.26236683997308</v>
      </c>
      <c r="E253" s="83">
        <f t="shared" si="29"/>
        <v>532.26236683997308</v>
      </c>
      <c r="F253" s="84">
        <f t="shared" si="30"/>
        <v>4.2580989347197855</v>
      </c>
      <c r="G253" s="84">
        <f t="shared" si="31"/>
        <v>5.3226236683997303</v>
      </c>
      <c r="H253" s="84">
        <f t="shared" si="32"/>
        <v>5.7484335618717095</v>
      </c>
      <c r="I253" s="84">
        <f t="shared" si="27"/>
        <v>6.6532795854996643</v>
      </c>
      <c r="K253" s="83"/>
      <c r="L253" s="85"/>
      <c r="M253" s="85"/>
    </row>
    <row r="254" spans="1:13">
      <c r="A254" s="81">
        <v>40787</v>
      </c>
      <c r="B254" s="82">
        <v>510.23006141620095</v>
      </c>
      <c r="C254" s="82">
        <v>533.3502840058452</v>
      </c>
      <c r="D254" s="83">
        <f t="shared" si="28"/>
        <v>521.79017271102305</v>
      </c>
      <c r="E254" s="83">
        <f t="shared" si="29"/>
        <v>521.79017271102305</v>
      </c>
      <c r="F254" s="84">
        <f t="shared" si="30"/>
        <v>4.174321381688185</v>
      </c>
      <c r="G254" s="84">
        <f t="shared" si="31"/>
        <v>5.2179017271102301</v>
      </c>
      <c r="H254" s="84">
        <f t="shared" si="32"/>
        <v>5.6353338652790486</v>
      </c>
      <c r="I254" s="84">
        <f t="shared" si="27"/>
        <v>6.5223771588877879</v>
      </c>
      <c r="K254" s="83"/>
      <c r="L254" s="85"/>
      <c r="M254" s="85"/>
    </row>
    <row r="255" spans="1:13">
      <c r="A255" s="81">
        <v>40817</v>
      </c>
      <c r="B255" s="82">
        <v>505.12776080203895</v>
      </c>
      <c r="C255" s="82">
        <v>517.50819636210724</v>
      </c>
      <c r="D255" s="83">
        <f t="shared" si="28"/>
        <v>511.31797858207312</v>
      </c>
      <c r="E255" s="83">
        <f t="shared" si="29"/>
        <v>511.31797858207312</v>
      </c>
      <c r="F255" s="84">
        <f t="shared" si="30"/>
        <v>4.0905438286565854</v>
      </c>
      <c r="G255" s="84">
        <f t="shared" si="31"/>
        <v>5.1131797858207308</v>
      </c>
      <c r="H255" s="84">
        <f t="shared" si="32"/>
        <v>5.5222341686863903</v>
      </c>
      <c r="I255" s="84">
        <f t="shared" si="27"/>
        <v>6.3914747322759142</v>
      </c>
      <c r="K255" s="83"/>
      <c r="L255" s="85"/>
      <c r="M255" s="85"/>
    </row>
    <row r="256" spans="1:13">
      <c r="A256" s="81">
        <v>40848</v>
      </c>
      <c r="B256" s="82">
        <v>505.12776080203895</v>
      </c>
      <c r="C256" s="82">
        <v>501.66610871836929</v>
      </c>
      <c r="D256" s="83">
        <f t="shared" si="28"/>
        <v>503.39693476020409</v>
      </c>
      <c r="E256" s="83">
        <f t="shared" si="29"/>
        <v>503.39693476020409</v>
      </c>
      <c r="F256" s="84">
        <f t="shared" si="30"/>
        <v>4.0271754780816327</v>
      </c>
      <c r="G256" s="84">
        <f t="shared" si="31"/>
        <v>5.0339693476020404</v>
      </c>
      <c r="H256" s="84">
        <f t="shared" si="32"/>
        <v>5.4366868954102046</v>
      </c>
      <c r="I256" s="84">
        <f t="shared" si="27"/>
        <v>6.2924616845025509</v>
      </c>
      <c r="K256" s="83"/>
      <c r="L256" s="85"/>
      <c r="M256" s="85"/>
    </row>
    <row r="257" spans="1:13">
      <c r="A257" s="81">
        <v>40878</v>
      </c>
      <c r="B257" s="82">
        <v>505.12776080203895</v>
      </c>
      <c r="C257" s="82">
        <v>480.54332519338533</v>
      </c>
      <c r="D257" s="83">
        <f t="shared" si="28"/>
        <v>492.83554299771214</v>
      </c>
      <c r="E257" s="83">
        <f t="shared" si="29"/>
        <v>492.83554299771214</v>
      </c>
      <c r="F257" s="84">
        <f t="shared" si="30"/>
        <v>3.9426843439816972</v>
      </c>
      <c r="G257" s="84">
        <f t="shared" si="31"/>
        <v>4.9283554299771222</v>
      </c>
      <c r="H257" s="84">
        <f t="shared" si="32"/>
        <v>5.3226238643752914</v>
      </c>
      <c r="I257" s="84">
        <f t="shared" si="27"/>
        <v>6.1604442874714014</v>
      </c>
      <c r="K257" s="83"/>
      <c r="L257" s="85"/>
      <c r="M257" s="85"/>
    </row>
    <row r="258" spans="1:13">
      <c r="A258" s="81">
        <v>40909</v>
      </c>
      <c r="B258" s="82">
        <v>484.71855834539093</v>
      </c>
      <c r="C258" s="82">
        <v>512.22750048086129</v>
      </c>
      <c r="D258" s="83">
        <f t="shared" si="28"/>
        <v>498.47302941312614</v>
      </c>
      <c r="E258" s="83">
        <f t="shared" si="29"/>
        <v>498.47302941312614</v>
      </c>
      <c r="F258" s="84">
        <f t="shared" si="30"/>
        <v>3.9877842353050088</v>
      </c>
      <c r="G258" s="84">
        <f t="shared" si="31"/>
        <v>4.9847302941312615</v>
      </c>
      <c r="H258" s="84">
        <f t="shared" si="32"/>
        <v>5.3835087176617629</v>
      </c>
      <c r="I258" s="84">
        <f t="shared" si="27"/>
        <v>6.2309128676640766</v>
      </c>
      <c r="K258" s="83"/>
      <c r="L258" s="85"/>
      <c r="M258" s="85"/>
    </row>
    <row r="259" spans="1:13">
      <c r="A259" s="81">
        <v>40940</v>
      </c>
      <c r="B259" s="82">
        <v>475</v>
      </c>
      <c r="C259" s="82">
        <v>500</v>
      </c>
      <c r="D259" s="83">
        <f t="shared" si="28"/>
        <v>487.5</v>
      </c>
      <c r="E259" s="83">
        <f t="shared" si="29"/>
        <v>487.5</v>
      </c>
      <c r="F259" s="84">
        <f t="shared" si="30"/>
        <v>3.9</v>
      </c>
      <c r="G259" s="84">
        <f t="shared" si="31"/>
        <v>4.875</v>
      </c>
      <c r="H259" s="84">
        <f t="shared" si="32"/>
        <v>5.2649999999999997</v>
      </c>
      <c r="I259" s="84">
        <f t="shared" si="27"/>
        <v>6.09375</v>
      </c>
      <c r="K259" s="83"/>
      <c r="L259" s="85"/>
      <c r="M259" s="85"/>
    </row>
    <row r="260" spans="1:13">
      <c r="A260" s="81">
        <v>40969</v>
      </c>
      <c r="B260" s="82">
        <v>460</v>
      </c>
      <c r="C260" s="82">
        <v>485</v>
      </c>
      <c r="D260" s="83">
        <f t="shared" si="28"/>
        <v>472.5</v>
      </c>
      <c r="E260" s="83">
        <f t="shared" si="29"/>
        <v>472.5</v>
      </c>
      <c r="F260" s="84">
        <f t="shared" si="30"/>
        <v>3.78</v>
      </c>
      <c r="G260" s="84">
        <f t="shared" si="31"/>
        <v>4.7249999999999996</v>
      </c>
      <c r="H260" s="84">
        <f t="shared" si="32"/>
        <v>5.1029999999999998</v>
      </c>
      <c r="I260" s="84">
        <f t="shared" si="27"/>
        <v>5.90625</v>
      </c>
      <c r="K260" s="83"/>
      <c r="L260" s="85"/>
      <c r="M260" s="85"/>
    </row>
    <row r="261" spans="1:13">
      <c r="A261" s="81">
        <v>41000</v>
      </c>
      <c r="B261" s="82">
        <v>480</v>
      </c>
      <c r="C261" s="82">
        <v>490</v>
      </c>
      <c r="D261" s="83">
        <f t="shared" si="28"/>
        <v>485</v>
      </c>
      <c r="E261" s="83">
        <f t="shared" si="29"/>
        <v>485</v>
      </c>
      <c r="F261" s="84">
        <f t="shared" si="30"/>
        <v>3.88</v>
      </c>
      <c r="G261" s="84">
        <f t="shared" si="31"/>
        <v>4.8499999999999996</v>
      </c>
      <c r="H261" s="84">
        <f t="shared" si="32"/>
        <v>5.2380000000000004</v>
      </c>
      <c r="I261" s="84">
        <f t="shared" si="27"/>
        <v>6.0625</v>
      </c>
      <c r="K261" s="83"/>
      <c r="L261" s="85"/>
      <c r="M261" s="85"/>
    </row>
    <row r="262" spans="1:13">
      <c r="A262" s="81">
        <v>41030</v>
      </c>
      <c r="B262" s="82">
        <v>440</v>
      </c>
      <c r="C262" s="82">
        <v>435</v>
      </c>
      <c r="D262" s="83">
        <f t="shared" si="28"/>
        <v>437.5</v>
      </c>
      <c r="E262" s="83">
        <f t="shared" si="29"/>
        <v>437.5</v>
      </c>
      <c r="F262" s="84">
        <f t="shared" si="30"/>
        <v>3.5</v>
      </c>
      <c r="G262" s="84">
        <f t="shared" si="31"/>
        <v>4.375</v>
      </c>
      <c r="H262" s="84">
        <f t="shared" si="32"/>
        <v>4.7249999999999996</v>
      </c>
      <c r="I262" s="84">
        <f t="shared" si="27"/>
        <v>5.46875</v>
      </c>
      <c r="K262" s="83"/>
      <c r="L262" s="85"/>
      <c r="M262" s="85"/>
    </row>
    <row r="263" spans="1:13">
      <c r="A263" s="81">
        <v>41061</v>
      </c>
      <c r="B263" s="82">
        <v>380</v>
      </c>
      <c r="C263" s="82">
        <v>380</v>
      </c>
      <c r="D263" s="83">
        <f t="shared" si="28"/>
        <v>380</v>
      </c>
      <c r="E263" s="83">
        <f t="shared" si="29"/>
        <v>380</v>
      </c>
      <c r="F263" s="84">
        <f t="shared" si="30"/>
        <v>3.04</v>
      </c>
      <c r="G263" s="84">
        <f t="shared" si="31"/>
        <v>3.8</v>
      </c>
      <c r="H263" s="84">
        <f t="shared" si="32"/>
        <v>4.1040000000000001</v>
      </c>
      <c r="I263" s="84">
        <f t="shared" si="27"/>
        <v>4.75</v>
      </c>
      <c r="K263" s="83"/>
      <c r="L263" s="85"/>
      <c r="M263" s="85"/>
    </row>
    <row r="264" spans="1:13">
      <c r="A264" s="81">
        <v>41091</v>
      </c>
      <c r="B264" s="82">
        <v>400</v>
      </c>
      <c r="C264" s="82">
        <v>410</v>
      </c>
      <c r="D264" s="83">
        <f t="shared" si="28"/>
        <v>405</v>
      </c>
      <c r="E264" s="83">
        <f t="shared" si="29"/>
        <v>405</v>
      </c>
      <c r="F264" s="84">
        <f t="shared" si="30"/>
        <v>3.24</v>
      </c>
      <c r="G264" s="84">
        <f t="shared" si="31"/>
        <v>4.05</v>
      </c>
      <c r="H264" s="84">
        <f t="shared" si="32"/>
        <v>4.3739999999999997</v>
      </c>
      <c r="I264" s="84">
        <f t="shared" si="27"/>
        <v>5.0625</v>
      </c>
      <c r="K264" s="83"/>
      <c r="L264" s="85"/>
      <c r="M264" s="85"/>
    </row>
    <row r="265" spans="1:13">
      <c r="A265" s="81">
        <v>41122</v>
      </c>
      <c r="B265" s="82">
        <v>420</v>
      </c>
      <c r="C265" s="82">
        <v>440</v>
      </c>
      <c r="D265" s="83">
        <f t="shared" si="28"/>
        <v>430</v>
      </c>
      <c r="E265" s="83">
        <f t="shared" si="29"/>
        <v>430</v>
      </c>
      <c r="F265" s="84">
        <f t="shared" si="30"/>
        <v>3.44</v>
      </c>
      <c r="G265" s="84">
        <f t="shared" si="31"/>
        <v>4.3</v>
      </c>
      <c r="H265" s="84">
        <f t="shared" si="32"/>
        <v>4.6440000000000001</v>
      </c>
      <c r="I265" s="84">
        <f t="shared" si="27"/>
        <v>5.375</v>
      </c>
      <c r="K265" s="83"/>
      <c r="L265" s="85"/>
      <c r="M265" s="85"/>
    </row>
    <row r="266" spans="1:13">
      <c r="A266" s="81">
        <v>41153</v>
      </c>
      <c r="B266" s="82">
        <v>400</v>
      </c>
      <c r="C266" s="82">
        <v>410</v>
      </c>
      <c r="D266" s="83">
        <f t="shared" si="28"/>
        <v>405</v>
      </c>
      <c r="E266" s="83">
        <f t="shared" si="29"/>
        <v>405</v>
      </c>
      <c r="F266" s="84">
        <f t="shared" si="30"/>
        <v>3.24</v>
      </c>
      <c r="G266" s="84">
        <f t="shared" si="31"/>
        <v>4.05</v>
      </c>
      <c r="H266" s="84">
        <f t="shared" si="32"/>
        <v>4.3739999999999997</v>
      </c>
      <c r="I266" s="84">
        <f t="shared" si="27"/>
        <v>5.0625</v>
      </c>
      <c r="K266" s="83"/>
      <c r="L266" s="85"/>
      <c r="M266" s="85"/>
    </row>
    <row r="267" spans="1:13">
      <c r="A267" s="81">
        <v>41183</v>
      </c>
      <c r="B267" s="82">
        <v>385</v>
      </c>
      <c r="C267" s="82">
        <v>448</v>
      </c>
      <c r="D267" s="83">
        <f t="shared" si="28"/>
        <v>416.5</v>
      </c>
      <c r="E267" s="83">
        <f t="shared" si="29"/>
        <v>416.5</v>
      </c>
      <c r="F267" s="84">
        <f t="shared" si="30"/>
        <v>3.3319999999999999</v>
      </c>
      <c r="G267" s="84">
        <f t="shared" si="31"/>
        <v>4.165</v>
      </c>
      <c r="H267" s="84">
        <f t="shared" si="32"/>
        <v>4.4981999999999998</v>
      </c>
      <c r="I267" s="84">
        <f t="shared" si="27"/>
        <v>5.2062499999999998</v>
      </c>
      <c r="K267" s="83"/>
      <c r="L267" s="85"/>
      <c r="M267" s="85"/>
    </row>
    <row r="268" spans="1:13">
      <c r="A268" s="81">
        <v>41214</v>
      </c>
      <c r="B268" s="82">
        <v>410</v>
      </c>
      <c r="C268" s="82">
        <v>415</v>
      </c>
      <c r="D268" s="83">
        <f t="shared" si="28"/>
        <v>412.5</v>
      </c>
      <c r="E268" s="83">
        <f t="shared" si="29"/>
        <v>412.5</v>
      </c>
      <c r="F268" s="84">
        <f t="shared" si="30"/>
        <v>3.3</v>
      </c>
      <c r="G268" s="84">
        <f t="shared" si="31"/>
        <v>4.125</v>
      </c>
      <c r="H268" s="84">
        <f t="shared" si="32"/>
        <v>4.4550000000000001</v>
      </c>
      <c r="I268" s="84">
        <f t="shared" si="27"/>
        <v>5.15625</v>
      </c>
      <c r="K268" s="83"/>
      <c r="L268" s="85"/>
      <c r="M268" s="85"/>
    </row>
    <row r="269" spans="1:13">
      <c r="A269" s="81">
        <v>41244</v>
      </c>
      <c r="B269" s="82">
        <v>408</v>
      </c>
      <c r="C269" s="82">
        <v>445</v>
      </c>
      <c r="D269" s="83">
        <f t="shared" si="28"/>
        <v>426.5</v>
      </c>
      <c r="E269" s="83">
        <f t="shared" si="29"/>
        <v>426.5</v>
      </c>
      <c r="F269" s="84">
        <f t="shared" si="30"/>
        <v>3.4119999999999999</v>
      </c>
      <c r="G269" s="84">
        <f t="shared" si="31"/>
        <v>4.2649999999999997</v>
      </c>
      <c r="H269" s="84">
        <f t="shared" si="32"/>
        <v>4.6062000000000003</v>
      </c>
      <c r="I269" s="84">
        <f t="shared" si="27"/>
        <v>5.3312499999999998</v>
      </c>
      <c r="K269" s="83"/>
      <c r="L269" s="85"/>
      <c r="M269" s="85"/>
    </row>
    <row r="270" spans="1:13">
      <c r="A270" s="81">
        <v>41275</v>
      </c>
      <c r="B270" s="82">
        <v>420</v>
      </c>
      <c r="C270" s="82">
        <v>470</v>
      </c>
      <c r="D270" s="83">
        <f t="shared" si="28"/>
        <v>445</v>
      </c>
      <c r="E270" s="83">
        <f t="shared" si="29"/>
        <v>445</v>
      </c>
      <c r="F270" s="84">
        <f t="shared" si="30"/>
        <v>3.56</v>
      </c>
      <c r="G270" s="84">
        <f t="shared" si="31"/>
        <v>4.45</v>
      </c>
      <c r="H270" s="84">
        <f t="shared" si="32"/>
        <v>4.806</v>
      </c>
      <c r="I270" s="84">
        <f t="shared" si="27"/>
        <v>5.5625</v>
      </c>
      <c r="K270" s="83"/>
      <c r="L270" s="85"/>
      <c r="M270" s="85"/>
    </row>
    <row r="271" spans="1:13">
      <c r="A271" s="81">
        <v>41306</v>
      </c>
      <c r="B271" s="82">
        <v>415</v>
      </c>
      <c r="C271" s="82">
        <v>430</v>
      </c>
      <c r="D271" s="83">
        <f t="shared" si="28"/>
        <v>422.5</v>
      </c>
      <c r="E271" s="83">
        <f t="shared" si="29"/>
        <v>422.5</v>
      </c>
      <c r="F271" s="84">
        <f t="shared" si="30"/>
        <v>3.38</v>
      </c>
      <c r="G271" s="84">
        <f t="shared" si="31"/>
        <v>4.2249999999999996</v>
      </c>
      <c r="H271" s="84">
        <f t="shared" si="32"/>
        <v>4.5629999999999997</v>
      </c>
      <c r="I271" s="84">
        <f t="shared" si="27"/>
        <v>5.28125</v>
      </c>
      <c r="K271" s="83"/>
      <c r="L271" s="85"/>
      <c r="M271" s="85"/>
    </row>
    <row r="272" spans="1:13">
      <c r="A272" s="81">
        <v>41334</v>
      </c>
      <c r="B272" s="82">
        <v>430</v>
      </c>
      <c r="C272" s="82">
        <v>465</v>
      </c>
      <c r="D272" s="83">
        <f t="shared" si="28"/>
        <v>447.5</v>
      </c>
      <c r="E272" s="83">
        <f t="shared" si="29"/>
        <v>447.5</v>
      </c>
      <c r="F272" s="84">
        <f t="shared" si="30"/>
        <v>3.58</v>
      </c>
      <c r="G272" s="84">
        <f t="shared" si="31"/>
        <v>4.4749999999999996</v>
      </c>
      <c r="H272" s="84">
        <f t="shared" si="32"/>
        <v>4.8330000000000002</v>
      </c>
      <c r="I272" s="84">
        <f t="shared" si="27"/>
        <v>5.59375</v>
      </c>
      <c r="K272" s="83"/>
      <c r="L272" s="85"/>
      <c r="M272" s="85"/>
    </row>
    <row r="273" spans="1:13">
      <c r="A273" s="81">
        <v>41365</v>
      </c>
      <c r="B273" s="82">
        <v>435</v>
      </c>
      <c r="C273" s="82">
        <v>465</v>
      </c>
      <c r="D273" s="83">
        <f t="shared" si="28"/>
        <v>450</v>
      </c>
      <c r="E273" s="83">
        <f t="shared" si="29"/>
        <v>450</v>
      </c>
      <c r="F273" s="84">
        <f t="shared" si="30"/>
        <v>3.6</v>
      </c>
      <c r="G273" s="84">
        <f t="shared" si="31"/>
        <v>4.5</v>
      </c>
      <c r="H273" s="84">
        <f t="shared" si="32"/>
        <v>4.8600000000000003</v>
      </c>
      <c r="I273" s="84">
        <f t="shared" si="27"/>
        <v>5.625</v>
      </c>
      <c r="K273" s="83"/>
      <c r="L273" s="85"/>
      <c r="M273" s="85"/>
    </row>
    <row r="274" spans="1:13">
      <c r="A274" s="81">
        <v>41395</v>
      </c>
      <c r="B274" s="82">
        <v>425</v>
      </c>
      <c r="C274" s="82">
        <v>425</v>
      </c>
      <c r="D274" s="83">
        <f t="shared" si="28"/>
        <v>425</v>
      </c>
      <c r="E274" s="83">
        <f t="shared" si="29"/>
        <v>425</v>
      </c>
      <c r="F274" s="84">
        <f t="shared" si="30"/>
        <v>3.4</v>
      </c>
      <c r="G274" s="84">
        <f t="shared" si="31"/>
        <v>4.25</v>
      </c>
      <c r="H274" s="84">
        <f t="shared" si="32"/>
        <v>4.59</v>
      </c>
      <c r="I274" s="84">
        <f t="shared" ref="I274:I337" si="33">D274*H$9/1000000</f>
        <v>5.3125</v>
      </c>
      <c r="K274" s="83"/>
      <c r="L274" s="85"/>
      <c r="M274" s="85"/>
    </row>
    <row r="275" spans="1:13">
      <c r="A275" s="81">
        <v>41426</v>
      </c>
      <c r="B275" s="82">
        <v>420</v>
      </c>
      <c r="C275" s="82">
        <v>415</v>
      </c>
      <c r="D275" s="83">
        <f t="shared" ref="D275:D339" si="34">AVERAGE(B275:C275)</f>
        <v>417.5</v>
      </c>
      <c r="E275" s="83">
        <f t="shared" ref="E275:E338" si="35">D275</f>
        <v>417.5</v>
      </c>
      <c r="F275" s="84">
        <f t="shared" ref="F275:F339" si="36">D275*H$6/1000000</f>
        <v>3.34</v>
      </c>
      <c r="G275" s="84">
        <f t="shared" ref="G275:G338" si="37">D275*H$7/1000000</f>
        <v>4.1749999999999998</v>
      </c>
      <c r="H275" s="84">
        <f t="shared" ref="H275:H338" si="38">D275*H$8/1000000</f>
        <v>4.5090000000000003</v>
      </c>
      <c r="I275" s="84">
        <f t="shared" si="33"/>
        <v>5.21875</v>
      </c>
      <c r="K275" s="83"/>
      <c r="L275" s="85"/>
      <c r="M275" s="85"/>
    </row>
    <row r="276" spans="1:13">
      <c r="A276" s="81">
        <v>41456</v>
      </c>
      <c r="B276" s="82">
        <v>405</v>
      </c>
      <c r="C276" s="82">
        <v>410</v>
      </c>
      <c r="D276" s="83">
        <f t="shared" si="34"/>
        <v>407.5</v>
      </c>
      <c r="E276" s="83">
        <f t="shared" si="35"/>
        <v>407.5</v>
      </c>
      <c r="F276" s="84">
        <f t="shared" si="36"/>
        <v>3.26</v>
      </c>
      <c r="G276" s="84">
        <f t="shared" si="37"/>
        <v>4.0750000000000002</v>
      </c>
      <c r="H276" s="84">
        <f t="shared" si="38"/>
        <v>4.4009999999999998</v>
      </c>
      <c r="I276" s="84">
        <f t="shared" si="33"/>
        <v>5.09375</v>
      </c>
      <c r="K276" s="83"/>
      <c r="L276" s="85"/>
      <c r="M276" s="85"/>
    </row>
    <row r="277" spans="1:13">
      <c r="A277" s="81">
        <v>41487</v>
      </c>
      <c r="B277" s="82">
        <v>370</v>
      </c>
      <c r="C277" s="82">
        <v>370</v>
      </c>
      <c r="D277" s="83">
        <f t="shared" si="34"/>
        <v>370</v>
      </c>
      <c r="E277" s="83">
        <f t="shared" si="35"/>
        <v>370</v>
      </c>
      <c r="F277" s="84">
        <f t="shared" si="36"/>
        <v>2.96</v>
      </c>
      <c r="G277" s="84">
        <f t="shared" si="37"/>
        <v>3.7</v>
      </c>
      <c r="H277" s="84">
        <f t="shared" si="38"/>
        <v>3.996</v>
      </c>
      <c r="I277" s="84">
        <f t="shared" si="33"/>
        <v>4.625</v>
      </c>
      <c r="K277" s="83"/>
      <c r="L277" s="85"/>
      <c r="M277" s="85"/>
    </row>
    <row r="278" spans="1:13">
      <c r="A278" s="81">
        <v>41518</v>
      </c>
      <c r="B278" s="82">
        <v>420</v>
      </c>
      <c r="C278" s="82">
        <v>435</v>
      </c>
      <c r="D278" s="83">
        <f t="shared" si="34"/>
        <v>427.5</v>
      </c>
      <c r="E278" s="83">
        <f t="shared" si="35"/>
        <v>427.5</v>
      </c>
      <c r="F278" s="84">
        <f t="shared" si="36"/>
        <v>3.42</v>
      </c>
      <c r="G278" s="84">
        <f t="shared" si="37"/>
        <v>4.2750000000000004</v>
      </c>
      <c r="H278" s="84">
        <f t="shared" si="38"/>
        <v>4.617</v>
      </c>
      <c r="I278" s="84">
        <f t="shared" si="33"/>
        <v>5.34375</v>
      </c>
      <c r="K278" s="83"/>
      <c r="L278" s="85"/>
      <c r="M278" s="85"/>
    </row>
    <row r="279" spans="1:13">
      <c r="A279" s="81">
        <v>41548</v>
      </c>
      <c r="B279" s="82">
        <v>435</v>
      </c>
      <c r="C279" s="82">
        <v>435</v>
      </c>
      <c r="D279" s="83">
        <f t="shared" si="34"/>
        <v>435</v>
      </c>
      <c r="E279" s="83">
        <f t="shared" si="35"/>
        <v>435</v>
      </c>
      <c r="F279" s="84">
        <f t="shared" si="36"/>
        <v>3.48</v>
      </c>
      <c r="G279" s="84">
        <f t="shared" si="37"/>
        <v>4.3499999999999996</v>
      </c>
      <c r="H279" s="84">
        <f t="shared" si="38"/>
        <v>4.6980000000000004</v>
      </c>
      <c r="I279" s="84">
        <f t="shared" si="33"/>
        <v>5.4375</v>
      </c>
      <c r="K279" s="83"/>
      <c r="L279" s="85"/>
      <c r="M279" s="85"/>
    </row>
    <row r="280" spans="1:13">
      <c r="A280" s="81">
        <v>41579</v>
      </c>
      <c r="B280" s="82">
        <v>440</v>
      </c>
      <c r="C280" s="82">
        <v>440</v>
      </c>
      <c r="D280" s="83">
        <f t="shared" si="34"/>
        <v>440</v>
      </c>
      <c r="E280" s="83">
        <f t="shared" si="35"/>
        <v>440</v>
      </c>
      <c r="F280" s="84">
        <f t="shared" si="36"/>
        <v>3.52</v>
      </c>
      <c r="G280" s="84">
        <f t="shared" si="37"/>
        <v>4.4000000000000004</v>
      </c>
      <c r="H280" s="84">
        <f t="shared" si="38"/>
        <v>4.7519999999999998</v>
      </c>
      <c r="I280" s="84">
        <f t="shared" si="33"/>
        <v>5.5</v>
      </c>
      <c r="K280" s="83"/>
      <c r="L280" s="85"/>
      <c r="M280" s="85"/>
    </row>
    <row r="281" spans="1:13">
      <c r="A281" s="81">
        <v>41609</v>
      </c>
      <c r="B281" s="82">
        <v>430</v>
      </c>
      <c r="C281" s="82">
        <v>450</v>
      </c>
      <c r="D281" s="83">
        <f t="shared" si="34"/>
        <v>440</v>
      </c>
      <c r="E281" s="83">
        <f t="shared" si="35"/>
        <v>440</v>
      </c>
      <c r="F281" s="84">
        <f t="shared" si="36"/>
        <v>3.52</v>
      </c>
      <c r="G281" s="84">
        <f t="shared" si="37"/>
        <v>4.4000000000000004</v>
      </c>
      <c r="H281" s="84">
        <f t="shared" si="38"/>
        <v>4.7519999999999998</v>
      </c>
      <c r="I281" s="84">
        <f t="shared" si="33"/>
        <v>5.5</v>
      </c>
      <c r="K281" s="83"/>
      <c r="L281" s="85"/>
      <c r="M281" s="85"/>
    </row>
    <row r="282" spans="1:13">
      <c r="A282" s="81">
        <v>41640</v>
      </c>
      <c r="B282" s="82">
        <v>460</v>
      </c>
      <c r="C282" s="82">
        <v>470</v>
      </c>
      <c r="D282" s="83">
        <f t="shared" si="34"/>
        <v>465</v>
      </c>
      <c r="E282" s="83">
        <f t="shared" si="35"/>
        <v>465</v>
      </c>
      <c r="F282" s="84">
        <f t="shared" si="36"/>
        <v>3.72</v>
      </c>
      <c r="G282" s="84">
        <f t="shared" si="37"/>
        <v>4.6500000000000004</v>
      </c>
      <c r="H282" s="84">
        <f t="shared" si="38"/>
        <v>5.0220000000000002</v>
      </c>
      <c r="I282" s="84">
        <f t="shared" si="33"/>
        <v>5.8125</v>
      </c>
      <c r="K282" s="83"/>
      <c r="L282" s="85"/>
      <c r="M282" s="85"/>
    </row>
    <row r="283" spans="1:13">
      <c r="A283" s="81">
        <v>41671</v>
      </c>
      <c r="B283" s="82">
        <v>455</v>
      </c>
      <c r="C283" s="82">
        <v>475</v>
      </c>
      <c r="D283" s="83">
        <f t="shared" si="34"/>
        <v>465</v>
      </c>
      <c r="E283" s="83">
        <f t="shared" si="35"/>
        <v>465</v>
      </c>
      <c r="F283" s="84">
        <f t="shared" si="36"/>
        <v>3.72</v>
      </c>
      <c r="G283" s="84">
        <f t="shared" si="37"/>
        <v>4.6500000000000004</v>
      </c>
      <c r="H283" s="84">
        <f t="shared" si="38"/>
        <v>5.0220000000000002</v>
      </c>
      <c r="I283" s="84">
        <f t="shared" si="33"/>
        <v>5.8125</v>
      </c>
      <c r="K283" s="83"/>
      <c r="L283" s="85"/>
      <c r="M283" s="85"/>
    </row>
    <row r="284" spans="1:13">
      <c r="A284" s="81">
        <v>41699</v>
      </c>
      <c r="B284" s="82">
        <v>470</v>
      </c>
      <c r="C284" s="82">
        <v>500</v>
      </c>
      <c r="D284" s="83">
        <f t="shared" si="34"/>
        <v>485</v>
      </c>
      <c r="E284" s="83">
        <f t="shared" si="35"/>
        <v>485</v>
      </c>
      <c r="F284" s="84">
        <f t="shared" si="36"/>
        <v>3.88</v>
      </c>
      <c r="G284" s="84">
        <f t="shared" si="37"/>
        <v>4.8499999999999996</v>
      </c>
      <c r="H284" s="84">
        <f t="shared" si="38"/>
        <v>5.2380000000000004</v>
      </c>
      <c r="I284" s="84">
        <f t="shared" si="33"/>
        <v>6.0625</v>
      </c>
      <c r="K284" s="83"/>
      <c r="L284" s="85"/>
      <c r="M284" s="85"/>
    </row>
    <row r="285" spans="1:13">
      <c r="A285" s="81">
        <v>41730</v>
      </c>
      <c r="B285" s="82">
        <v>490</v>
      </c>
      <c r="C285" s="82">
        <v>505</v>
      </c>
      <c r="D285" s="83">
        <f t="shared" si="34"/>
        <v>497.5</v>
      </c>
      <c r="E285" s="83">
        <f t="shared" si="35"/>
        <v>497.5</v>
      </c>
      <c r="F285" s="84">
        <f t="shared" si="36"/>
        <v>3.98</v>
      </c>
      <c r="G285" s="84">
        <f t="shared" si="37"/>
        <v>4.9749999999999996</v>
      </c>
      <c r="H285" s="84">
        <f t="shared" si="38"/>
        <v>5.3730000000000002</v>
      </c>
      <c r="I285" s="84">
        <f t="shared" si="33"/>
        <v>6.21875</v>
      </c>
      <c r="K285" s="83"/>
      <c r="L285" s="85"/>
      <c r="M285" s="85"/>
    </row>
    <row r="286" spans="1:13">
      <c r="A286" s="81">
        <v>41760</v>
      </c>
      <c r="B286" s="82">
        <v>495</v>
      </c>
      <c r="C286" s="82">
        <v>510</v>
      </c>
      <c r="D286" s="83">
        <f t="shared" si="34"/>
        <v>502.5</v>
      </c>
      <c r="E286" s="83">
        <f t="shared" si="35"/>
        <v>502.5</v>
      </c>
      <c r="F286" s="84">
        <f t="shared" si="36"/>
        <v>4.0199999999999996</v>
      </c>
      <c r="G286" s="84">
        <f t="shared" si="37"/>
        <v>5.0250000000000004</v>
      </c>
      <c r="H286" s="84">
        <f t="shared" si="38"/>
        <v>5.4269999999999996</v>
      </c>
      <c r="I286" s="84">
        <f t="shared" si="33"/>
        <v>6.28125</v>
      </c>
      <c r="K286" s="83"/>
      <c r="L286" s="85"/>
      <c r="M286" s="85"/>
    </row>
    <row r="287" spans="1:13">
      <c r="A287" s="81">
        <v>41791</v>
      </c>
      <c r="B287" s="82">
        <v>475</v>
      </c>
      <c r="C287" s="82">
        <v>480</v>
      </c>
      <c r="D287" s="83">
        <f t="shared" si="34"/>
        <v>477.5</v>
      </c>
      <c r="E287" s="83">
        <f t="shared" si="35"/>
        <v>477.5</v>
      </c>
      <c r="F287" s="84">
        <f t="shared" si="36"/>
        <v>3.82</v>
      </c>
      <c r="G287" s="84">
        <f t="shared" si="37"/>
        <v>4.7750000000000004</v>
      </c>
      <c r="H287" s="84">
        <f t="shared" si="38"/>
        <v>5.157</v>
      </c>
      <c r="I287" s="84">
        <f t="shared" si="33"/>
        <v>5.96875</v>
      </c>
      <c r="K287" s="83"/>
      <c r="L287" s="85"/>
      <c r="M287" s="85"/>
    </row>
    <row r="288" spans="1:13">
      <c r="A288" s="81">
        <v>41821</v>
      </c>
      <c r="B288" s="82">
        <v>475</v>
      </c>
      <c r="C288" s="82">
        <v>500</v>
      </c>
      <c r="D288" s="83">
        <f t="shared" si="34"/>
        <v>487.5</v>
      </c>
      <c r="E288" s="83">
        <f t="shared" si="35"/>
        <v>487.5</v>
      </c>
      <c r="F288" s="84">
        <f t="shared" si="36"/>
        <v>3.9</v>
      </c>
      <c r="G288" s="84">
        <f t="shared" si="37"/>
        <v>4.875</v>
      </c>
      <c r="H288" s="84">
        <f t="shared" si="38"/>
        <v>5.2649999999999997</v>
      </c>
      <c r="I288" s="84">
        <f t="shared" si="33"/>
        <v>6.09375</v>
      </c>
      <c r="K288" s="83"/>
      <c r="L288" s="85"/>
      <c r="M288" s="85"/>
    </row>
    <row r="289" spans="1:13">
      <c r="A289" s="81">
        <v>41852</v>
      </c>
      <c r="B289" s="82">
        <v>495</v>
      </c>
      <c r="C289" s="82">
        <v>505</v>
      </c>
      <c r="D289" s="83">
        <f t="shared" si="34"/>
        <v>500</v>
      </c>
      <c r="E289" s="83">
        <f t="shared" si="35"/>
        <v>500</v>
      </c>
      <c r="F289" s="84">
        <f t="shared" si="36"/>
        <v>4</v>
      </c>
      <c r="G289" s="84">
        <f t="shared" si="37"/>
        <v>5</v>
      </c>
      <c r="H289" s="84">
        <f t="shared" si="38"/>
        <v>5.4</v>
      </c>
      <c r="I289" s="84">
        <f t="shared" si="33"/>
        <v>6.25</v>
      </c>
      <c r="K289" s="83"/>
      <c r="L289" s="85"/>
      <c r="M289" s="85"/>
    </row>
    <row r="290" spans="1:13">
      <c r="A290" s="81">
        <v>41883</v>
      </c>
      <c r="B290" s="82">
        <v>495</v>
      </c>
      <c r="C290" s="82">
        <v>510</v>
      </c>
      <c r="D290" s="83">
        <f t="shared" si="34"/>
        <v>502.5</v>
      </c>
      <c r="E290" s="83">
        <f t="shared" si="35"/>
        <v>502.5</v>
      </c>
      <c r="F290" s="84">
        <f t="shared" si="36"/>
        <v>4.0199999999999996</v>
      </c>
      <c r="G290" s="84">
        <f t="shared" si="37"/>
        <v>5.0250000000000004</v>
      </c>
      <c r="H290" s="84">
        <f t="shared" si="38"/>
        <v>5.4269999999999996</v>
      </c>
      <c r="I290" s="84">
        <f t="shared" si="33"/>
        <v>6.28125</v>
      </c>
      <c r="K290" s="83"/>
      <c r="L290" s="85"/>
      <c r="M290" s="85"/>
    </row>
    <row r="291" spans="1:13">
      <c r="A291" s="81">
        <v>41913</v>
      </c>
      <c r="B291" s="82">
        <v>490</v>
      </c>
      <c r="C291" s="82">
        <v>490</v>
      </c>
      <c r="D291" s="83">
        <f t="shared" si="34"/>
        <v>490</v>
      </c>
      <c r="E291" s="83">
        <f t="shared" si="35"/>
        <v>490</v>
      </c>
      <c r="F291" s="84">
        <f t="shared" si="36"/>
        <v>3.92</v>
      </c>
      <c r="G291" s="84">
        <f t="shared" si="37"/>
        <v>4.9000000000000004</v>
      </c>
      <c r="H291" s="84">
        <f t="shared" si="38"/>
        <v>5.2919999999999998</v>
      </c>
      <c r="I291" s="84">
        <f t="shared" si="33"/>
        <v>6.125</v>
      </c>
      <c r="K291" s="83"/>
      <c r="L291" s="85"/>
      <c r="M291" s="85"/>
    </row>
    <row r="292" spans="1:13">
      <c r="A292" s="81">
        <v>41944</v>
      </c>
      <c r="B292" s="82">
        <v>470</v>
      </c>
      <c r="C292" s="82">
        <v>465</v>
      </c>
      <c r="D292" s="83">
        <f t="shared" si="34"/>
        <v>467.5</v>
      </c>
      <c r="E292" s="83">
        <f t="shared" si="35"/>
        <v>467.5</v>
      </c>
      <c r="F292" s="84">
        <f t="shared" si="36"/>
        <v>3.74</v>
      </c>
      <c r="G292" s="84">
        <f t="shared" si="37"/>
        <v>4.6749999999999998</v>
      </c>
      <c r="H292" s="84">
        <f t="shared" si="38"/>
        <v>5.0490000000000004</v>
      </c>
      <c r="I292" s="84">
        <f t="shared" si="33"/>
        <v>5.84375</v>
      </c>
      <c r="K292" s="83"/>
      <c r="L292" s="85"/>
      <c r="M292" s="85"/>
    </row>
    <row r="293" spans="1:13">
      <c r="A293" s="81">
        <v>41974</v>
      </c>
      <c r="B293" s="82">
        <v>445</v>
      </c>
      <c r="C293" s="82">
        <v>445</v>
      </c>
      <c r="D293" s="83">
        <f t="shared" si="34"/>
        <v>445</v>
      </c>
      <c r="E293" s="83">
        <f t="shared" si="35"/>
        <v>445</v>
      </c>
      <c r="F293" s="84">
        <f t="shared" si="36"/>
        <v>3.56</v>
      </c>
      <c r="G293" s="84">
        <f t="shared" si="37"/>
        <v>4.45</v>
      </c>
      <c r="H293" s="84">
        <f t="shared" si="38"/>
        <v>4.806</v>
      </c>
      <c r="I293" s="84">
        <f t="shared" si="33"/>
        <v>5.5625</v>
      </c>
      <c r="K293" s="83"/>
      <c r="L293" s="85"/>
      <c r="M293" s="85"/>
    </row>
    <row r="294" spans="1:13">
      <c r="A294" s="81">
        <v>42005</v>
      </c>
      <c r="B294" s="82">
        <v>425</v>
      </c>
      <c r="C294" s="82">
        <v>440</v>
      </c>
      <c r="D294" s="83">
        <f t="shared" si="34"/>
        <v>432.5</v>
      </c>
      <c r="E294" s="83">
        <f t="shared" si="35"/>
        <v>432.5</v>
      </c>
      <c r="F294" s="84">
        <f t="shared" si="36"/>
        <v>3.46</v>
      </c>
      <c r="G294" s="84">
        <f t="shared" si="37"/>
        <v>4.3250000000000002</v>
      </c>
      <c r="H294" s="84">
        <f t="shared" si="38"/>
        <v>4.6710000000000003</v>
      </c>
      <c r="I294" s="84">
        <f t="shared" si="33"/>
        <v>5.40625</v>
      </c>
      <c r="K294" s="83"/>
      <c r="L294" s="85"/>
      <c r="M294" s="85"/>
    </row>
    <row r="295" spans="1:13">
      <c r="A295" s="81">
        <v>42036</v>
      </c>
      <c r="B295" s="82">
        <v>380</v>
      </c>
      <c r="C295" s="82">
        <v>380</v>
      </c>
      <c r="D295" s="83">
        <f t="shared" si="34"/>
        <v>380</v>
      </c>
      <c r="E295" s="83">
        <f t="shared" si="35"/>
        <v>380</v>
      </c>
      <c r="F295" s="84">
        <f t="shared" si="36"/>
        <v>3.04</v>
      </c>
      <c r="G295" s="84">
        <f t="shared" si="37"/>
        <v>3.8</v>
      </c>
      <c r="H295" s="84">
        <f t="shared" si="38"/>
        <v>4.1040000000000001</v>
      </c>
      <c r="I295" s="84">
        <f t="shared" si="33"/>
        <v>4.75</v>
      </c>
      <c r="K295" s="83"/>
      <c r="L295" s="85"/>
      <c r="M295" s="85"/>
    </row>
    <row r="296" spans="1:13">
      <c r="A296" s="81">
        <v>42064</v>
      </c>
      <c r="B296" s="82">
        <v>395</v>
      </c>
      <c r="C296" s="82">
        <v>400</v>
      </c>
      <c r="D296" s="83">
        <f t="shared" si="34"/>
        <v>397.5</v>
      </c>
      <c r="E296" s="83">
        <f t="shared" si="35"/>
        <v>397.5</v>
      </c>
      <c r="F296" s="84">
        <f t="shared" si="36"/>
        <v>3.18</v>
      </c>
      <c r="G296" s="84">
        <f t="shared" si="37"/>
        <v>3.9750000000000001</v>
      </c>
      <c r="H296" s="84">
        <f t="shared" si="38"/>
        <v>4.2930000000000001</v>
      </c>
      <c r="I296" s="84">
        <f t="shared" si="33"/>
        <v>4.96875</v>
      </c>
      <c r="K296" s="83"/>
      <c r="L296" s="85"/>
      <c r="M296" s="85"/>
    </row>
    <row r="297" spans="1:13">
      <c r="A297" s="81">
        <v>42095</v>
      </c>
      <c r="B297" s="82">
        <v>415</v>
      </c>
      <c r="C297" s="82">
        <v>435</v>
      </c>
      <c r="D297" s="83">
        <f t="shared" si="34"/>
        <v>425</v>
      </c>
      <c r="E297" s="83">
        <f t="shared" si="35"/>
        <v>425</v>
      </c>
      <c r="F297" s="84">
        <f t="shared" si="36"/>
        <v>3.4</v>
      </c>
      <c r="G297" s="84">
        <f t="shared" si="37"/>
        <v>4.25</v>
      </c>
      <c r="H297" s="84">
        <f t="shared" si="38"/>
        <v>4.59</v>
      </c>
      <c r="I297" s="84">
        <f t="shared" si="33"/>
        <v>5.3125</v>
      </c>
      <c r="K297" s="83"/>
      <c r="L297" s="85"/>
      <c r="M297" s="85"/>
    </row>
    <row r="298" spans="1:13">
      <c r="A298" s="81">
        <v>42125</v>
      </c>
      <c r="B298" s="82">
        <v>370</v>
      </c>
      <c r="C298" s="82">
        <v>380</v>
      </c>
      <c r="D298" s="83">
        <f t="shared" si="34"/>
        <v>375</v>
      </c>
      <c r="E298" s="83">
        <f t="shared" si="35"/>
        <v>375</v>
      </c>
      <c r="F298" s="84">
        <f t="shared" si="36"/>
        <v>3</v>
      </c>
      <c r="G298" s="84">
        <f t="shared" si="37"/>
        <v>3.75</v>
      </c>
      <c r="H298" s="84">
        <f t="shared" si="38"/>
        <v>4.05</v>
      </c>
      <c r="I298" s="84">
        <f t="shared" si="33"/>
        <v>4.6875</v>
      </c>
      <c r="K298" s="83"/>
      <c r="L298" s="85"/>
      <c r="M298" s="85"/>
    </row>
    <row r="299" spans="1:13">
      <c r="A299" s="81">
        <v>42156</v>
      </c>
      <c r="B299" s="82">
        <v>375</v>
      </c>
      <c r="C299" s="82">
        <v>380</v>
      </c>
      <c r="D299" s="83">
        <f t="shared" si="34"/>
        <v>377.5</v>
      </c>
      <c r="E299" s="83">
        <f t="shared" si="35"/>
        <v>377.5</v>
      </c>
      <c r="F299" s="84">
        <f t="shared" si="36"/>
        <v>3.02</v>
      </c>
      <c r="G299" s="84">
        <f t="shared" si="37"/>
        <v>3.7749999999999999</v>
      </c>
      <c r="H299" s="84">
        <f t="shared" si="38"/>
        <v>4.077</v>
      </c>
      <c r="I299" s="84">
        <f t="shared" si="33"/>
        <v>4.71875</v>
      </c>
      <c r="K299" s="83"/>
      <c r="L299" s="85"/>
      <c r="M299" s="85"/>
    </row>
    <row r="300" spans="1:13">
      <c r="A300" s="81">
        <v>42186</v>
      </c>
      <c r="B300" s="82">
        <v>315</v>
      </c>
      <c r="C300" s="82">
        <v>305</v>
      </c>
      <c r="D300" s="83">
        <f t="shared" si="34"/>
        <v>310</v>
      </c>
      <c r="E300" s="83">
        <f t="shared" si="35"/>
        <v>310</v>
      </c>
      <c r="F300" s="84">
        <f t="shared" si="36"/>
        <v>2.48</v>
      </c>
      <c r="G300" s="84">
        <f t="shared" si="37"/>
        <v>3.1</v>
      </c>
      <c r="H300" s="84">
        <f t="shared" si="38"/>
        <v>3.3479999999999999</v>
      </c>
      <c r="I300" s="84">
        <f t="shared" si="33"/>
        <v>3.875</v>
      </c>
      <c r="K300" s="83"/>
      <c r="L300" s="85"/>
      <c r="M300" s="85"/>
    </row>
    <row r="301" spans="1:13">
      <c r="A301" s="81">
        <v>42217</v>
      </c>
      <c r="B301" s="82">
        <v>285</v>
      </c>
      <c r="C301" s="82">
        <v>355</v>
      </c>
      <c r="D301" s="83">
        <f t="shared" si="34"/>
        <v>320</v>
      </c>
      <c r="E301" s="83">
        <f t="shared" si="35"/>
        <v>320</v>
      </c>
      <c r="F301" s="84">
        <f t="shared" si="36"/>
        <v>2.56</v>
      </c>
      <c r="G301" s="84">
        <f t="shared" si="37"/>
        <v>3.2</v>
      </c>
      <c r="H301" s="84">
        <f t="shared" si="38"/>
        <v>3.456</v>
      </c>
      <c r="I301" s="84">
        <f t="shared" si="33"/>
        <v>4</v>
      </c>
      <c r="K301" s="83"/>
      <c r="L301" s="85"/>
      <c r="M301" s="85"/>
    </row>
    <row r="302" spans="1:13">
      <c r="A302" s="81">
        <v>42248</v>
      </c>
      <c r="B302" s="82">
        <v>305</v>
      </c>
      <c r="C302" s="82">
        <v>345</v>
      </c>
      <c r="D302" s="83">
        <f t="shared" si="34"/>
        <v>325</v>
      </c>
      <c r="E302" s="83">
        <f t="shared" si="35"/>
        <v>325</v>
      </c>
      <c r="F302" s="84">
        <f t="shared" si="36"/>
        <v>2.6</v>
      </c>
      <c r="G302" s="84">
        <f t="shared" si="37"/>
        <v>3.25</v>
      </c>
      <c r="H302" s="84">
        <f t="shared" si="38"/>
        <v>3.51</v>
      </c>
      <c r="I302" s="84">
        <f t="shared" si="33"/>
        <v>4.0625</v>
      </c>
      <c r="K302" s="83"/>
      <c r="L302" s="85"/>
      <c r="M302" s="85"/>
    </row>
    <row r="303" spans="1:13">
      <c r="A303" s="81">
        <v>42278</v>
      </c>
      <c r="B303" s="82">
        <v>320</v>
      </c>
      <c r="C303" s="82">
        <v>315</v>
      </c>
      <c r="D303" s="83">
        <f t="shared" si="34"/>
        <v>317.5</v>
      </c>
      <c r="E303" s="83">
        <f t="shared" si="35"/>
        <v>317.5</v>
      </c>
      <c r="F303" s="84">
        <f t="shared" si="36"/>
        <v>2.54</v>
      </c>
      <c r="G303" s="84">
        <f t="shared" si="37"/>
        <v>3.1749999999999998</v>
      </c>
      <c r="H303" s="84">
        <f t="shared" si="38"/>
        <v>3.4289999999999998</v>
      </c>
      <c r="I303" s="84">
        <f t="shared" si="33"/>
        <v>3.96875</v>
      </c>
      <c r="K303" s="83"/>
      <c r="L303" s="85"/>
      <c r="M303" s="85"/>
    </row>
    <row r="304" spans="1:13">
      <c r="A304" s="81">
        <v>42309</v>
      </c>
      <c r="B304" s="82">
        <v>310</v>
      </c>
      <c r="C304" s="82">
        <v>315</v>
      </c>
      <c r="D304" s="83">
        <f t="shared" si="34"/>
        <v>312.5</v>
      </c>
      <c r="E304" s="83">
        <f t="shared" si="35"/>
        <v>312.5</v>
      </c>
      <c r="F304" s="84">
        <f t="shared" si="36"/>
        <v>2.5</v>
      </c>
      <c r="G304" s="84">
        <f t="shared" si="37"/>
        <v>3.125</v>
      </c>
      <c r="H304" s="84">
        <f t="shared" si="38"/>
        <v>3.375</v>
      </c>
      <c r="I304" s="84">
        <f t="shared" si="33"/>
        <v>3.90625</v>
      </c>
      <c r="K304" s="83"/>
      <c r="L304" s="85"/>
      <c r="M304" s="85"/>
    </row>
    <row r="305" spans="1:13">
      <c r="A305" s="81">
        <v>42339</v>
      </c>
      <c r="B305" s="82">
        <v>300</v>
      </c>
      <c r="C305" s="82">
        <v>320</v>
      </c>
      <c r="D305" s="83">
        <f t="shared" si="34"/>
        <v>310</v>
      </c>
      <c r="E305" s="83">
        <f t="shared" si="35"/>
        <v>310</v>
      </c>
      <c r="F305" s="84">
        <f t="shared" si="36"/>
        <v>2.48</v>
      </c>
      <c r="G305" s="84">
        <f t="shared" si="37"/>
        <v>3.1</v>
      </c>
      <c r="H305" s="84">
        <f t="shared" si="38"/>
        <v>3.3479999999999999</v>
      </c>
      <c r="I305" s="84">
        <f t="shared" si="33"/>
        <v>3.875</v>
      </c>
      <c r="K305" s="83"/>
      <c r="L305" s="85"/>
      <c r="M305" s="85"/>
    </row>
    <row r="306" spans="1:13">
      <c r="A306" s="81">
        <v>42370</v>
      </c>
      <c r="B306" s="82">
        <v>270</v>
      </c>
      <c r="C306" s="82">
        <v>265</v>
      </c>
      <c r="D306" s="83">
        <f t="shared" si="34"/>
        <v>267.5</v>
      </c>
      <c r="E306" s="83">
        <f t="shared" si="35"/>
        <v>267.5</v>
      </c>
      <c r="F306" s="84">
        <f t="shared" si="36"/>
        <v>2.14</v>
      </c>
      <c r="G306" s="84">
        <f t="shared" si="37"/>
        <v>2.6749999999999998</v>
      </c>
      <c r="H306" s="84">
        <f t="shared" si="38"/>
        <v>2.8889999999999998</v>
      </c>
      <c r="I306" s="84">
        <f t="shared" si="33"/>
        <v>3.34375</v>
      </c>
      <c r="K306" s="83"/>
      <c r="L306" s="85"/>
      <c r="M306" s="85"/>
    </row>
    <row r="307" spans="1:13">
      <c r="A307" s="81">
        <v>42401</v>
      </c>
      <c r="B307" s="82">
        <v>255</v>
      </c>
      <c r="C307" s="82">
        <v>260</v>
      </c>
      <c r="D307" s="83">
        <f t="shared" si="34"/>
        <v>257.5</v>
      </c>
      <c r="E307" s="83">
        <f t="shared" si="35"/>
        <v>257.5</v>
      </c>
      <c r="F307" s="84">
        <f t="shared" si="36"/>
        <v>2.06</v>
      </c>
      <c r="G307" s="84">
        <f t="shared" si="37"/>
        <v>2.5750000000000002</v>
      </c>
      <c r="H307" s="84">
        <f t="shared" si="38"/>
        <v>2.7810000000000001</v>
      </c>
      <c r="I307" s="84">
        <f t="shared" si="33"/>
        <v>3.21875</v>
      </c>
      <c r="K307" s="83"/>
      <c r="L307" s="85"/>
      <c r="M307" s="85"/>
    </row>
    <row r="308" spans="1:13">
      <c r="A308" s="81">
        <v>42430</v>
      </c>
      <c r="B308" s="82">
        <v>270</v>
      </c>
      <c r="C308" s="82">
        <v>270</v>
      </c>
      <c r="D308" s="83">
        <f t="shared" si="34"/>
        <v>270</v>
      </c>
      <c r="E308" s="83">
        <f t="shared" si="35"/>
        <v>270</v>
      </c>
      <c r="F308" s="84">
        <f t="shared" si="36"/>
        <v>2.16</v>
      </c>
      <c r="G308" s="84">
        <f t="shared" si="37"/>
        <v>2.7</v>
      </c>
      <c r="H308" s="84">
        <f t="shared" si="38"/>
        <v>2.9159999999999999</v>
      </c>
      <c r="I308" s="84">
        <f t="shared" si="33"/>
        <v>3.375</v>
      </c>
      <c r="K308" s="83"/>
      <c r="L308" s="85"/>
      <c r="M308" s="85"/>
    </row>
    <row r="309" spans="1:13">
      <c r="A309" s="81">
        <v>42461</v>
      </c>
      <c r="B309" s="82">
        <v>310</v>
      </c>
      <c r="C309" s="82">
        <v>325</v>
      </c>
      <c r="D309" s="83">
        <f t="shared" si="34"/>
        <v>317.5</v>
      </c>
      <c r="E309" s="83">
        <f t="shared" si="35"/>
        <v>317.5</v>
      </c>
      <c r="F309" s="84">
        <f t="shared" si="36"/>
        <v>2.54</v>
      </c>
      <c r="G309" s="84">
        <f t="shared" si="37"/>
        <v>3.1749999999999998</v>
      </c>
      <c r="H309" s="84">
        <f t="shared" si="38"/>
        <v>3.4289999999999998</v>
      </c>
      <c r="I309" s="84">
        <f t="shared" si="33"/>
        <v>3.96875</v>
      </c>
      <c r="K309" s="83"/>
      <c r="L309" s="85"/>
      <c r="M309" s="85"/>
    </row>
    <row r="310" spans="1:13">
      <c r="A310" s="81">
        <v>42491</v>
      </c>
      <c r="B310" s="82">
        <v>280</v>
      </c>
      <c r="C310" s="82">
        <v>280</v>
      </c>
      <c r="D310" s="83">
        <f t="shared" si="34"/>
        <v>280</v>
      </c>
      <c r="E310" s="83">
        <f t="shared" si="35"/>
        <v>280</v>
      </c>
      <c r="F310" s="84">
        <f t="shared" si="36"/>
        <v>2.2400000000000002</v>
      </c>
      <c r="G310" s="84">
        <f t="shared" si="37"/>
        <v>2.8</v>
      </c>
      <c r="H310" s="84">
        <f t="shared" si="38"/>
        <v>3.024</v>
      </c>
      <c r="I310" s="84">
        <f t="shared" si="33"/>
        <v>3.5</v>
      </c>
      <c r="K310" s="83"/>
      <c r="L310" s="85"/>
      <c r="M310" s="85"/>
    </row>
    <row r="311" spans="1:13">
      <c r="A311" s="81">
        <v>42522</v>
      </c>
      <c r="B311" s="82">
        <v>280</v>
      </c>
      <c r="C311" s="82">
        <v>260</v>
      </c>
      <c r="D311" s="83">
        <f t="shared" si="34"/>
        <v>270</v>
      </c>
      <c r="E311" s="83">
        <f t="shared" si="35"/>
        <v>270</v>
      </c>
      <c r="F311" s="84">
        <f t="shared" si="36"/>
        <v>2.16</v>
      </c>
      <c r="G311" s="84">
        <f t="shared" si="37"/>
        <v>2.7</v>
      </c>
      <c r="H311" s="84">
        <f t="shared" si="38"/>
        <v>2.9159999999999999</v>
      </c>
      <c r="I311" s="84">
        <f t="shared" si="33"/>
        <v>3.375</v>
      </c>
      <c r="K311" s="83"/>
      <c r="L311" s="85"/>
      <c r="M311" s="85"/>
    </row>
    <row r="312" spans="1:13">
      <c r="A312" s="81">
        <v>42552</v>
      </c>
      <c r="B312" s="82">
        <v>285</v>
      </c>
      <c r="C312" s="82">
        <v>285</v>
      </c>
      <c r="D312" s="83">
        <f t="shared" si="34"/>
        <v>285</v>
      </c>
      <c r="E312" s="83">
        <f t="shared" si="35"/>
        <v>285</v>
      </c>
      <c r="F312" s="84">
        <f t="shared" si="36"/>
        <v>2.2799999999999998</v>
      </c>
      <c r="G312" s="84">
        <f t="shared" si="37"/>
        <v>2.85</v>
      </c>
      <c r="H312" s="84">
        <f t="shared" si="38"/>
        <v>3.0779999999999998</v>
      </c>
      <c r="I312" s="84">
        <f t="shared" si="33"/>
        <v>3.5625</v>
      </c>
      <c r="K312" s="83"/>
      <c r="L312" s="85"/>
      <c r="M312" s="85"/>
    </row>
    <row r="313" spans="1:13">
      <c r="A313" s="81">
        <v>42583</v>
      </c>
      <c r="B313" s="82">
        <v>290</v>
      </c>
      <c r="C313" s="82">
        <v>290</v>
      </c>
      <c r="D313" s="83">
        <f t="shared" si="34"/>
        <v>290</v>
      </c>
      <c r="E313" s="83">
        <f t="shared" si="35"/>
        <v>290</v>
      </c>
      <c r="F313" s="84">
        <f t="shared" si="36"/>
        <v>2.3199999999999998</v>
      </c>
      <c r="G313" s="84">
        <f t="shared" si="37"/>
        <v>2.9</v>
      </c>
      <c r="H313" s="84">
        <f t="shared" si="38"/>
        <v>3.1320000000000001</v>
      </c>
      <c r="I313" s="84">
        <f t="shared" si="33"/>
        <v>3.625</v>
      </c>
      <c r="K313" s="83"/>
      <c r="L313" s="85"/>
      <c r="M313" s="85"/>
    </row>
    <row r="314" spans="1:13">
      <c r="A314" s="81">
        <v>42614</v>
      </c>
      <c r="B314" s="82">
        <v>315</v>
      </c>
      <c r="C314" s="82">
        <v>315</v>
      </c>
      <c r="D314" s="83">
        <f t="shared" si="34"/>
        <v>315</v>
      </c>
      <c r="E314" s="83">
        <f t="shared" si="35"/>
        <v>315</v>
      </c>
      <c r="F314" s="84">
        <f t="shared" si="36"/>
        <v>2.52</v>
      </c>
      <c r="G314" s="84">
        <f t="shared" si="37"/>
        <v>3.15</v>
      </c>
      <c r="H314" s="84">
        <f t="shared" si="38"/>
        <v>3.4020000000000001</v>
      </c>
      <c r="I314" s="84">
        <f t="shared" si="33"/>
        <v>3.9375</v>
      </c>
      <c r="K314" s="83"/>
      <c r="L314" s="85"/>
      <c r="M314" s="85"/>
    </row>
    <row r="315" spans="1:13">
      <c r="A315" s="81">
        <v>42644</v>
      </c>
      <c r="B315" s="82">
        <v>300</v>
      </c>
      <c r="C315" s="82">
        <v>300</v>
      </c>
      <c r="D315" s="83">
        <f t="shared" si="34"/>
        <v>300</v>
      </c>
      <c r="E315" s="83">
        <f t="shared" si="35"/>
        <v>300</v>
      </c>
      <c r="F315" s="84">
        <f t="shared" si="36"/>
        <v>2.4</v>
      </c>
      <c r="G315" s="84">
        <f t="shared" si="37"/>
        <v>3</v>
      </c>
      <c r="H315" s="84">
        <f t="shared" si="38"/>
        <v>3.24</v>
      </c>
      <c r="I315" s="84">
        <f t="shared" si="33"/>
        <v>3.75</v>
      </c>
      <c r="K315" s="83"/>
      <c r="L315" s="85"/>
      <c r="M315" s="85"/>
    </row>
    <row r="316" spans="1:13">
      <c r="A316" s="81">
        <v>42675</v>
      </c>
      <c r="B316" s="82">
        <v>300</v>
      </c>
      <c r="C316" s="82">
        <v>300</v>
      </c>
      <c r="D316" s="83">
        <f t="shared" si="34"/>
        <v>300</v>
      </c>
      <c r="E316" s="83">
        <f t="shared" si="35"/>
        <v>300</v>
      </c>
      <c r="F316" s="84">
        <f t="shared" si="36"/>
        <v>2.4</v>
      </c>
      <c r="G316" s="84">
        <f t="shared" si="37"/>
        <v>3</v>
      </c>
      <c r="H316" s="84">
        <f t="shared" si="38"/>
        <v>3.24</v>
      </c>
      <c r="I316" s="84">
        <f t="shared" si="33"/>
        <v>3.75</v>
      </c>
      <c r="K316" s="83"/>
      <c r="L316" s="85"/>
      <c r="M316" s="85"/>
    </row>
    <row r="317" spans="1:13">
      <c r="A317" s="81">
        <v>42705</v>
      </c>
      <c r="B317" s="82">
        <v>325</v>
      </c>
      <c r="C317" s="82">
        <v>325</v>
      </c>
      <c r="D317" s="83">
        <f t="shared" si="34"/>
        <v>325</v>
      </c>
      <c r="E317" s="83">
        <f t="shared" si="35"/>
        <v>325</v>
      </c>
      <c r="F317" s="84">
        <f t="shared" si="36"/>
        <v>2.6</v>
      </c>
      <c r="G317" s="84">
        <f t="shared" si="37"/>
        <v>3.25</v>
      </c>
      <c r="H317" s="84">
        <f t="shared" si="38"/>
        <v>3.51</v>
      </c>
      <c r="I317" s="84">
        <f t="shared" si="33"/>
        <v>4.0625</v>
      </c>
      <c r="K317" s="83"/>
      <c r="L317" s="85"/>
      <c r="M317" s="85"/>
    </row>
    <row r="318" spans="1:13">
      <c r="A318" s="81">
        <v>42736</v>
      </c>
      <c r="B318" s="82">
        <v>330</v>
      </c>
      <c r="C318" s="82">
        <v>330</v>
      </c>
      <c r="D318" s="83">
        <f t="shared" si="34"/>
        <v>330</v>
      </c>
      <c r="E318" s="83">
        <f t="shared" si="35"/>
        <v>330</v>
      </c>
      <c r="F318" s="84">
        <f t="shared" si="36"/>
        <v>2.64</v>
      </c>
      <c r="G318" s="84">
        <f t="shared" si="37"/>
        <v>3.3</v>
      </c>
      <c r="H318" s="84">
        <f t="shared" si="38"/>
        <v>3.5640000000000001</v>
      </c>
      <c r="I318" s="84">
        <f t="shared" si="33"/>
        <v>4.125</v>
      </c>
      <c r="K318" s="83"/>
      <c r="L318" s="85"/>
      <c r="M318" s="85"/>
    </row>
    <row r="319" spans="1:13">
      <c r="A319" s="81">
        <v>42767</v>
      </c>
      <c r="B319" s="82">
        <v>340</v>
      </c>
      <c r="C319" s="82">
        <v>345</v>
      </c>
      <c r="D319" s="83">
        <f t="shared" si="34"/>
        <v>342.5</v>
      </c>
      <c r="E319" s="83">
        <f t="shared" si="35"/>
        <v>342.5</v>
      </c>
      <c r="F319" s="84">
        <f t="shared" si="36"/>
        <v>2.74</v>
      </c>
      <c r="G319" s="84">
        <f t="shared" si="37"/>
        <v>3.4249999999999998</v>
      </c>
      <c r="H319" s="84">
        <f t="shared" si="38"/>
        <v>3.6989999999999998</v>
      </c>
      <c r="I319" s="84">
        <f t="shared" si="33"/>
        <v>4.28125</v>
      </c>
      <c r="K319" s="83"/>
      <c r="L319" s="85"/>
      <c r="M319" s="85"/>
    </row>
    <row r="320" spans="1:13">
      <c r="A320" s="81">
        <v>42795</v>
      </c>
      <c r="B320" s="82">
        <v>375</v>
      </c>
      <c r="C320" s="82">
        <v>370</v>
      </c>
      <c r="D320" s="83">
        <f t="shared" si="34"/>
        <v>372.5</v>
      </c>
      <c r="E320" s="83">
        <f t="shared" si="35"/>
        <v>372.5</v>
      </c>
      <c r="F320" s="84">
        <f t="shared" si="36"/>
        <v>2.98</v>
      </c>
      <c r="G320" s="84">
        <f t="shared" si="37"/>
        <v>3.7250000000000001</v>
      </c>
      <c r="H320" s="84">
        <f t="shared" si="38"/>
        <v>4.0229999999999997</v>
      </c>
      <c r="I320" s="84">
        <f t="shared" si="33"/>
        <v>4.65625</v>
      </c>
      <c r="K320" s="83"/>
      <c r="L320" s="85"/>
      <c r="M320" s="85"/>
    </row>
    <row r="321" spans="1:13">
      <c r="A321" s="81">
        <v>42826</v>
      </c>
      <c r="B321" s="82">
        <v>390</v>
      </c>
      <c r="C321" s="82">
        <v>385</v>
      </c>
      <c r="D321" s="83">
        <f t="shared" si="34"/>
        <v>387.5</v>
      </c>
      <c r="E321" s="83">
        <f t="shared" si="35"/>
        <v>387.5</v>
      </c>
      <c r="F321" s="84">
        <f t="shared" si="36"/>
        <v>3.1</v>
      </c>
      <c r="G321" s="84">
        <f t="shared" si="37"/>
        <v>3.875</v>
      </c>
      <c r="H321" s="84">
        <f t="shared" si="38"/>
        <v>4.1849999999999996</v>
      </c>
      <c r="I321" s="84">
        <f t="shared" si="33"/>
        <v>4.84375</v>
      </c>
      <c r="K321" s="83"/>
      <c r="L321" s="85"/>
      <c r="M321" s="85"/>
    </row>
    <row r="322" spans="1:13">
      <c r="A322" s="81">
        <v>42856</v>
      </c>
      <c r="B322" s="82">
        <v>360</v>
      </c>
      <c r="C322" s="82">
        <v>360</v>
      </c>
      <c r="D322" s="83">
        <f t="shared" si="34"/>
        <v>360</v>
      </c>
      <c r="E322" s="83">
        <f t="shared" si="35"/>
        <v>360</v>
      </c>
      <c r="F322" s="84">
        <f t="shared" si="36"/>
        <v>2.88</v>
      </c>
      <c r="G322" s="84">
        <f t="shared" si="37"/>
        <v>3.6</v>
      </c>
      <c r="H322" s="84">
        <f t="shared" si="38"/>
        <v>3.8879999999999999</v>
      </c>
      <c r="I322" s="84">
        <f t="shared" si="33"/>
        <v>4.5</v>
      </c>
      <c r="K322" s="83"/>
      <c r="L322" s="85"/>
      <c r="M322" s="85"/>
    </row>
    <row r="323" spans="1:13">
      <c r="A323" s="81">
        <v>42887</v>
      </c>
      <c r="B323" s="82">
        <v>360</v>
      </c>
      <c r="C323" s="82">
        <v>350</v>
      </c>
      <c r="D323" s="83">
        <f t="shared" si="34"/>
        <v>355</v>
      </c>
      <c r="E323" s="83">
        <f t="shared" si="35"/>
        <v>355</v>
      </c>
      <c r="F323" s="84">
        <f t="shared" si="36"/>
        <v>2.84</v>
      </c>
      <c r="G323" s="84">
        <f t="shared" si="37"/>
        <v>3.55</v>
      </c>
      <c r="H323" s="84">
        <f t="shared" si="38"/>
        <v>3.8340000000000001</v>
      </c>
      <c r="I323" s="84">
        <f t="shared" si="33"/>
        <v>4.4375</v>
      </c>
      <c r="K323" s="83"/>
      <c r="L323" s="85"/>
      <c r="M323" s="85"/>
    </row>
    <row r="324" spans="1:13">
      <c r="A324" s="81">
        <v>42917</v>
      </c>
      <c r="B324" s="82">
        <v>390</v>
      </c>
      <c r="C324" s="82">
        <v>380</v>
      </c>
      <c r="D324" s="83">
        <f t="shared" si="34"/>
        <v>385</v>
      </c>
      <c r="E324" s="83">
        <f t="shared" si="35"/>
        <v>385</v>
      </c>
      <c r="F324" s="84">
        <f t="shared" si="36"/>
        <v>3.08</v>
      </c>
      <c r="G324" s="84">
        <f t="shared" si="37"/>
        <v>3.85</v>
      </c>
      <c r="H324" s="84">
        <f t="shared" si="38"/>
        <v>4.1580000000000004</v>
      </c>
      <c r="I324" s="84">
        <f t="shared" si="33"/>
        <v>4.8125</v>
      </c>
      <c r="K324" s="83"/>
      <c r="L324" s="85"/>
      <c r="M324" s="85"/>
    </row>
    <row r="325" spans="1:13">
      <c r="A325" s="81">
        <v>42948</v>
      </c>
      <c r="B325" s="82">
        <v>425</v>
      </c>
      <c r="C325" s="82">
        <v>430</v>
      </c>
      <c r="D325" s="83">
        <f t="shared" si="34"/>
        <v>427.5</v>
      </c>
      <c r="E325" s="83">
        <f t="shared" si="35"/>
        <v>427.5</v>
      </c>
      <c r="F325" s="84">
        <f t="shared" si="36"/>
        <v>3.42</v>
      </c>
      <c r="G325" s="84">
        <f t="shared" si="37"/>
        <v>4.2750000000000004</v>
      </c>
      <c r="H325" s="84">
        <f t="shared" si="38"/>
        <v>4.617</v>
      </c>
      <c r="I325" s="84">
        <f t="shared" si="33"/>
        <v>5.34375</v>
      </c>
      <c r="K325" s="83"/>
      <c r="L325" s="85"/>
      <c r="M325" s="85"/>
    </row>
    <row r="326" spans="1:13">
      <c r="A326" s="81">
        <v>42979</v>
      </c>
      <c r="B326" s="82">
        <v>410</v>
      </c>
      <c r="C326" s="82">
        <v>410</v>
      </c>
      <c r="D326" s="83">
        <f t="shared" si="34"/>
        <v>410</v>
      </c>
      <c r="E326" s="83">
        <f t="shared" si="35"/>
        <v>410</v>
      </c>
      <c r="F326" s="84">
        <f t="shared" si="36"/>
        <v>3.28</v>
      </c>
      <c r="G326" s="84">
        <f t="shared" si="37"/>
        <v>4.0999999999999996</v>
      </c>
      <c r="H326" s="84">
        <f t="shared" si="38"/>
        <v>4.4279999999999999</v>
      </c>
      <c r="I326" s="84">
        <f t="shared" si="33"/>
        <v>5.125</v>
      </c>
      <c r="K326" s="83"/>
      <c r="L326" s="85"/>
      <c r="M326" s="85"/>
    </row>
    <row r="327" spans="1:13">
      <c r="A327" s="81">
        <v>43009</v>
      </c>
      <c r="B327" s="82">
        <v>400</v>
      </c>
      <c r="C327" s="82">
        <v>390</v>
      </c>
      <c r="D327" s="83">
        <f t="shared" si="34"/>
        <v>395</v>
      </c>
      <c r="E327" s="83">
        <f t="shared" si="35"/>
        <v>395</v>
      </c>
      <c r="F327" s="84">
        <f t="shared" si="36"/>
        <v>3.16</v>
      </c>
      <c r="G327" s="84">
        <f t="shared" si="37"/>
        <v>3.95</v>
      </c>
      <c r="H327" s="84">
        <f t="shared" si="38"/>
        <v>4.266</v>
      </c>
      <c r="I327" s="84">
        <f t="shared" si="33"/>
        <v>4.9375</v>
      </c>
      <c r="K327" s="83"/>
      <c r="L327" s="85"/>
      <c r="M327" s="85"/>
    </row>
    <row r="328" spans="1:13">
      <c r="A328" s="81">
        <v>43040</v>
      </c>
      <c r="B328" s="82">
        <v>420</v>
      </c>
      <c r="C328" s="82">
        <v>405</v>
      </c>
      <c r="D328" s="83">
        <f t="shared" si="34"/>
        <v>412.5</v>
      </c>
      <c r="E328" s="83">
        <f t="shared" si="35"/>
        <v>412.5</v>
      </c>
      <c r="F328" s="84">
        <f t="shared" si="36"/>
        <v>3.3</v>
      </c>
      <c r="G328" s="84">
        <f t="shared" si="37"/>
        <v>4.125</v>
      </c>
      <c r="H328" s="84">
        <f t="shared" si="38"/>
        <v>4.4550000000000001</v>
      </c>
      <c r="I328" s="84">
        <f t="shared" si="33"/>
        <v>5.15625</v>
      </c>
      <c r="K328" s="83"/>
      <c r="L328" s="85"/>
      <c r="M328" s="85"/>
    </row>
    <row r="329" spans="1:13">
      <c r="A329" s="81">
        <v>43070</v>
      </c>
      <c r="B329" s="82">
        <v>460</v>
      </c>
      <c r="C329" s="82">
        <v>470</v>
      </c>
      <c r="D329" s="83">
        <f t="shared" si="34"/>
        <v>465</v>
      </c>
      <c r="E329" s="83">
        <f t="shared" si="35"/>
        <v>465</v>
      </c>
      <c r="F329" s="84">
        <f t="shared" si="36"/>
        <v>3.72</v>
      </c>
      <c r="G329" s="84">
        <f t="shared" si="37"/>
        <v>4.6500000000000004</v>
      </c>
      <c r="H329" s="84">
        <f t="shared" si="38"/>
        <v>5.0220000000000002</v>
      </c>
      <c r="I329" s="84">
        <f t="shared" si="33"/>
        <v>5.8125</v>
      </c>
      <c r="K329" s="83"/>
      <c r="L329" s="85"/>
      <c r="M329" s="85"/>
    </row>
    <row r="330" spans="1:13">
      <c r="A330" s="81">
        <v>43101</v>
      </c>
      <c r="B330" s="82">
        <v>480</v>
      </c>
      <c r="C330" s="82">
        <v>485</v>
      </c>
      <c r="D330" s="83">
        <f t="shared" si="34"/>
        <v>482.5</v>
      </c>
      <c r="E330" s="83">
        <f t="shared" si="35"/>
        <v>482.5</v>
      </c>
      <c r="F330" s="84">
        <f t="shared" si="36"/>
        <v>3.86</v>
      </c>
      <c r="G330" s="84">
        <f t="shared" si="37"/>
        <v>4.8250000000000002</v>
      </c>
      <c r="H330" s="84">
        <f t="shared" si="38"/>
        <v>5.2110000000000003</v>
      </c>
      <c r="I330" s="84">
        <f t="shared" si="33"/>
        <v>6.03125</v>
      </c>
      <c r="K330" s="83"/>
      <c r="L330" s="85"/>
      <c r="M330" s="85"/>
    </row>
    <row r="331" spans="1:13">
      <c r="A331" s="81">
        <v>43132</v>
      </c>
      <c r="B331" s="82">
        <v>480</v>
      </c>
      <c r="C331" s="82">
        <v>480</v>
      </c>
      <c r="D331" s="83">
        <f t="shared" si="34"/>
        <v>480</v>
      </c>
      <c r="E331" s="83">
        <f t="shared" si="35"/>
        <v>480</v>
      </c>
      <c r="F331" s="84">
        <f t="shared" si="36"/>
        <v>3.84</v>
      </c>
      <c r="G331" s="84">
        <f t="shared" si="37"/>
        <v>4.8</v>
      </c>
      <c r="H331" s="84">
        <f t="shared" si="38"/>
        <v>5.1840000000000002</v>
      </c>
      <c r="I331" s="84">
        <f t="shared" si="33"/>
        <v>6</v>
      </c>
      <c r="K331" s="83"/>
      <c r="L331" s="85"/>
      <c r="M331" s="85"/>
    </row>
    <row r="332" spans="1:13">
      <c r="A332" s="81">
        <v>43160</v>
      </c>
      <c r="B332" s="82">
        <v>490</v>
      </c>
      <c r="C332" s="82">
        <v>480</v>
      </c>
      <c r="D332" s="83">
        <f t="shared" si="34"/>
        <v>485</v>
      </c>
      <c r="E332" s="83">
        <f t="shared" si="35"/>
        <v>485</v>
      </c>
      <c r="F332" s="84">
        <f t="shared" si="36"/>
        <v>3.88</v>
      </c>
      <c r="G332" s="84">
        <f t="shared" si="37"/>
        <v>4.8499999999999996</v>
      </c>
      <c r="H332" s="84">
        <f t="shared" si="38"/>
        <v>5.2380000000000004</v>
      </c>
      <c r="I332" s="84">
        <f t="shared" si="33"/>
        <v>6.0625</v>
      </c>
      <c r="K332" s="83"/>
      <c r="L332" s="85"/>
      <c r="M332" s="85"/>
    </row>
    <row r="333" spans="1:13">
      <c r="A333" s="81">
        <v>43191</v>
      </c>
      <c r="B333" s="82">
        <v>450</v>
      </c>
      <c r="C333" s="82">
        <v>445</v>
      </c>
      <c r="D333" s="83">
        <f t="shared" si="34"/>
        <v>447.5</v>
      </c>
      <c r="E333" s="83">
        <f t="shared" si="35"/>
        <v>447.5</v>
      </c>
      <c r="F333" s="84">
        <f t="shared" si="36"/>
        <v>3.58</v>
      </c>
      <c r="G333" s="84">
        <f t="shared" si="37"/>
        <v>4.4749999999999996</v>
      </c>
      <c r="H333" s="84">
        <f t="shared" si="38"/>
        <v>4.8330000000000002</v>
      </c>
      <c r="I333" s="84">
        <f t="shared" si="33"/>
        <v>5.59375</v>
      </c>
      <c r="K333" s="83"/>
      <c r="L333" s="85"/>
      <c r="M333" s="85"/>
    </row>
    <row r="334" spans="1:13">
      <c r="A334" s="81">
        <v>43221</v>
      </c>
      <c r="B334" s="82">
        <v>460</v>
      </c>
      <c r="C334" s="82">
        <v>470</v>
      </c>
      <c r="D334" s="83">
        <f t="shared" si="34"/>
        <v>465</v>
      </c>
      <c r="E334" s="83">
        <f t="shared" si="35"/>
        <v>465</v>
      </c>
      <c r="F334" s="84">
        <f t="shared" si="36"/>
        <v>3.72</v>
      </c>
      <c r="G334" s="84">
        <f t="shared" si="37"/>
        <v>4.6500000000000004</v>
      </c>
      <c r="H334" s="84">
        <f t="shared" si="38"/>
        <v>5.0220000000000002</v>
      </c>
      <c r="I334" s="84">
        <f t="shared" si="33"/>
        <v>5.8125</v>
      </c>
      <c r="K334" s="83"/>
      <c r="L334" s="85"/>
      <c r="M334" s="85"/>
    </row>
    <row r="335" spans="1:13">
      <c r="A335" s="81">
        <v>43252</v>
      </c>
      <c r="B335" s="82">
        <v>450</v>
      </c>
      <c r="C335" s="82">
        <v>460</v>
      </c>
      <c r="D335" s="83">
        <f t="shared" si="34"/>
        <v>455</v>
      </c>
      <c r="E335" s="83">
        <f t="shared" si="35"/>
        <v>455</v>
      </c>
      <c r="F335" s="84">
        <f t="shared" si="36"/>
        <v>3.64</v>
      </c>
      <c r="G335" s="84">
        <f t="shared" si="37"/>
        <v>4.55</v>
      </c>
      <c r="H335" s="84">
        <f t="shared" si="38"/>
        <v>4.9139999999999997</v>
      </c>
      <c r="I335" s="84">
        <f t="shared" si="33"/>
        <v>5.6875</v>
      </c>
      <c r="K335" s="83"/>
      <c r="L335" s="85"/>
      <c r="M335" s="85"/>
    </row>
    <row r="336" spans="1:13">
      <c r="A336" s="81">
        <v>43282</v>
      </c>
      <c r="B336" s="82">
        <v>440</v>
      </c>
      <c r="C336" s="82">
        <v>440</v>
      </c>
      <c r="D336" s="83">
        <f t="shared" si="34"/>
        <v>440</v>
      </c>
      <c r="E336" s="83">
        <f t="shared" si="35"/>
        <v>440</v>
      </c>
      <c r="F336" s="84">
        <f t="shared" si="36"/>
        <v>3.52</v>
      </c>
      <c r="G336" s="84">
        <f t="shared" si="37"/>
        <v>4.4000000000000004</v>
      </c>
      <c r="H336" s="84">
        <f t="shared" si="38"/>
        <v>4.7519999999999998</v>
      </c>
      <c r="I336" s="84">
        <f t="shared" si="33"/>
        <v>5.5</v>
      </c>
      <c r="K336" s="83"/>
      <c r="L336" s="85"/>
      <c r="M336" s="85"/>
    </row>
    <row r="337" spans="1:13">
      <c r="A337" s="81">
        <v>43313</v>
      </c>
      <c r="B337" s="82">
        <v>450</v>
      </c>
      <c r="C337" s="82">
        <v>445</v>
      </c>
      <c r="D337" s="83">
        <f t="shared" si="34"/>
        <v>447.5</v>
      </c>
      <c r="E337" s="83">
        <f t="shared" si="35"/>
        <v>447.5</v>
      </c>
      <c r="F337" s="84">
        <f t="shared" si="36"/>
        <v>3.58</v>
      </c>
      <c r="G337" s="84">
        <f t="shared" si="37"/>
        <v>4.4749999999999996</v>
      </c>
      <c r="H337" s="84">
        <f t="shared" si="38"/>
        <v>4.8330000000000002</v>
      </c>
      <c r="I337" s="84">
        <f t="shared" si="33"/>
        <v>5.59375</v>
      </c>
      <c r="K337" s="83"/>
      <c r="L337" s="85"/>
      <c r="M337" s="85"/>
    </row>
    <row r="338" spans="1:13">
      <c r="A338" s="81">
        <v>43344</v>
      </c>
      <c r="B338" s="82">
        <v>460</v>
      </c>
      <c r="C338" s="82">
        <v>490</v>
      </c>
      <c r="D338" s="83">
        <f t="shared" si="34"/>
        <v>475</v>
      </c>
      <c r="E338" s="83">
        <f t="shared" si="35"/>
        <v>475</v>
      </c>
      <c r="F338" s="84">
        <f t="shared" si="36"/>
        <v>3.8</v>
      </c>
      <c r="G338" s="84">
        <f t="shared" si="37"/>
        <v>4.75</v>
      </c>
      <c r="H338" s="84">
        <f t="shared" si="38"/>
        <v>5.13</v>
      </c>
      <c r="I338" s="84">
        <f t="shared" ref="I338:I346" si="39">D338*H$9/1000000</f>
        <v>5.9375</v>
      </c>
      <c r="K338" s="83"/>
      <c r="L338" s="85"/>
      <c r="M338" s="85"/>
    </row>
    <row r="339" spans="1:13">
      <c r="A339" s="81">
        <f>+EOMONTH(A338,1)</f>
        <v>43404</v>
      </c>
      <c r="B339" s="82">
        <v>470</v>
      </c>
      <c r="C339" s="82">
        <v>470</v>
      </c>
      <c r="D339" s="83">
        <f t="shared" si="34"/>
        <v>470</v>
      </c>
      <c r="E339" s="83">
        <f t="shared" ref="E339:E346" si="40">D339</f>
        <v>470</v>
      </c>
      <c r="F339" s="84">
        <f t="shared" si="36"/>
        <v>3.76</v>
      </c>
      <c r="G339" s="84">
        <f t="shared" ref="G339:G346" si="41">D339*H$7/1000000</f>
        <v>4.7</v>
      </c>
      <c r="H339" s="84">
        <f t="shared" ref="H339:H346" si="42">D339*H$8/1000000</f>
        <v>5.0759999999999996</v>
      </c>
      <c r="I339" s="84">
        <f t="shared" si="39"/>
        <v>5.875</v>
      </c>
      <c r="K339" s="83"/>
    </row>
    <row r="340" spans="1:13">
      <c r="A340" s="81">
        <f t="shared" ref="A340:A346" si="43">+EOMONTH(A339,1)</f>
        <v>43434</v>
      </c>
      <c r="B340" s="82">
        <v>460</v>
      </c>
      <c r="C340" s="82">
        <v>465</v>
      </c>
      <c r="D340" s="83">
        <f t="shared" ref="D340:D346" si="44">AVERAGE(B340:C340)</f>
        <v>462.5</v>
      </c>
      <c r="E340" s="83">
        <f t="shared" si="40"/>
        <v>462.5</v>
      </c>
      <c r="F340" s="84">
        <f t="shared" ref="F340:F346" si="45">D340*H$6/1000000</f>
        <v>3.7</v>
      </c>
      <c r="G340" s="84">
        <f t="shared" si="41"/>
        <v>4.625</v>
      </c>
      <c r="H340" s="84">
        <f t="shared" si="42"/>
        <v>4.9950000000000001</v>
      </c>
      <c r="I340" s="84">
        <f t="shared" si="39"/>
        <v>5.78125</v>
      </c>
      <c r="K340" s="83"/>
    </row>
    <row r="341" spans="1:13">
      <c r="A341" s="81">
        <f t="shared" si="43"/>
        <v>43465</v>
      </c>
      <c r="B341" s="82">
        <v>445</v>
      </c>
      <c r="C341" s="82">
        <v>450</v>
      </c>
      <c r="D341" s="83">
        <f t="shared" si="44"/>
        <v>447.5</v>
      </c>
      <c r="E341" s="83">
        <f t="shared" si="40"/>
        <v>447.5</v>
      </c>
      <c r="F341" s="84">
        <f t="shared" si="45"/>
        <v>3.58</v>
      </c>
      <c r="G341" s="84">
        <f t="shared" si="41"/>
        <v>4.4749999999999996</v>
      </c>
      <c r="H341" s="84">
        <f t="shared" si="42"/>
        <v>4.8330000000000002</v>
      </c>
      <c r="I341" s="84">
        <f t="shared" si="39"/>
        <v>5.59375</v>
      </c>
      <c r="K341" s="83"/>
    </row>
    <row r="342" spans="1:13">
      <c r="A342" s="81">
        <f t="shared" si="43"/>
        <v>43496</v>
      </c>
      <c r="B342" s="82">
        <v>450</v>
      </c>
      <c r="C342" s="82">
        <v>450</v>
      </c>
      <c r="D342" s="83">
        <f t="shared" si="44"/>
        <v>450</v>
      </c>
      <c r="E342" s="83">
        <f t="shared" si="40"/>
        <v>450</v>
      </c>
      <c r="F342" s="84">
        <f t="shared" si="45"/>
        <v>3.6</v>
      </c>
      <c r="G342" s="84">
        <f t="shared" si="41"/>
        <v>4.5</v>
      </c>
      <c r="H342" s="84">
        <f t="shared" si="42"/>
        <v>4.8600000000000003</v>
      </c>
      <c r="I342" s="84">
        <f t="shared" si="39"/>
        <v>5.625</v>
      </c>
      <c r="K342" s="83"/>
    </row>
    <row r="343" spans="1:13">
      <c r="A343" s="81">
        <f t="shared" si="43"/>
        <v>43524</v>
      </c>
      <c r="B343" s="82">
        <v>450</v>
      </c>
      <c r="C343" s="82">
        <v>445</v>
      </c>
      <c r="D343" s="83">
        <f t="shared" si="44"/>
        <v>447.5</v>
      </c>
      <c r="E343" s="83">
        <f t="shared" si="40"/>
        <v>447.5</v>
      </c>
      <c r="F343" s="84">
        <f t="shared" si="45"/>
        <v>3.58</v>
      </c>
      <c r="G343" s="84">
        <f t="shared" si="41"/>
        <v>4.4749999999999996</v>
      </c>
      <c r="H343" s="84">
        <f t="shared" si="42"/>
        <v>4.8330000000000002</v>
      </c>
      <c r="I343" s="84">
        <f t="shared" si="39"/>
        <v>5.59375</v>
      </c>
      <c r="K343" s="83"/>
    </row>
    <row r="344" spans="1:13">
      <c r="A344" s="81">
        <f t="shared" si="43"/>
        <v>43555</v>
      </c>
      <c r="B344" s="82">
        <v>455</v>
      </c>
      <c r="C344" s="82">
        <v>445</v>
      </c>
      <c r="D344" s="83">
        <f t="shared" si="44"/>
        <v>450</v>
      </c>
      <c r="E344" s="83">
        <f t="shared" si="40"/>
        <v>450</v>
      </c>
      <c r="F344" s="84">
        <f t="shared" si="45"/>
        <v>3.6</v>
      </c>
      <c r="G344" s="84">
        <f t="shared" si="41"/>
        <v>4.5</v>
      </c>
      <c r="H344" s="84">
        <f t="shared" si="42"/>
        <v>4.8600000000000003</v>
      </c>
      <c r="I344" s="84">
        <f t="shared" si="39"/>
        <v>5.625</v>
      </c>
      <c r="K344" s="83"/>
    </row>
    <row r="345" spans="1:13">
      <c r="A345" s="81">
        <f t="shared" si="43"/>
        <v>43585</v>
      </c>
      <c r="B345" s="82">
        <v>455</v>
      </c>
      <c r="C345" s="82">
        <v>460</v>
      </c>
      <c r="D345" s="83">
        <f t="shared" si="44"/>
        <v>457.5</v>
      </c>
      <c r="E345" s="83">
        <f t="shared" si="40"/>
        <v>457.5</v>
      </c>
      <c r="F345" s="84">
        <f t="shared" si="45"/>
        <v>3.66</v>
      </c>
      <c r="G345" s="84">
        <f t="shared" si="41"/>
        <v>4.5750000000000002</v>
      </c>
      <c r="H345" s="84">
        <f t="shared" si="42"/>
        <v>4.9409999999999998</v>
      </c>
      <c r="I345" s="84">
        <f t="shared" si="39"/>
        <v>5.71875</v>
      </c>
      <c r="K345" s="83"/>
    </row>
    <row r="346" spans="1:13">
      <c r="A346" s="81">
        <f t="shared" si="43"/>
        <v>43616</v>
      </c>
      <c r="B346" s="82">
        <v>425</v>
      </c>
      <c r="C346" s="82">
        <v>450</v>
      </c>
      <c r="D346" s="83">
        <f t="shared" si="44"/>
        <v>437.5</v>
      </c>
      <c r="E346" s="83">
        <f t="shared" si="40"/>
        <v>437.5</v>
      </c>
      <c r="F346" s="84">
        <f t="shared" si="45"/>
        <v>3.5</v>
      </c>
      <c r="G346" s="84">
        <f t="shared" si="41"/>
        <v>4.375</v>
      </c>
      <c r="H346" s="84">
        <f t="shared" si="42"/>
        <v>4.7249999999999996</v>
      </c>
      <c r="I346" s="84">
        <f t="shared" si="39"/>
        <v>5.46875</v>
      </c>
      <c r="K346" s="83"/>
    </row>
    <row r="347" spans="1:13">
      <c r="D347" s="86"/>
      <c r="E347" s="87"/>
      <c r="F347" s="57"/>
      <c r="G347" s="57"/>
      <c r="H347" s="57"/>
    </row>
    <row r="348" spans="1:13">
      <c r="A348" s="62" t="s">
        <v>173</v>
      </c>
      <c r="F348" s="57"/>
      <c r="G348" s="57"/>
      <c r="H348" s="57"/>
    </row>
    <row r="349" spans="1:13">
      <c r="A349" t="s">
        <v>174</v>
      </c>
    </row>
    <row r="350" spans="1:13">
      <c r="A350" t="s">
        <v>175</v>
      </c>
    </row>
    <row r="351" spans="1:13">
      <c r="A351" t="s">
        <v>176</v>
      </c>
    </row>
    <row r="355" spans="1:1">
      <c r="A355" t="s">
        <v>177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1A1DC9A2332F440A0AB2367DB0B27F2" ma:contentTypeVersion="10" ma:contentTypeDescription="Create a new document." ma:contentTypeScope="" ma:versionID="82b6bd47a0cc5386e9d98e0188bc212e">
  <xsd:schema xmlns:xsd="http://www.w3.org/2001/XMLSchema" xmlns:xs="http://www.w3.org/2001/XMLSchema" xmlns:p="http://schemas.microsoft.com/office/2006/metadata/properties" xmlns:ns2="bf678e41-2726-4fbf-82d3-a421569683e5" xmlns:ns3="97d99be9-92b0-4ce9-b0b0-c7f916f9b261" targetNamespace="http://schemas.microsoft.com/office/2006/metadata/properties" ma:root="true" ma:fieldsID="ab4020042aecb4e3a0055169ee5c422a" ns2:_="" ns3:_="">
    <xsd:import namespace="bf678e41-2726-4fbf-82d3-a421569683e5"/>
    <xsd:import namespace="97d99be9-92b0-4ce9-b0b0-c7f916f9b2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OCR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78e41-2726-4fbf-82d3-a421569683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4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d99be9-92b0-4ce9-b0b0-c7f916f9b26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59D7677-F11D-4E23-979D-4B701CE777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678e41-2726-4fbf-82d3-a421569683e5"/>
    <ds:schemaRef ds:uri="97d99be9-92b0-4ce9-b0b0-c7f916f9b2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B73A4C3-BDA4-49F0-AA0B-30DE7E4E29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88</vt:i4>
      </vt:variant>
    </vt:vector>
  </HeadingPairs>
  <TitlesOfParts>
    <vt:vector size="102" baseType="lpstr">
      <vt:lpstr>Cash Flows</vt:lpstr>
      <vt:lpstr>Survey</vt:lpstr>
      <vt:lpstr>Input Assumptions</vt:lpstr>
      <vt:lpstr>Output</vt:lpstr>
      <vt:lpstr>Pool Cut</vt:lpstr>
      <vt:lpstr>Beta_Dis</vt:lpstr>
      <vt:lpstr>Asset</vt:lpstr>
      <vt:lpstr>LR0-8</vt:lpstr>
      <vt:lpstr>LR9-13</vt:lpstr>
      <vt:lpstr>LR14-19</vt:lpstr>
      <vt:lpstr>LR20+</vt:lpstr>
      <vt:lpstr>Inflation</vt:lpstr>
      <vt:lpstr>ScrapInf</vt:lpstr>
      <vt:lpstr>Scrap$</vt:lpstr>
      <vt:lpstr>Bospoke_TAC</vt:lpstr>
      <vt:lpstr>Class_A_Average_Life</vt:lpstr>
      <vt:lpstr>Class_A_Bal</vt:lpstr>
      <vt:lpstr>Class_A_Bla</vt:lpstr>
      <vt:lpstr>Class_A_M</vt:lpstr>
      <vt:lpstr>Class_A_Rate</vt:lpstr>
      <vt:lpstr>Class_A_Relaxation</vt:lpstr>
      <vt:lpstr>Class_A_Size</vt:lpstr>
      <vt:lpstr>Class_A_SP_Default_Rate</vt:lpstr>
      <vt:lpstr>Class_B_Average_Life</vt:lpstr>
      <vt:lpstr>Class_B_Bal</vt:lpstr>
      <vt:lpstr>Class_B_Bla</vt:lpstr>
      <vt:lpstr>Class_B_M</vt:lpstr>
      <vt:lpstr>Class_B_Rate</vt:lpstr>
      <vt:lpstr>Class_B_Relaxation</vt:lpstr>
      <vt:lpstr>Class_B_Size</vt:lpstr>
      <vt:lpstr>Class_B_SP_Default_Rate</vt:lpstr>
      <vt:lpstr>Class_C_Bal</vt:lpstr>
      <vt:lpstr>Class_C_Bla</vt:lpstr>
      <vt:lpstr>Class_C_M</vt:lpstr>
      <vt:lpstr>Class_C_Rate</vt:lpstr>
      <vt:lpstr>Class_C_Size</vt:lpstr>
      <vt:lpstr>closing_fee</vt:lpstr>
      <vt:lpstr>Convergence_Limit</vt:lpstr>
      <vt:lpstr>Convergence_Status</vt:lpstr>
      <vt:lpstr>Delta_IRR_Class_A</vt:lpstr>
      <vt:lpstr>Delta_IRR_Class_B</vt:lpstr>
      <vt:lpstr>Epsilon</vt:lpstr>
      <vt:lpstr>Idle_alpha</vt:lpstr>
      <vt:lpstr>Idle_beta</vt:lpstr>
      <vt:lpstr>Idle_L</vt:lpstr>
      <vt:lpstr>Idle_M</vt:lpstr>
      <vt:lpstr>Idle_U</vt:lpstr>
      <vt:lpstr>Incentive_fee</vt:lpstr>
      <vt:lpstr>Inf_alpha</vt:lpstr>
      <vt:lpstr>Inf_beta</vt:lpstr>
      <vt:lpstr>Inf_Lower</vt:lpstr>
      <vt:lpstr>Inf_Upper</vt:lpstr>
      <vt:lpstr>InitialCostofShips</vt:lpstr>
      <vt:lpstr>Investment_Rate</vt:lpstr>
      <vt:lpstr>IPB</vt:lpstr>
      <vt:lpstr>Lease_Term_Adj</vt:lpstr>
      <vt:lpstr>maintaince_adj</vt:lpstr>
      <vt:lpstr>MFee_Ratio</vt:lpstr>
      <vt:lpstr>Monitor</vt:lpstr>
      <vt:lpstr>Monte_Carlo_Runs</vt:lpstr>
      <vt:lpstr>n</vt:lpstr>
      <vt:lpstr>One_Scenario</vt:lpstr>
      <vt:lpstr>Opex_alpha</vt:lpstr>
      <vt:lpstr>Opex_beta</vt:lpstr>
      <vt:lpstr>Opex_L</vt:lpstr>
      <vt:lpstr>Opex_U</vt:lpstr>
      <vt:lpstr>periods</vt:lpstr>
      <vt:lpstr>Reserve_Account</vt:lpstr>
      <vt:lpstr>Run_Linear</vt:lpstr>
      <vt:lpstr>Sales</vt:lpstr>
      <vt:lpstr>Sales1_alpha</vt:lpstr>
      <vt:lpstr>Sales1_beta</vt:lpstr>
      <vt:lpstr>Sales1_L</vt:lpstr>
      <vt:lpstr>Sales1_U</vt:lpstr>
      <vt:lpstr>Sales2_alpha</vt:lpstr>
      <vt:lpstr>Sales2_beta</vt:lpstr>
      <vt:lpstr>Sales2_L</vt:lpstr>
      <vt:lpstr>Sales2_U</vt:lpstr>
      <vt:lpstr>Sales3_alpha</vt:lpstr>
      <vt:lpstr>Sales3_beta</vt:lpstr>
      <vt:lpstr>Sales3_L</vt:lpstr>
      <vt:lpstr>Sales3_U</vt:lpstr>
      <vt:lpstr>Sales4_alpha</vt:lpstr>
      <vt:lpstr>Sales4_beta</vt:lpstr>
      <vt:lpstr>Sales4_L</vt:lpstr>
      <vt:lpstr>Sales4_U</vt:lpstr>
      <vt:lpstr>scrap_adj</vt:lpstr>
      <vt:lpstr>ScrapInf_alpha</vt:lpstr>
      <vt:lpstr>ScrapInf_beta</vt:lpstr>
      <vt:lpstr>ScrapInf_L</vt:lpstr>
      <vt:lpstr>ScrapInf_U</vt:lpstr>
      <vt:lpstr>Seed</vt:lpstr>
      <vt:lpstr>Ships</vt:lpstr>
      <vt:lpstr>Term</vt:lpstr>
      <vt:lpstr>Uniform_a</vt:lpstr>
      <vt:lpstr>Uniform_b</vt:lpstr>
      <vt:lpstr>UsefulLife</vt:lpstr>
      <vt:lpstr>WAI</vt:lpstr>
      <vt:lpstr>Yield_Curve_alfa_parm</vt:lpstr>
      <vt:lpstr>Yield_Curve_beta_parm</vt:lpstr>
      <vt:lpstr>Yield_Curve_delta_parm</vt:lpstr>
      <vt:lpstr>Yield_Curve_r_infinity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Kelly</dc:creator>
  <cp:lastModifiedBy>yang jin</cp:lastModifiedBy>
  <cp:lastPrinted>2019-05-29T15:58:58Z</cp:lastPrinted>
  <dcterms:created xsi:type="dcterms:W3CDTF">2018-07-13T16:36:15Z</dcterms:created>
  <dcterms:modified xsi:type="dcterms:W3CDTF">2019-09-20T21:50:35Z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0x010100C1A1DC9A2332F440A0AB2367DB0B27F2</vt:lpwstr>
  </property>
</Properties>
</file>